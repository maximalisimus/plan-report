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Загрузки\temp\План-отчет\"/>
    </mc:Choice>
  </mc:AlternateContent>
  <bookViews>
    <workbookView xWindow="240" yWindow="105" windowWidth="14805" windowHeight="8010" firstSheet="2" activeTab="2"/>
  </bookViews>
  <sheets>
    <sheet name="Настройки" sheetId="1" state="hidden" r:id="rId1"/>
    <sheet name="СписокУслуг" sheetId="26" state="hidden" r:id="rId2"/>
    <sheet name="Январь" sheetId="10" r:id="rId3"/>
    <sheet name="ГрЯнварь" sheetId="14" r:id="rId4"/>
    <sheet name="Февраль" sheetId="9" r:id="rId5"/>
    <sheet name="ГрФевраль" sheetId="15" r:id="rId6"/>
    <sheet name="Март" sheetId="8" r:id="rId7"/>
    <sheet name="ГрМарт" sheetId="16" r:id="rId8"/>
    <sheet name="Апрель" sheetId="7" r:id="rId9"/>
    <sheet name="ГрАпрель" sheetId="17" r:id="rId10"/>
    <sheet name="Май" sheetId="6" r:id="rId11"/>
    <sheet name="ГрМай" sheetId="18" r:id="rId12"/>
    <sheet name="Июнь" sheetId="5" r:id="rId13"/>
    <sheet name="ГрИюнь" sheetId="19" r:id="rId14"/>
    <sheet name="Июль" sheetId="4" r:id="rId15"/>
    <sheet name="ГрИюль" sheetId="20" r:id="rId16"/>
    <sheet name="Август" sheetId="3" r:id="rId17"/>
    <sheet name="ГрАвгуст" sheetId="21" r:id="rId18"/>
    <sheet name="Сентябрь" sheetId="2" r:id="rId19"/>
    <sheet name="ГрСентябрь" sheetId="22" r:id="rId20"/>
    <sheet name="Октябрь" sheetId="11" r:id="rId21"/>
    <sheet name="ГрОктябрь" sheetId="23" r:id="rId22"/>
    <sheet name="Ноябрь" sheetId="12" r:id="rId23"/>
    <sheet name="ГрНоябрь" sheetId="24" r:id="rId24"/>
    <sheet name="Декабрь" sheetId="13" r:id="rId25"/>
    <sheet name="ГрДекабрь" sheetId="25" r:id="rId26"/>
  </sheets>
  <functionGroups builtInGroupCount="18"/>
  <definedNames>
    <definedName name="_xlnm.Print_Titles" localSheetId="16">Август!$20:$25</definedName>
    <definedName name="_xlnm.Print_Titles" localSheetId="8">Апрель!$20:$25</definedName>
    <definedName name="_xlnm.Print_Titles" localSheetId="24">Декабрь!$20:$25</definedName>
    <definedName name="_xlnm.Print_Titles" localSheetId="14">Июль!$20:$25</definedName>
    <definedName name="_xlnm.Print_Titles" localSheetId="12">Июнь!$20:$25</definedName>
    <definedName name="_xlnm.Print_Titles" localSheetId="10">Май!$20:$25</definedName>
    <definedName name="_xlnm.Print_Titles" localSheetId="6">Март!$20:$25</definedName>
    <definedName name="_xlnm.Print_Titles" localSheetId="22">Ноябрь!$20:$25</definedName>
    <definedName name="_xlnm.Print_Titles" localSheetId="20">Октябрь!$20:$25</definedName>
    <definedName name="_xlnm.Print_Titles" localSheetId="18">Сентябрь!$20:$25</definedName>
    <definedName name="_xlnm.Print_Titles" localSheetId="4">Февраль!$20:$25</definedName>
    <definedName name="_xlnm.Print_Titles" localSheetId="2">Январь!$20:$25</definedName>
  </definedNames>
  <calcPr calcId="152511"/>
</workbook>
</file>

<file path=xl/calcChain.xml><?xml version="1.0" encoding="utf-8"?>
<calcChain xmlns="http://schemas.openxmlformats.org/spreadsheetml/2006/main">
  <c r="B34" i="25" l="1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B24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B14" i="25"/>
  <c r="A14" i="25"/>
  <c r="C24" i="24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B24" i="24"/>
  <c r="C14" i="24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B14" i="24"/>
  <c r="A14" i="24"/>
  <c r="B34" i="23"/>
  <c r="C24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B24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P14" i="23"/>
  <c r="B14" i="23"/>
  <c r="A14" i="23"/>
  <c r="C24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B24" i="22"/>
  <c r="C14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B14" i="22"/>
  <c r="A14" i="22"/>
  <c r="B34" i="21"/>
  <c r="C24" i="21"/>
  <c r="D24" i="21"/>
  <c r="E24" i="21"/>
  <c r="F24" i="21"/>
  <c r="G24" i="21"/>
  <c r="H24" i="21"/>
  <c r="I24" i="21"/>
  <c r="J24" i="21"/>
  <c r="K24" i="21"/>
  <c r="L24" i="21"/>
  <c r="M24" i="21"/>
  <c r="N24" i="21"/>
  <c r="O24" i="21"/>
  <c r="P24" i="21"/>
  <c r="B24" i="21"/>
  <c r="C14" i="21"/>
  <c r="D14" i="21"/>
  <c r="E14" i="21"/>
  <c r="F14" i="21"/>
  <c r="G14" i="21"/>
  <c r="H14" i="21"/>
  <c r="I14" i="21"/>
  <c r="J14" i="21"/>
  <c r="K14" i="21"/>
  <c r="L14" i="21"/>
  <c r="M14" i="21"/>
  <c r="N14" i="21"/>
  <c r="O14" i="21"/>
  <c r="P14" i="21"/>
  <c r="B14" i="21"/>
  <c r="A14" i="21"/>
  <c r="B34" i="20" l="1"/>
  <c r="C24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B24" i="20"/>
  <c r="C14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B14" i="20"/>
  <c r="A14" i="20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B2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B14" i="19"/>
  <c r="A14" i="19"/>
  <c r="B3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B2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B14" i="18"/>
  <c r="A14" i="18"/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AJ26" i="10" l="1"/>
  <c r="AJ27" i="10"/>
  <c r="AJ28" i="10"/>
  <c r="B26" i="10"/>
  <c r="B27" i="10"/>
  <c r="B28" i="10"/>
  <c r="C26" i="10"/>
  <c r="C27" i="10"/>
  <c r="C27" i="13" s="1"/>
  <c r="C28" i="10"/>
  <c r="C28" i="2" s="1"/>
  <c r="AI15" i="10" l="1"/>
  <c r="B36" i="14" s="1"/>
  <c r="AH15" i="10"/>
  <c r="P26" i="14" s="1"/>
  <c r="AG15" i="10"/>
  <c r="O26" i="14" s="1"/>
  <c r="AF15" i="10"/>
  <c r="N26" i="14" s="1"/>
  <c r="AE15" i="10"/>
  <c r="M26" i="14" s="1"/>
  <c r="AD15" i="10"/>
  <c r="L26" i="14" s="1"/>
  <c r="AC15" i="10"/>
  <c r="K26" i="14" s="1"/>
  <c r="AB15" i="10"/>
  <c r="J26" i="14" s="1"/>
  <c r="AA15" i="10"/>
  <c r="I26" i="14" s="1"/>
  <c r="Z15" i="10"/>
  <c r="H26" i="14" s="1"/>
  <c r="Y15" i="10"/>
  <c r="G26" i="14" s="1"/>
  <c r="X15" i="10"/>
  <c r="F26" i="14" s="1"/>
  <c r="W15" i="10"/>
  <c r="E26" i="14" s="1"/>
  <c r="V15" i="10"/>
  <c r="D26" i="14" s="1"/>
  <c r="U15" i="10"/>
  <c r="C26" i="14" s="1"/>
  <c r="T15" i="10"/>
  <c r="B26" i="14" s="1"/>
  <c r="S15" i="10"/>
  <c r="P16" i="14" s="1"/>
  <c r="R15" i="10"/>
  <c r="O16" i="14" s="1"/>
  <c r="Q15" i="10"/>
  <c r="N16" i="14" s="1"/>
  <c r="P15" i="10"/>
  <c r="M16" i="14" s="1"/>
  <c r="O15" i="10"/>
  <c r="L16" i="14" s="1"/>
  <c r="N15" i="10"/>
  <c r="K16" i="14" s="1"/>
  <c r="M15" i="10"/>
  <c r="J16" i="14" s="1"/>
  <c r="AF14" i="10"/>
  <c r="N25" i="14" s="1"/>
  <c r="AE14" i="10"/>
  <c r="M25" i="14" s="1"/>
  <c r="AD14" i="10"/>
  <c r="L25" i="14" s="1"/>
  <c r="AC14" i="10"/>
  <c r="K25" i="14" s="1"/>
  <c r="AB14" i="10"/>
  <c r="J25" i="14" s="1"/>
  <c r="AA14" i="10"/>
  <c r="I25" i="14" s="1"/>
  <c r="Z14" i="10"/>
  <c r="H25" i="14" s="1"/>
  <c r="Y14" i="10"/>
  <c r="G25" i="14" s="1"/>
  <c r="X14" i="10"/>
  <c r="F25" i="14" s="1"/>
  <c r="W14" i="10"/>
  <c r="E25" i="14" s="1"/>
  <c r="V14" i="10"/>
  <c r="D25" i="14" s="1"/>
  <c r="U14" i="10"/>
  <c r="C25" i="14" s="1"/>
  <c r="T14" i="10"/>
  <c r="B25" i="14" s="1"/>
  <c r="S14" i="10"/>
  <c r="P15" i="14" s="1"/>
  <c r="R14" i="10"/>
  <c r="O15" i="14" s="1"/>
  <c r="Q14" i="10"/>
  <c r="N15" i="14" s="1"/>
  <c r="P14" i="10"/>
  <c r="M15" i="14" s="1"/>
  <c r="O14" i="10"/>
  <c r="L15" i="14" s="1"/>
  <c r="N14" i="10"/>
  <c r="K15" i="14" s="1"/>
  <c r="M14" i="10"/>
  <c r="J15" i="14" s="1"/>
  <c r="AI14" i="10"/>
  <c r="B35" i="14" s="1"/>
  <c r="AH14" i="10"/>
  <c r="P25" i="14" s="1"/>
  <c r="AG14" i="10"/>
  <c r="O25" i="14" s="1"/>
  <c r="L14" i="10"/>
  <c r="I15" i="14" s="1"/>
  <c r="L15" i="10"/>
  <c r="I16" i="14" s="1"/>
  <c r="C26" i="12"/>
  <c r="J14" i="10"/>
  <c r="G15" i="14" s="1"/>
  <c r="K15" i="10"/>
  <c r="H16" i="14" s="1"/>
  <c r="I15" i="10"/>
  <c r="F16" i="14" s="1"/>
  <c r="G15" i="10"/>
  <c r="D16" i="14" s="1"/>
  <c r="I14" i="10"/>
  <c r="F15" i="14" s="1"/>
  <c r="G14" i="10"/>
  <c r="D15" i="14" s="1"/>
  <c r="F13" i="10"/>
  <c r="C14" i="14" s="1"/>
  <c r="H13" i="10"/>
  <c r="E14" i="14" s="1"/>
  <c r="J13" i="10"/>
  <c r="G14" i="14" s="1"/>
  <c r="L13" i="10"/>
  <c r="I14" i="14" s="1"/>
  <c r="N13" i="10"/>
  <c r="K14" i="14" s="1"/>
  <c r="P13" i="10"/>
  <c r="M14" i="14" s="1"/>
  <c r="R13" i="10"/>
  <c r="O14" i="14" s="1"/>
  <c r="T13" i="10"/>
  <c r="B24" i="14" s="1"/>
  <c r="V13" i="10"/>
  <c r="D24" i="14" s="1"/>
  <c r="X13" i="10"/>
  <c r="F24" i="14" s="1"/>
  <c r="Z13" i="10"/>
  <c r="H24" i="14" s="1"/>
  <c r="AB13" i="10"/>
  <c r="J24" i="14" s="1"/>
  <c r="AD13" i="10"/>
  <c r="L24" i="14" s="1"/>
  <c r="AF13" i="10"/>
  <c r="N24" i="14" s="1"/>
  <c r="AH13" i="10"/>
  <c r="P24" i="14" s="1"/>
  <c r="E15" i="10"/>
  <c r="J15" i="10"/>
  <c r="G16" i="14" s="1"/>
  <c r="K14" i="10"/>
  <c r="H15" i="14" s="1"/>
  <c r="H15" i="10"/>
  <c r="E16" i="14" s="1"/>
  <c r="F15" i="10"/>
  <c r="C16" i="14" s="1"/>
  <c r="H14" i="10"/>
  <c r="E15" i="14" s="1"/>
  <c r="F14" i="10"/>
  <c r="C15" i="14" s="1"/>
  <c r="G13" i="10"/>
  <c r="D14" i="14" s="1"/>
  <c r="I13" i="10"/>
  <c r="F14" i="14" s="1"/>
  <c r="K13" i="10"/>
  <c r="H14" i="14" s="1"/>
  <c r="M13" i="10"/>
  <c r="J14" i="14" s="1"/>
  <c r="O13" i="10"/>
  <c r="L14" i="14" s="1"/>
  <c r="Q13" i="10"/>
  <c r="N14" i="14" s="1"/>
  <c r="S13" i="10"/>
  <c r="P14" i="14" s="1"/>
  <c r="U13" i="10"/>
  <c r="C24" i="14" s="1"/>
  <c r="W13" i="10"/>
  <c r="E24" i="14" s="1"/>
  <c r="Y13" i="10"/>
  <c r="G24" i="14" s="1"/>
  <c r="AA13" i="10"/>
  <c r="I24" i="14" s="1"/>
  <c r="AC13" i="10"/>
  <c r="K24" i="14" s="1"/>
  <c r="AE13" i="10"/>
  <c r="M24" i="14" s="1"/>
  <c r="AG13" i="10"/>
  <c r="O24" i="14" s="1"/>
  <c r="AI13" i="10"/>
  <c r="B34" i="14" s="1"/>
  <c r="E14" i="10"/>
  <c r="C26" i="9"/>
  <c r="C26" i="7"/>
  <c r="C26" i="5"/>
  <c r="C26" i="3"/>
  <c r="C26" i="11"/>
  <c r="C28" i="13"/>
  <c r="C28" i="9"/>
  <c r="C28" i="7"/>
  <c r="C28" i="5"/>
  <c r="C28" i="3"/>
  <c r="C28" i="11"/>
  <c r="C28" i="12"/>
  <c r="C26" i="13"/>
  <c r="C27" i="6"/>
  <c r="C27" i="8"/>
  <c r="C27" i="4"/>
  <c r="C27" i="2"/>
  <c r="C27" i="9"/>
  <c r="C28" i="8"/>
  <c r="C26" i="8"/>
  <c r="C27" i="7"/>
  <c r="C28" i="6"/>
  <c r="C26" i="6"/>
  <c r="C27" i="5"/>
  <c r="C28" i="4"/>
  <c r="C26" i="4"/>
  <c r="C27" i="3"/>
  <c r="C26" i="2"/>
  <c r="C27" i="11"/>
  <c r="C27" i="12"/>
  <c r="AJ27" i="13"/>
  <c r="AJ28" i="13"/>
  <c r="AJ26" i="13"/>
  <c r="AI27" i="12"/>
  <c r="AI28" i="12"/>
  <c r="AI26" i="12"/>
  <c r="AJ27" i="11"/>
  <c r="AJ28" i="11"/>
  <c r="AJ26" i="11"/>
  <c r="AI27" i="2"/>
  <c r="AI28" i="2"/>
  <c r="AI26" i="2"/>
  <c r="AJ27" i="3"/>
  <c r="AJ28" i="3"/>
  <c r="AJ26" i="3"/>
  <c r="AJ27" i="4"/>
  <c r="AJ28" i="4"/>
  <c r="AJ26" i="4"/>
  <c r="AI27" i="5"/>
  <c r="AI28" i="5"/>
  <c r="AI26" i="5"/>
  <c r="AJ27" i="6"/>
  <c r="AJ28" i="6"/>
  <c r="AJ26" i="6"/>
  <c r="AI27" i="7"/>
  <c r="AI28" i="7"/>
  <c r="AI26" i="7"/>
  <c r="AJ27" i="8"/>
  <c r="AJ28" i="8"/>
  <c r="AJ26" i="8"/>
  <c r="AH27" i="9"/>
  <c r="AH28" i="9"/>
  <c r="AH26" i="9"/>
  <c r="B15" i="14" l="1"/>
  <c r="B16" i="14"/>
  <c r="A15" i="14"/>
  <c r="A16" i="14"/>
  <c r="AI15" i="4"/>
  <c r="B36" i="20" s="1"/>
  <c r="AH15" i="4"/>
  <c r="P26" i="20" s="1"/>
  <c r="AG15" i="4"/>
  <c r="O26" i="20" s="1"/>
  <c r="AF15" i="4"/>
  <c r="N26" i="20" s="1"/>
  <c r="AE15" i="4"/>
  <c r="M26" i="20" s="1"/>
  <c r="AD15" i="4"/>
  <c r="L26" i="20" s="1"/>
  <c r="AC15" i="4"/>
  <c r="K26" i="20" s="1"/>
  <c r="AB15" i="4"/>
  <c r="J26" i="20" s="1"/>
  <c r="AA15" i="4"/>
  <c r="I26" i="20" s="1"/>
  <c r="Z15" i="4"/>
  <c r="H26" i="20" s="1"/>
  <c r="Y15" i="4"/>
  <c r="G26" i="20" s="1"/>
  <c r="X15" i="4"/>
  <c r="F26" i="20" s="1"/>
  <c r="W15" i="4"/>
  <c r="E26" i="20" s="1"/>
  <c r="V15" i="4"/>
  <c r="D26" i="20" s="1"/>
  <c r="U15" i="4"/>
  <c r="C26" i="20" s="1"/>
  <c r="T15" i="4"/>
  <c r="B26" i="20" s="1"/>
  <c r="S15" i="4"/>
  <c r="P16" i="20" s="1"/>
  <c r="R15" i="4"/>
  <c r="O16" i="20" s="1"/>
  <c r="Q15" i="4"/>
  <c r="N16" i="20" s="1"/>
  <c r="P15" i="4"/>
  <c r="M16" i="20" s="1"/>
  <c r="O15" i="4"/>
  <c r="L16" i="20" s="1"/>
  <c r="N15" i="4"/>
  <c r="K16" i="20" s="1"/>
  <c r="M15" i="4"/>
  <c r="J16" i="20" s="1"/>
  <c r="L15" i="4"/>
  <c r="I16" i="20" s="1"/>
  <c r="K15" i="4"/>
  <c r="H16" i="20" s="1"/>
  <c r="J15" i="4"/>
  <c r="G16" i="20" s="1"/>
  <c r="I15" i="4"/>
  <c r="F16" i="20" s="1"/>
  <c r="H15" i="4"/>
  <c r="E16" i="20" s="1"/>
  <c r="G15" i="4"/>
  <c r="D16" i="20" s="1"/>
  <c r="F15" i="4"/>
  <c r="C16" i="20" s="1"/>
  <c r="E15" i="4"/>
  <c r="B16" i="20" s="1"/>
  <c r="AI14" i="4"/>
  <c r="B35" i="20" s="1"/>
  <c r="AG14" i="4"/>
  <c r="O25" i="20" s="1"/>
  <c r="AE14" i="4"/>
  <c r="M25" i="20" s="1"/>
  <c r="AC14" i="4"/>
  <c r="K25" i="20" s="1"/>
  <c r="AA14" i="4"/>
  <c r="I25" i="20" s="1"/>
  <c r="Y14" i="4"/>
  <c r="G25" i="20" s="1"/>
  <c r="W14" i="4"/>
  <c r="E25" i="20" s="1"/>
  <c r="U14" i="4"/>
  <c r="C25" i="20" s="1"/>
  <c r="S14" i="4"/>
  <c r="P15" i="20" s="1"/>
  <c r="Q14" i="4"/>
  <c r="N15" i="20" s="1"/>
  <c r="O14" i="4"/>
  <c r="L15" i="20" s="1"/>
  <c r="M14" i="4"/>
  <c r="J15" i="20" s="1"/>
  <c r="K14" i="4"/>
  <c r="H15" i="20" s="1"/>
  <c r="I14" i="4"/>
  <c r="F15" i="20" s="1"/>
  <c r="G14" i="4"/>
  <c r="D15" i="20" s="1"/>
  <c r="E14" i="4"/>
  <c r="B15" i="20" s="1"/>
  <c r="AH14" i="4"/>
  <c r="P25" i="20" s="1"/>
  <c r="AF14" i="4"/>
  <c r="N25" i="20" s="1"/>
  <c r="AD14" i="4"/>
  <c r="L25" i="20" s="1"/>
  <c r="AB14" i="4"/>
  <c r="J25" i="20" s="1"/>
  <c r="Z14" i="4"/>
  <c r="H25" i="20" s="1"/>
  <c r="X14" i="4"/>
  <c r="F25" i="20" s="1"/>
  <c r="V14" i="4"/>
  <c r="D25" i="20" s="1"/>
  <c r="T14" i="4"/>
  <c r="B25" i="20" s="1"/>
  <c r="R14" i="4"/>
  <c r="O15" i="20" s="1"/>
  <c r="P14" i="4"/>
  <c r="M15" i="20" s="1"/>
  <c r="N14" i="4"/>
  <c r="K15" i="20" s="1"/>
  <c r="L14" i="4"/>
  <c r="I15" i="20" s="1"/>
  <c r="J14" i="4"/>
  <c r="G15" i="20" s="1"/>
  <c r="H14" i="4"/>
  <c r="E15" i="20" s="1"/>
  <c r="F14" i="4"/>
  <c r="C15" i="20" s="1"/>
  <c r="AI15" i="3"/>
  <c r="B36" i="21" s="1"/>
  <c r="AH15" i="3"/>
  <c r="P26" i="21" s="1"/>
  <c r="AG15" i="3"/>
  <c r="O26" i="21" s="1"/>
  <c r="AF15" i="3"/>
  <c r="N26" i="21" s="1"/>
  <c r="AE15" i="3"/>
  <c r="M26" i="21" s="1"/>
  <c r="AD15" i="3"/>
  <c r="L26" i="21" s="1"/>
  <c r="AC15" i="3"/>
  <c r="K26" i="21" s="1"/>
  <c r="AB15" i="3"/>
  <c r="J26" i="21" s="1"/>
  <c r="AA15" i="3"/>
  <c r="I26" i="21" s="1"/>
  <c r="Z15" i="3"/>
  <c r="H26" i="21" s="1"/>
  <c r="Y15" i="3"/>
  <c r="G26" i="21" s="1"/>
  <c r="X15" i="3"/>
  <c r="F26" i="21" s="1"/>
  <c r="W15" i="3"/>
  <c r="E26" i="21" s="1"/>
  <c r="V15" i="3"/>
  <c r="D26" i="21" s="1"/>
  <c r="U15" i="3"/>
  <c r="C26" i="21" s="1"/>
  <c r="T15" i="3"/>
  <c r="B26" i="21" s="1"/>
  <c r="S15" i="3"/>
  <c r="P16" i="21" s="1"/>
  <c r="R15" i="3"/>
  <c r="O16" i="21" s="1"/>
  <c r="Q15" i="3"/>
  <c r="N16" i="21" s="1"/>
  <c r="P15" i="3"/>
  <c r="M16" i="21" s="1"/>
  <c r="O15" i="3"/>
  <c r="L16" i="21" s="1"/>
  <c r="N15" i="3"/>
  <c r="K16" i="21" s="1"/>
  <c r="M15" i="3"/>
  <c r="J16" i="21" s="1"/>
  <c r="L15" i="3"/>
  <c r="I16" i="21" s="1"/>
  <c r="K15" i="3"/>
  <c r="H16" i="21" s="1"/>
  <c r="J15" i="3"/>
  <c r="G16" i="21" s="1"/>
  <c r="I15" i="3"/>
  <c r="F16" i="21" s="1"/>
  <c r="H15" i="3"/>
  <c r="E16" i="21" s="1"/>
  <c r="G15" i="3"/>
  <c r="D16" i="21" s="1"/>
  <c r="F15" i="3"/>
  <c r="C16" i="21" s="1"/>
  <c r="E15" i="3"/>
  <c r="AH14" i="3"/>
  <c r="P25" i="21" s="1"/>
  <c r="AF14" i="3"/>
  <c r="N25" i="21" s="1"/>
  <c r="AD14" i="3"/>
  <c r="L25" i="21" s="1"/>
  <c r="AB14" i="3"/>
  <c r="J25" i="21" s="1"/>
  <c r="Z14" i="3"/>
  <c r="H25" i="21" s="1"/>
  <c r="X14" i="3"/>
  <c r="F25" i="21" s="1"/>
  <c r="V14" i="3"/>
  <c r="D25" i="21" s="1"/>
  <c r="T14" i="3"/>
  <c r="B25" i="21" s="1"/>
  <c r="R14" i="3"/>
  <c r="O15" i="21" s="1"/>
  <c r="P14" i="3"/>
  <c r="M15" i="21" s="1"/>
  <c r="N14" i="3"/>
  <c r="K15" i="21" s="1"/>
  <c r="L14" i="3"/>
  <c r="I15" i="21" s="1"/>
  <c r="J14" i="3"/>
  <c r="G15" i="21" s="1"/>
  <c r="H14" i="3"/>
  <c r="E15" i="21" s="1"/>
  <c r="F14" i="3"/>
  <c r="C15" i="21" s="1"/>
  <c r="AI14" i="3"/>
  <c r="B35" i="21" s="1"/>
  <c r="AG14" i="3"/>
  <c r="O25" i="21" s="1"/>
  <c r="AE14" i="3"/>
  <c r="M25" i="21" s="1"/>
  <c r="AC14" i="3"/>
  <c r="K25" i="21" s="1"/>
  <c r="AA14" i="3"/>
  <c r="I25" i="21" s="1"/>
  <c r="Y14" i="3"/>
  <c r="G25" i="21" s="1"/>
  <c r="W14" i="3"/>
  <c r="E25" i="21" s="1"/>
  <c r="U14" i="3"/>
  <c r="C25" i="21" s="1"/>
  <c r="S14" i="3"/>
  <c r="P15" i="21" s="1"/>
  <c r="Q14" i="3"/>
  <c r="N15" i="21" s="1"/>
  <c r="O14" i="3"/>
  <c r="L15" i="21" s="1"/>
  <c r="M14" i="3"/>
  <c r="J15" i="21" s="1"/>
  <c r="K14" i="3"/>
  <c r="H15" i="21" s="1"/>
  <c r="I14" i="3"/>
  <c r="F15" i="21" s="1"/>
  <c r="G14" i="3"/>
  <c r="D15" i="21" s="1"/>
  <c r="E14" i="3"/>
  <c r="B15" i="21" s="1"/>
  <c r="AI15" i="6"/>
  <c r="B36" i="18" s="1"/>
  <c r="AH15" i="6"/>
  <c r="P26" i="18" s="1"/>
  <c r="AG15" i="6"/>
  <c r="O26" i="18" s="1"/>
  <c r="AF15" i="6"/>
  <c r="N26" i="18" s="1"/>
  <c r="AE15" i="6"/>
  <c r="M26" i="18" s="1"/>
  <c r="AD15" i="6"/>
  <c r="L26" i="18" s="1"/>
  <c r="AC15" i="6"/>
  <c r="K26" i="18" s="1"/>
  <c r="AB15" i="6"/>
  <c r="J26" i="18" s="1"/>
  <c r="AA15" i="6"/>
  <c r="I26" i="18" s="1"/>
  <c r="Z15" i="6"/>
  <c r="H26" i="18" s="1"/>
  <c r="O15" i="6"/>
  <c r="L16" i="18" s="1"/>
  <c r="K15" i="6"/>
  <c r="H16" i="18" s="1"/>
  <c r="I15" i="6"/>
  <c r="F16" i="18" s="1"/>
  <c r="G15" i="6"/>
  <c r="D16" i="18" s="1"/>
  <c r="E15" i="6"/>
  <c r="B16" i="18" s="1"/>
  <c r="AI14" i="6"/>
  <c r="B35" i="18" s="1"/>
  <c r="AH14" i="6"/>
  <c r="P25" i="18" s="1"/>
  <c r="AG14" i="6"/>
  <c r="O25" i="18" s="1"/>
  <c r="AF14" i="6"/>
  <c r="N25" i="18" s="1"/>
  <c r="AE14" i="6"/>
  <c r="M25" i="18" s="1"/>
  <c r="AD14" i="6"/>
  <c r="L25" i="18" s="1"/>
  <c r="AC14" i="6"/>
  <c r="K25" i="18" s="1"/>
  <c r="AB14" i="6"/>
  <c r="J25" i="18" s="1"/>
  <c r="AA14" i="6"/>
  <c r="I25" i="18" s="1"/>
  <c r="Z14" i="6"/>
  <c r="H25" i="18" s="1"/>
  <c r="Y14" i="6"/>
  <c r="G25" i="18" s="1"/>
  <c r="X14" i="6"/>
  <c r="F25" i="18" s="1"/>
  <c r="W14" i="6"/>
  <c r="E25" i="18" s="1"/>
  <c r="V14" i="6"/>
  <c r="D25" i="18" s="1"/>
  <c r="U14" i="6"/>
  <c r="C25" i="18" s="1"/>
  <c r="T14" i="6"/>
  <c r="B25" i="18" s="1"/>
  <c r="S14" i="6"/>
  <c r="P15" i="18" s="1"/>
  <c r="R14" i="6"/>
  <c r="O15" i="18" s="1"/>
  <c r="Q14" i="6"/>
  <c r="N15" i="18" s="1"/>
  <c r="P14" i="6"/>
  <c r="M15" i="18" s="1"/>
  <c r="O14" i="6"/>
  <c r="L15" i="18" s="1"/>
  <c r="N14" i="6"/>
  <c r="K15" i="18" s="1"/>
  <c r="M14" i="6"/>
  <c r="J15" i="18" s="1"/>
  <c r="L14" i="6"/>
  <c r="I15" i="18" s="1"/>
  <c r="K14" i="6"/>
  <c r="H15" i="18" s="1"/>
  <c r="J14" i="6"/>
  <c r="G15" i="18" s="1"/>
  <c r="I14" i="6"/>
  <c r="F15" i="18" s="1"/>
  <c r="H14" i="6"/>
  <c r="E15" i="18" s="1"/>
  <c r="G14" i="6"/>
  <c r="D15" i="18" s="1"/>
  <c r="F14" i="6"/>
  <c r="C15" i="18" s="1"/>
  <c r="E14" i="6"/>
  <c r="B15" i="18" s="1"/>
  <c r="Y15" i="6"/>
  <c r="G26" i="18" s="1"/>
  <c r="X15" i="6"/>
  <c r="F26" i="18" s="1"/>
  <c r="W15" i="6"/>
  <c r="E26" i="18" s="1"/>
  <c r="V15" i="6"/>
  <c r="D26" i="18" s="1"/>
  <c r="U15" i="6"/>
  <c r="C26" i="18" s="1"/>
  <c r="T15" i="6"/>
  <c r="B26" i="18" s="1"/>
  <c r="S15" i="6"/>
  <c r="P16" i="18" s="1"/>
  <c r="R15" i="6"/>
  <c r="O16" i="18" s="1"/>
  <c r="Q15" i="6"/>
  <c r="N16" i="18" s="1"/>
  <c r="P15" i="6"/>
  <c r="M16" i="18" s="1"/>
  <c r="N15" i="6"/>
  <c r="K16" i="18" s="1"/>
  <c r="M15" i="6"/>
  <c r="J16" i="18" s="1"/>
  <c r="L15" i="6"/>
  <c r="I16" i="18" s="1"/>
  <c r="J15" i="6"/>
  <c r="G16" i="18" s="1"/>
  <c r="H15" i="6"/>
  <c r="E16" i="18" s="1"/>
  <c r="F15" i="6"/>
  <c r="C16" i="18" s="1"/>
  <c r="AI14" i="13"/>
  <c r="B35" i="25" s="1"/>
  <c r="AH14" i="13"/>
  <c r="P25" i="25" s="1"/>
  <c r="AG14" i="13"/>
  <c r="O25" i="25" s="1"/>
  <c r="AF14" i="13"/>
  <c r="N25" i="25" s="1"/>
  <c r="AE14" i="13"/>
  <c r="M25" i="25" s="1"/>
  <c r="AD14" i="13"/>
  <c r="L25" i="25" s="1"/>
  <c r="AC14" i="13"/>
  <c r="K25" i="25" s="1"/>
  <c r="AB14" i="13"/>
  <c r="J25" i="25" s="1"/>
  <c r="AA14" i="13"/>
  <c r="I25" i="25" s="1"/>
  <c r="Z14" i="13"/>
  <c r="H25" i="25" s="1"/>
  <c r="Y14" i="13"/>
  <c r="G25" i="25" s="1"/>
  <c r="X14" i="13"/>
  <c r="F25" i="25" s="1"/>
  <c r="W14" i="13"/>
  <c r="E25" i="25" s="1"/>
  <c r="V14" i="13"/>
  <c r="D25" i="25" s="1"/>
  <c r="U14" i="13"/>
  <c r="C25" i="25" s="1"/>
  <c r="T14" i="13"/>
  <c r="B25" i="25" s="1"/>
  <c r="S14" i="13"/>
  <c r="P15" i="25" s="1"/>
  <c r="R14" i="13"/>
  <c r="O15" i="25" s="1"/>
  <c r="Q14" i="13"/>
  <c r="N15" i="25" s="1"/>
  <c r="P14" i="13"/>
  <c r="M15" i="25" s="1"/>
  <c r="O14" i="13"/>
  <c r="L15" i="25" s="1"/>
  <c r="N14" i="13"/>
  <c r="K15" i="25" s="1"/>
  <c r="M14" i="13"/>
  <c r="J15" i="25" s="1"/>
  <c r="L14" i="13"/>
  <c r="I15" i="25" s="1"/>
  <c r="K14" i="13"/>
  <c r="H15" i="25" s="1"/>
  <c r="J14" i="13"/>
  <c r="G15" i="25" s="1"/>
  <c r="I14" i="13"/>
  <c r="F15" i="25" s="1"/>
  <c r="H14" i="13"/>
  <c r="E15" i="25" s="1"/>
  <c r="G14" i="13"/>
  <c r="D15" i="25" s="1"/>
  <c r="F14" i="13"/>
  <c r="C15" i="25" s="1"/>
  <c r="E14" i="13"/>
  <c r="B15" i="25" s="1"/>
  <c r="AI15" i="13"/>
  <c r="B36" i="25" s="1"/>
  <c r="AG15" i="13"/>
  <c r="O26" i="25" s="1"/>
  <c r="AE15" i="13"/>
  <c r="M26" i="25" s="1"/>
  <c r="AC15" i="13"/>
  <c r="K26" i="25" s="1"/>
  <c r="AA15" i="13"/>
  <c r="I26" i="25" s="1"/>
  <c r="Y15" i="13"/>
  <c r="G26" i="25" s="1"/>
  <c r="W15" i="13"/>
  <c r="E26" i="25" s="1"/>
  <c r="U15" i="13"/>
  <c r="C26" i="25" s="1"/>
  <c r="S15" i="13"/>
  <c r="P16" i="25" s="1"/>
  <c r="Q15" i="13"/>
  <c r="N16" i="25" s="1"/>
  <c r="O15" i="13"/>
  <c r="L16" i="25" s="1"/>
  <c r="M15" i="13"/>
  <c r="J16" i="25" s="1"/>
  <c r="K15" i="13"/>
  <c r="H16" i="25" s="1"/>
  <c r="I15" i="13"/>
  <c r="F16" i="25" s="1"/>
  <c r="G15" i="13"/>
  <c r="D16" i="25" s="1"/>
  <c r="E15" i="13"/>
  <c r="B16" i="25" s="1"/>
  <c r="AH15" i="13"/>
  <c r="P26" i="25" s="1"/>
  <c r="AF15" i="13"/>
  <c r="N26" i="25" s="1"/>
  <c r="AD15" i="13"/>
  <c r="L26" i="25" s="1"/>
  <c r="AB15" i="13"/>
  <c r="J26" i="25" s="1"/>
  <c r="Z15" i="13"/>
  <c r="H26" i="25" s="1"/>
  <c r="X15" i="13"/>
  <c r="F26" i="25" s="1"/>
  <c r="V15" i="13"/>
  <c r="D26" i="25" s="1"/>
  <c r="T15" i="13"/>
  <c r="B26" i="25" s="1"/>
  <c r="R15" i="13"/>
  <c r="O16" i="25" s="1"/>
  <c r="P15" i="13"/>
  <c r="M16" i="25" s="1"/>
  <c r="N15" i="13"/>
  <c r="K16" i="25" s="1"/>
  <c r="L15" i="13"/>
  <c r="I16" i="25" s="1"/>
  <c r="J15" i="13"/>
  <c r="G16" i="25" s="1"/>
  <c r="H15" i="13"/>
  <c r="E16" i="25" s="1"/>
  <c r="F15" i="13"/>
  <c r="C16" i="25" s="1"/>
  <c r="AI14" i="11"/>
  <c r="B35" i="23" s="1"/>
  <c r="AH14" i="11"/>
  <c r="P25" i="23" s="1"/>
  <c r="AG14" i="11"/>
  <c r="O25" i="23" s="1"/>
  <c r="AF14" i="11"/>
  <c r="N25" i="23" s="1"/>
  <c r="AE14" i="11"/>
  <c r="M25" i="23" s="1"/>
  <c r="AD14" i="11"/>
  <c r="L25" i="23" s="1"/>
  <c r="AC14" i="11"/>
  <c r="K25" i="23" s="1"/>
  <c r="AB14" i="11"/>
  <c r="J25" i="23" s="1"/>
  <c r="AA14" i="11"/>
  <c r="I25" i="23" s="1"/>
  <c r="Z14" i="11"/>
  <c r="H25" i="23" s="1"/>
  <c r="Y14" i="11"/>
  <c r="G25" i="23" s="1"/>
  <c r="X14" i="11"/>
  <c r="F25" i="23" s="1"/>
  <c r="W14" i="11"/>
  <c r="E25" i="23" s="1"/>
  <c r="V14" i="11"/>
  <c r="D25" i="23" s="1"/>
  <c r="U14" i="11"/>
  <c r="C25" i="23" s="1"/>
  <c r="T14" i="11"/>
  <c r="B25" i="23" s="1"/>
  <c r="S14" i="11"/>
  <c r="P15" i="23" s="1"/>
  <c r="R14" i="11"/>
  <c r="O15" i="23" s="1"/>
  <c r="Q14" i="11"/>
  <c r="N15" i="23" s="1"/>
  <c r="P14" i="11"/>
  <c r="M15" i="23" s="1"/>
  <c r="O14" i="11"/>
  <c r="L15" i="23" s="1"/>
  <c r="N14" i="11"/>
  <c r="K15" i="23" s="1"/>
  <c r="M14" i="11"/>
  <c r="J15" i="23" s="1"/>
  <c r="L14" i="11"/>
  <c r="I15" i="23" s="1"/>
  <c r="AH15" i="11"/>
  <c r="P26" i="23" s="1"/>
  <c r="AF15" i="11"/>
  <c r="N26" i="23" s="1"/>
  <c r="AD15" i="11"/>
  <c r="L26" i="23" s="1"/>
  <c r="AB15" i="11"/>
  <c r="J26" i="23" s="1"/>
  <c r="Z15" i="11"/>
  <c r="H26" i="23" s="1"/>
  <c r="X15" i="11"/>
  <c r="F26" i="23" s="1"/>
  <c r="V15" i="11"/>
  <c r="D26" i="23" s="1"/>
  <c r="T15" i="11"/>
  <c r="B26" i="23" s="1"/>
  <c r="R15" i="11"/>
  <c r="O16" i="23" s="1"/>
  <c r="P15" i="11"/>
  <c r="M16" i="23" s="1"/>
  <c r="N15" i="11"/>
  <c r="K16" i="23" s="1"/>
  <c r="L15" i="11"/>
  <c r="I16" i="23" s="1"/>
  <c r="K14" i="11"/>
  <c r="H15" i="23" s="1"/>
  <c r="J14" i="11"/>
  <c r="G15" i="23" s="1"/>
  <c r="I14" i="11"/>
  <c r="F15" i="23" s="1"/>
  <c r="H14" i="11"/>
  <c r="E15" i="23" s="1"/>
  <c r="G14" i="11"/>
  <c r="D15" i="23" s="1"/>
  <c r="F14" i="11"/>
  <c r="C15" i="23" s="1"/>
  <c r="E14" i="11"/>
  <c r="B15" i="23" s="1"/>
  <c r="AI15" i="11"/>
  <c r="B36" i="23" s="1"/>
  <c r="AG15" i="11"/>
  <c r="O26" i="23" s="1"/>
  <c r="AE15" i="11"/>
  <c r="M26" i="23" s="1"/>
  <c r="AC15" i="11"/>
  <c r="K26" i="23" s="1"/>
  <c r="AA15" i="11"/>
  <c r="I26" i="23" s="1"/>
  <c r="Y15" i="11"/>
  <c r="G26" i="23" s="1"/>
  <c r="W15" i="11"/>
  <c r="E26" i="23" s="1"/>
  <c r="U15" i="11"/>
  <c r="C26" i="23" s="1"/>
  <c r="S15" i="11"/>
  <c r="P16" i="23" s="1"/>
  <c r="Q15" i="11"/>
  <c r="N16" i="23" s="1"/>
  <c r="O15" i="11"/>
  <c r="L16" i="23" s="1"/>
  <c r="M15" i="11"/>
  <c r="J16" i="23" s="1"/>
  <c r="K15" i="11"/>
  <c r="H16" i="23" s="1"/>
  <c r="J15" i="11"/>
  <c r="G16" i="23" s="1"/>
  <c r="I15" i="11"/>
  <c r="F16" i="23" s="1"/>
  <c r="H15" i="11"/>
  <c r="E16" i="23" s="1"/>
  <c r="G15" i="11"/>
  <c r="D16" i="23" s="1"/>
  <c r="F15" i="11"/>
  <c r="C16" i="23" s="1"/>
  <c r="E15" i="11"/>
  <c r="B16" i="23" s="1"/>
  <c r="AH15" i="5"/>
  <c r="P26" i="19" s="1"/>
  <c r="AG15" i="5"/>
  <c r="O26" i="19" s="1"/>
  <c r="AF15" i="5"/>
  <c r="N26" i="19" s="1"/>
  <c r="AE15" i="5"/>
  <c r="M26" i="19" s="1"/>
  <c r="AD15" i="5"/>
  <c r="L26" i="19" s="1"/>
  <c r="AC15" i="5"/>
  <c r="K26" i="19" s="1"/>
  <c r="AB15" i="5"/>
  <c r="J26" i="19" s="1"/>
  <c r="AA15" i="5"/>
  <c r="I26" i="19" s="1"/>
  <c r="Z15" i="5"/>
  <c r="H26" i="19" s="1"/>
  <c r="Y15" i="5"/>
  <c r="G26" i="19" s="1"/>
  <c r="X15" i="5"/>
  <c r="F26" i="19" s="1"/>
  <c r="W15" i="5"/>
  <c r="E26" i="19" s="1"/>
  <c r="V15" i="5"/>
  <c r="D26" i="19" s="1"/>
  <c r="U15" i="5"/>
  <c r="C26" i="19" s="1"/>
  <c r="T15" i="5"/>
  <c r="B26" i="19" s="1"/>
  <c r="S15" i="5"/>
  <c r="P16" i="19" s="1"/>
  <c r="R15" i="5"/>
  <c r="O16" i="19" s="1"/>
  <c r="Q15" i="5"/>
  <c r="N16" i="19" s="1"/>
  <c r="P15" i="5"/>
  <c r="M16" i="19" s="1"/>
  <c r="O15" i="5"/>
  <c r="L16" i="19" s="1"/>
  <c r="N15" i="5"/>
  <c r="K16" i="19" s="1"/>
  <c r="M15" i="5"/>
  <c r="J16" i="19" s="1"/>
  <c r="L15" i="5"/>
  <c r="I16" i="19" s="1"/>
  <c r="K15" i="5"/>
  <c r="H16" i="19" s="1"/>
  <c r="J15" i="5"/>
  <c r="G16" i="19" s="1"/>
  <c r="I15" i="5"/>
  <c r="F16" i="19" s="1"/>
  <c r="H15" i="5"/>
  <c r="E16" i="19" s="1"/>
  <c r="G15" i="5"/>
  <c r="D16" i="19" s="1"/>
  <c r="F15" i="5"/>
  <c r="C16" i="19" s="1"/>
  <c r="AG14" i="5"/>
  <c r="O25" i="19" s="1"/>
  <c r="AE14" i="5"/>
  <c r="M25" i="19" s="1"/>
  <c r="AC14" i="5"/>
  <c r="K25" i="19" s="1"/>
  <c r="AA14" i="5"/>
  <c r="I25" i="19" s="1"/>
  <c r="Y14" i="5"/>
  <c r="G25" i="19" s="1"/>
  <c r="W14" i="5"/>
  <c r="E25" i="19" s="1"/>
  <c r="U14" i="5"/>
  <c r="C25" i="19" s="1"/>
  <c r="S14" i="5"/>
  <c r="P15" i="19" s="1"/>
  <c r="Q14" i="5"/>
  <c r="N15" i="19" s="1"/>
  <c r="O14" i="5"/>
  <c r="L15" i="19" s="1"/>
  <c r="M14" i="5"/>
  <c r="J15" i="19" s="1"/>
  <c r="K14" i="5"/>
  <c r="H15" i="19" s="1"/>
  <c r="I14" i="5"/>
  <c r="F15" i="19" s="1"/>
  <c r="G14" i="5"/>
  <c r="D15" i="19" s="1"/>
  <c r="E15" i="5"/>
  <c r="AH14" i="5"/>
  <c r="P25" i="19" s="1"/>
  <c r="AF14" i="5"/>
  <c r="N25" i="19" s="1"/>
  <c r="AD14" i="5"/>
  <c r="L25" i="19" s="1"/>
  <c r="AB14" i="5"/>
  <c r="J25" i="19" s="1"/>
  <c r="Z14" i="5"/>
  <c r="H25" i="19" s="1"/>
  <c r="X14" i="5"/>
  <c r="F25" i="19" s="1"/>
  <c r="V14" i="5"/>
  <c r="D25" i="19" s="1"/>
  <c r="T14" i="5"/>
  <c r="B25" i="19" s="1"/>
  <c r="R14" i="5"/>
  <c r="O15" i="19" s="1"/>
  <c r="P14" i="5"/>
  <c r="M15" i="19" s="1"/>
  <c r="N14" i="5"/>
  <c r="K15" i="19" s="1"/>
  <c r="L14" i="5"/>
  <c r="I15" i="19" s="1"/>
  <c r="J14" i="5"/>
  <c r="G15" i="19" s="1"/>
  <c r="H14" i="5"/>
  <c r="E15" i="19" s="1"/>
  <c r="F14" i="5"/>
  <c r="C15" i="19" s="1"/>
  <c r="E14" i="5"/>
  <c r="AG14" i="9"/>
  <c r="O25" i="15" s="1"/>
  <c r="AF14" i="9"/>
  <c r="N25" i="15" s="1"/>
  <c r="AE14" i="9"/>
  <c r="M25" i="15" s="1"/>
  <c r="AD14" i="9"/>
  <c r="L25" i="15" s="1"/>
  <c r="AC14" i="9"/>
  <c r="K25" i="15" s="1"/>
  <c r="AB14" i="9"/>
  <c r="J25" i="15" s="1"/>
  <c r="AA14" i="9"/>
  <c r="I25" i="15" s="1"/>
  <c r="Z14" i="9"/>
  <c r="H25" i="15" s="1"/>
  <c r="Y14" i="9"/>
  <c r="G25" i="15" s="1"/>
  <c r="X14" i="9"/>
  <c r="F25" i="15" s="1"/>
  <c r="W14" i="9"/>
  <c r="E25" i="15" s="1"/>
  <c r="V14" i="9"/>
  <c r="D25" i="15" s="1"/>
  <c r="U14" i="9"/>
  <c r="C25" i="15" s="1"/>
  <c r="T14" i="9"/>
  <c r="B25" i="15" s="1"/>
  <c r="S14" i="9"/>
  <c r="P15" i="15" s="1"/>
  <c r="R14" i="9"/>
  <c r="O15" i="15" s="1"/>
  <c r="Q14" i="9"/>
  <c r="N15" i="15" s="1"/>
  <c r="P14" i="9"/>
  <c r="M15" i="15" s="1"/>
  <c r="O14" i="9"/>
  <c r="L15" i="15" s="1"/>
  <c r="N14" i="9"/>
  <c r="K15" i="15" s="1"/>
  <c r="M14" i="9"/>
  <c r="J15" i="15" s="1"/>
  <c r="L14" i="9"/>
  <c r="I15" i="15" s="1"/>
  <c r="K14" i="9"/>
  <c r="H15" i="15" s="1"/>
  <c r="J14" i="9"/>
  <c r="G15" i="15" s="1"/>
  <c r="I14" i="9"/>
  <c r="F15" i="15" s="1"/>
  <c r="H14" i="9"/>
  <c r="E15" i="15" s="1"/>
  <c r="G14" i="9"/>
  <c r="D15" i="15" s="1"/>
  <c r="F14" i="9"/>
  <c r="C15" i="15" s="1"/>
  <c r="E14" i="9"/>
  <c r="AF15" i="9"/>
  <c r="N26" i="15" s="1"/>
  <c r="AD15" i="9"/>
  <c r="L26" i="15" s="1"/>
  <c r="AB15" i="9"/>
  <c r="J26" i="15" s="1"/>
  <c r="Z15" i="9"/>
  <c r="H26" i="15" s="1"/>
  <c r="X15" i="9"/>
  <c r="F26" i="15" s="1"/>
  <c r="V15" i="9"/>
  <c r="D26" i="15" s="1"/>
  <c r="T15" i="9"/>
  <c r="B26" i="15" s="1"/>
  <c r="R15" i="9"/>
  <c r="O16" i="15" s="1"/>
  <c r="P15" i="9"/>
  <c r="M16" i="15" s="1"/>
  <c r="N15" i="9"/>
  <c r="K16" i="15" s="1"/>
  <c r="L15" i="9"/>
  <c r="I16" i="15" s="1"/>
  <c r="J15" i="9"/>
  <c r="G16" i="15" s="1"/>
  <c r="H15" i="9"/>
  <c r="E16" i="15" s="1"/>
  <c r="AG15" i="9"/>
  <c r="O26" i="15" s="1"/>
  <c r="AE15" i="9"/>
  <c r="M26" i="15" s="1"/>
  <c r="AC15" i="9"/>
  <c r="K26" i="15" s="1"/>
  <c r="AA15" i="9"/>
  <c r="I26" i="15" s="1"/>
  <c r="Y15" i="9"/>
  <c r="G26" i="15" s="1"/>
  <c r="W15" i="9"/>
  <c r="E26" i="15" s="1"/>
  <c r="U15" i="9"/>
  <c r="C26" i="15" s="1"/>
  <c r="S15" i="9"/>
  <c r="P16" i="15" s="1"/>
  <c r="Q15" i="9"/>
  <c r="N16" i="15" s="1"/>
  <c r="O15" i="9"/>
  <c r="L16" i="15" s="1"/>
  <c r="M15" i="9"/>
  <c r="J16" i="15" s="1"/>
  <c r="K15" i="9"/>
  <c r="H16" i="15" s="1"/>
  <c r="I15" i="9"/>
  <c r="F16" i="15" s="1"/>
  <c r="G15" i="9"/>
  <c r="D16" i="15" s="1"/>
  <c r="E15" i="9"/>
  <c r="F15" i="9"/>
  <c r="C16" i="15" s="1"/>
  <c r="AH14" i="2"/>
  <c r="P25" i="22" s="1"/>
  <c r="AG14" i="2"/>
  <c r="O25" i="22" s="1"/>
  <c r="AF14" i="2"/>
  <c r="N25" i="22" s="1"/>
  <c r="AE14" i="2"/>
  <c r="M25" i="22" s="1"/>
  <c r="AD14" i="2"/>
  <c r="L25" i="22" s="1"/>
  <c r="AC14" i="2"/>
  <c r="K25" i="22" s="1"/>
  <c r="AB14" i="2"/>
  <c r="J25" i="22" s="1"/>
  <c r="AA14" i="2"/>
  <c r="I25" i="22" s="1"/>
  <c r="Z14" i="2"/>
  <c r="H25" i="22" s="1"/>
  <c r="Y14" i="2"/>
  <c r="G25" i="22" s="1"/>
  <c r="X14" i="2"/>
  <c r="F25" i="22" s="1"/>
  <c r="W14" i="2"/>
  <c r="E25" i="22" s="1"/>
  <c r="V14" i="2"/>
  <c r="D25" i="22" s="1"/>
  <c r="U14" i="2"/>
  <c r="C25" i="22" s="1"/>
  <c r="T14" i="2"/>
  <c r="B25" i="22" s="1"/>
  <c r="S14" i="2"/>
  <c r="P15" i="22" s="1"/>
  <c r="R14" i="2"/>
  <c r="O15" i="22" s="1"/>
  <c r="Q14" i="2"/>
  <c r="N15" i="22" s="1"/>
  <c r="P14" i="2"/>
  <c r="M15" i="22" s="1"/>
  <c r="O14" i="2"/>
  <c r="L15" i="22" s="1"/>
  <c r="N14" i="2"/>
  <c r="K15" i="22" s="1"/>
  <c r="AH15" i="2"/>
  <c r="P26" i="22" s="1"/>
  <c r="AG15" i="2"/>
  <c r="O26" i="22" s="1"/>
  <c r="AF15" i="2"/>
  <c r="N26" i="22" s="1"/>
  <c r="AE15" i="2"/>
  <c r="M26" i="22" s="1"/>
  <c r="AD15" i="2"/>
  <c r="L26" i="22" s="1"/>
  <c r="AC15" i="2"/>
  <c r="K26" i="22" s="1"/>
  <c r="AB15" i="2"/>
  <c r="J26" i="22" s="1"/>
  <c r="AA15" i="2"/>
  <c r="I26" i="22" s="1"/>
  <c r="Z15" i="2"/>
  <c r="H26" i="22" s="1"/>
  <c r="Y15" i="2"/>
  <c r="G26" i="22" s="1"/>
  <c r="X15" i="2"/>
  <c r="F26" i="22" s="1"/>
  <c r="W15" i="2"/>
  <c r="E26" i="22" s="1"/>
  <c r="V15" i="2"/>
  <c r="D26" i="22" s="1"/>
  <c r="U15" i="2"/>
  <c r="C26" i="22" s="1"/>
  <c r="T15" i="2"/>
  <c r="B26" i="22" s="1"/>
  <c r="S15" i="2"/>
  <c r="P16" i="22" s="1"/>
  <c r="R15" i="2"/>
  <c r="O16" i="22" s="1"/>
  <c r="Q15" i="2"/>
  <c r="N16" i="22" s="1"/>
  <c r="P15" i="2"/>
  <c r="M16" i="22" s="1"/>
  <c r="O15" i="2"/>
  <c r="L16" i="22" s="1"/>
  <c r="N15" i="2"/>
  <c r="K16" i="22" s="1"/>
  <c r="M15" i="2"/>
  <c r="J16" i="22" s="1"/>
  <c r="L15" i="2"/>
  <c r="I16" i="22" s="1"/>
  <c r="K15" i="2"/>
  <c r="H16" i="22" s="1"/>
  <c r="J15" i="2"/>
  <c r="G16" i="22" s="1"/>
  <c r="I15" i="2"/>
  <c r="F16" i="22" s="1"/>
  <c r="H15" i="2"/>
  <c r="E16" i="22" s="1"/>
  <c r="G15" i="2"/>
  <c r="D16" i="22" s="1"/>
  <c r="F15" i="2"/>
  <c r="C16" i="22" s="1"/>
  <c r="E15" i="2"/>
  <c r="B16" i="22" s="1"/>
  <c r="M14" i="2"/>
  <c r="J15" i="22" s="1"/>
  <c r="K14" i="2"/>
  <c r="H15" i="22" s="1"/>
  <c r="I14" i="2"/>
  <c r="F15" i="22" s="1"/>
  <c r="G14" i="2"/>
  <c r="D15" i="22" s="1"/>
  <c r="E14" i="2"/>
  <c r="B15" i="22" s="1"/>
  <c r="L14" i="2"/>
  <c r="I15" i="22" s="1"/>
  <c r="J14" i="2"/>
  <c r="G15" i="22" s="1"/>
  <c r="H14" i="2"/>
  <c r="E15" i="22" s="1"/>
  <c r="F14" i="2"/>
  <c r="C15" i="22" s="1"/>
  <c r="AI15" i="8"/>
  <c r="B36" i="16" s="1"/>
  <c r="AG15" i="8"/>
  <c r="O26" i="16" s="1"/>
  <c r="AE15" i="8"/>
  <c r="M26" i="16" s="1"/>
  <c r="AC15" i="8"/>
  <c r="K26" i="16" s="1"/>
  <c r="AA15" i="8"/>
  <c r="I26" i="16" s="1"/>
  <c r="AI14" i="8"/>
  <c r="B35" i="16" s="1"/>
  <c r="AH14" i="8"/>
  <c r="P25" i="16" s="1"/>
  <c r="AG14" i="8"/>
  <c r="O25" i="16" s="1"/>
  <c r="AF14" i="8"/>
  <c r="N25" i="16" s="1"/>
  <c r="AE14" i="8"/>
  <c r="M25" i="16" s="1"/>
  <c r="AD14" i="8"/>
  <c r="L25" i="16" s="1"/>
  <c r="AC14" i="8"/>
  <c r="K25" i="16" s="1"/>
  <c r="AB14" i="8"/>
  <c r="J25" i="16" s="1"/>
  <c r="AA14" i="8"/>
  <c r="I25" i="16" s="1"/>
  <c r="Z14" i="8"/>
  <c r="H25" i="16" s="1"/>
  <c r="Y14" i="8"/>
  <c r="G25" i="16" s="1"/>
  <c r="X14" i="8"/>
  <c r="F25" i="16" s="1"/>
  <c r="W14" i="8"/>
  <c r="E25" i="16" s="1"/>
  <c r="V14" i="8"/>
  <c r="D25" i="16" s="1"/>
  <c r="U14" i="8"/>
  <c r="C25" i="16" s="1"/>
  <c r="T14" i="8"/>
  <c r="B25" i="16" s="1"/>
  <c r="S14" i="8"/>
  <c r="P15" i="16" s="1"/>
  <c r="R14" i="8"/>
  <c r="O15" i="16" s="1"/>
  <c r="Q14" i="8"/>
  <c r="N15" i="16" s="1"/>
  <c r="P14" i="8"/>
  <c r="M15" i="16" s="1"/>
  <c r="O14" i="8"/>
  <c r="L15" i="16" s="1"/>
  <c r="N14" i="8"/>
  <c r="K15" i="16" s="1"/>
  <c r="M14" i="8"/>
  <c r="J15" i="16" s="1"/>
  <c r="L14" i="8"/>
  <c r="I15" i="16" s="1"/>
  <c r="K14" i="8"/>
  <c r="H15" i="16" s="1"/>
  <c r="J14" i="8"/>
  <c r="G15" i="16" s="1"/>
  <c r="I14" i="8"/>
  <c r="F15" i="16" s="1"/>
  <c r="H14" i="8"/>
  <c r="E15" i="16" s="1"/>
  <c r="G14" i="8"/>
  <c r="D15" i="16" s="1"/>
  <c r="F14" i="8"/>
  <c r="C15" i="16" s="1"/>
  <c r="E14" i="8"/>
  <c r="AH15" i="8"/>
  <c r="P26" i="16" s="1"/>
  <c r="AF15" i="8"/>
  <c r="N26" i="16" s="1"/>
  <c r="AD15" i="8"/>
  <c r="L26" i="16" s="1"/>
  <c r="AB15" i="8"/>
  <c r="J26" i="16" s="1"/>
  <c r="Z15" i="8"/>
  <c r="H26" i="16" s="1"/>
  <c r="Y15" i="8"/>
  <c r="G26" i="16" s="1"/>
  <c r="W15" i="8"/>
  <c r="E26" i="16" s="1"/>
  <c r="U15" i="8"/>
  <c r="C26" i="16" s="1"/>
  <c r="S15" i="8"/>
  <c r="P16" i="16" s="1"/>
  <c r="Q15" i="8"/>
  <c r="N16" i="16" s="1"/>
  <c r="O15" i="8"/>
  <c r="L16" i="16" s="1"/>
  <c r="M15" i="8"/>
  <c r="J16" i="16" s="1"/>
  <c r="K15" i="8"/>
  <c r="H16" i="16" s="1"/>
  <c r="I15" i="8"/>
  <c r="F16" i="16" s="1"/>
  <c r="G15" i="8"/>
  <c r="D16" i="16" s="1"/>
  <c r="E15" i="8"/>
  <c r="X15" i="8"/>
  <c r="F26" i="16" s="1"/>
  <c r="V15" i="8"/>
  <c r="D26" i="16" s="1"/>
  <c r="T15" i="8"/>
  <c r="B26" i="16" s="1"/>
  <c r="R15" i="8"/>
  <c r="O16" i="16" s="1"/>
  <c r="P15" i="8"/>
  <c r="M16" i="16" s="1"/>
  <c r="N15" i="8"/>
  <c r="K16" i="16" s="1"/>
  <c r="L15" i="8"/>
  <c r="I16" i="16" s="1"/>
  <c r="J15" i="8"/>
  <c r="G16" i="16" s="1"/>
  <c r="H15" i="8"/>
  <c r="E16" i="16" s="1"/>
  <c r="F15" i="8"/>
  <c r="C16" i="16" s="1"/>
  <c r="AG15" i="7"/>
  <c r="O26" i="17" s="1"/>
  <c r="AE15" i="7"/>
  <c r="M26" i="17" s="1"/>
  <c r="AB15" i="7"/>
  <c r="J26" i="17" s="1"/>
  <c r="Z15" i="7"/>
  <c r="H26" i="17" s="1"/>
  <c r="X15" i="7"/>
  <c r="F26" i="17" s="1"/>
  <c r="V15" i="7"/>
  <c r="D26" i="17" s="1"/>
  <c r="T15" i="7"/>
  <c r="B26" i="17" s="1"/>
  <c r="R15" i="7"/>
  <c r="O16" i="17" s="1"/>
  <c r="P15" i="7"/>
  <c r="M16" i="17" s="1"/>
  <c r="N15" i="7"/>
  <c r="K16" i="17" s="1"/>
  <c r="L15" i="7"/>
  <c r="I16" i="17" s="1"/>
  <c r="J15" i="7"/>
  <c r="G16" i="17" s="1"/>
  <c r="H15" i="7"/>
  <c r="E16" i="17" s="1"/>
  <c r="F15" i="7"/>
  <c r="C16" i="17" s="1"/>
  <c r="AH14" i="7"/>
  <c r="P25" i="17" s="1"/>
  <c r="AG14" i="7"/>
  <c r="O25" i="17" s="1"/>
  <c r="AF14" i="7"/>
  <c r="N25" i="17" s="1"/>
  <c r="AE14" i="7"/>
  <c r="M25" i="17" s="1"/>
  <c r="AD14" i="7"/>
  <c r="L25" i="17" s="1"/>
  <c r="AC14" i="7"/>
  <c r="K25" i="17" s="1"/>
  <c r="AB14" i="7"/>
  <c r="J25" i="17" s="1"/>
  <c r="AA14" i="7"/>
  <c r="I25" i="17" s="1"/>
  <c r="Z14" i="7"/>
  <c r="H25" i="17" s="1"/>
  <c r="Y14" i="7"/>
  <c r="G25" i="17" s="1"/>
  <c r="X14" i="7"/>
  <c r="F25" i="17" s="1"/>
  <c r="W14" i="7"/>
  <c r="E25" i="17" s="1"/>
  <c r="V14" i="7"/>
  <c r="D25" i="17" s="1"/>
  <c r="U14" i="7"/>
  <c r="C25" i="17" s="1"/>
  <c r="T14" i="7"/>
  <c r="B25" i="17" s="1"/>
  <c r="S14" i="7"/>
  <c r="P15" i="17" s="1"/>
  <c r="R14" i="7"/>
  <c r="O15" i="17" s="1"/>
  <c r="Q14" i="7"/>
  <c r="N15" i="17" s="1"/>
  <c r="P14" i="7"/>
  <c r="M15" i="17" s="1"/>
  <c r="O14" i="7"/>
  <c r="L15" i="17" s="1"/>
  <c r="N14" i="7"/>
  <c r="K15" i="17" s="1"/>
  <c r="M14" i="7"/>
  <c r="J15" i="17" s="1"/>
  <c r="L14" i="7"/>
  <c r="I15" i="17" s="1"/>
  <c r="K14" i="7"/>
  <c r="H15" i="17" s="1"/>
  <c r="J14" i="7"/>
  <c r="G15" i="17" s="1"/>
  <c r="I14" i="7"/>
  <c r="F15" i="17" s="1"/>
  <c r="H14" i="7"/>
  <c r="E15" i="17" s="1"/>
  <c r="G14" i="7"/>
  <c r="D15" i="17" s="1"/>
  <c r="F14" i="7"/>
  <c r="C15" i="17" s="1"/>
  <c r="E14" i="7"/>
  <c r="B15" i="17" s="1"/>
  <c r="AH15" i="7"/>
  <c r="P26" i="17" s="1"/>
  <c r="AF15" i="7"/>
  <c r="N26" i="17" s="1"/>
  <c r="AD15" i="7"/>
  <c r="L26" i="17" s="1"/>
  <c r="AC15" i="7"/>
  <c r="K26" i="17" s="1"/>
  <c r="AA15" i="7"/>
  <c r="I26" i="17" s="1"/>
  <c r="Y15" i="7"/>
  <c r="G26" i="17" s="1"/>
  <c r="W15" i="7"/>
  <c r="E26" i="17" s="1"/>
  <c r="U15" i="7"/>
  <c r="C26" i="17" s="1"/>
  <c r="S15" i="7"/>
  <c r="P16" i="17" s="1"/>
  <c r="Q15" i="7"/>
  <c r="N16" i="17" s="1"/>
  <c r="O15" i="7"/>
  <c r="L16" i="17" s="1"/>
  <c r="M15" i="7"/>
  <c r="J16" i="17" s="1"/>
  <c r="K15" i="7"/>
  <c r="H16" i="17" s="1"/>
  <c r="I15" i="7"/>
  <c r="F16" i="17" s="1"/>
  <c r="G15" i="7"/>
  <c r="D16" i="17" s="1"/>
  <c r="E15" i="7"/>
  <c r="B16" i="17" s="1"/>
  <c r="AH14" i="12"/>
  <c r="P25" i="24" s="1"/>
  <c r="AG14" i="12"/>
  <c r="O25" i="24" s="1"/>
  <c r="AF14" i="12"/>
  <c r="N25" i="24" s="1"/>
  <c r="AE14" i="12"/>
  <c r="M25" i="24" s="1"/>
  <c r="AD14" i="12"/>
  <c r="L25" i="24" s="1"/>
  <c r="AC14" i="12"/>
  <c r="K25" i="24" s="1"/>
  <c r="AB14" i="12"/>
  <c r="J25" i="24" s="1"/>
  <c r="AA14" i="12"/>
  <c r="I25" i="24" s="1"/>
  <c r="Z14" i="12"/>
  <c r="H25" i="24" s="1"/>
  <c r="Y14" i="12"/>
  <c r="G25" i="24" s="1"/>
  <c r="X14" i="12"/>
  <c r="F25" i="24" s="1"/>
  <c r="W14" i="12"/>
  <c r="E25" i="24" s="1"/>
  <c r="V14" i="12"/>
  <c r="D25" i="24" s="1"/>
  <c r="U14" i="12"/>
  <c r="C25" i="24" s="1"/>
  <c r="T14" i="12"/>
  <c r="B25" i="24" s="1"/>
  <c r="S14" i="12"/>
  <c r="P15" i="24" s="1"/>
  <c r="R14" i="12"/>
  <c r="O15" i="24" s="1"/>
  <c r="Q14" i="12"/>
  <c r="N15" i="24" s="1"/>
  <c r="P14" i="12"/>
  <c r="M15" i="24" s="1"/>
  <c r="O14" i="12"/>
  <c r="L15" i="24" s="1"/>
  <c r="N14" i="12"/>
  <c r="K15" i="24" s="1"/>
  <c r="M14" i="12"/>
  <c r="J15" i="24" s="1"/>
  <c r="L14" i="12"/>
  <c r="I15" i="24" s="1"/>
  <c r="K14" i="12"/>
  <c r="H15" i="24" s="1"/>
  <c r="J14" i="12"/>
  <c r="G15" i="24" s="1"/>
  <c r="I14" i="12"/>
  <c r="F15" i="24" s="1"/>
  <c r="H14" i="12"/>
  <c r="E15" i="24" s="1"/>
  <c r="G14" i="12"/>
  <c r="D15" i="24" s="1"/>
  <c r="F14" i="12"/>
  <c r="C15" i="24" s="1"/>
  <c r="E14" i="12"/>
  <c r="AG15" i="12"/>
  <c r="O26" i="24" s="1"/>
  <c r="AE15" i="12"/>
  <c r="M26" i="24" s="1"/>
  <c r="AC15" i="12"/>
  <c r="K26" i="24" s="1"/>
  <c r="AA15" i="12"/>
  <c r="I26" i="24" s="1"/>
  <c r="Y15" i="12"/>
  <c r="G26" i="24" s="1"/>
  <c r="W15" i="12"/>
  <c r="E26" i="24" s="1"/>
  <c r="U15" i="12"/>
  <c r="C26" i="24" s="1"/>
  <c r="S15" i="12"/>
  <c r="P16" i="24" s="1"/>
  <c r="Q15" i="12"/>
  <c r="N16" i="24" s="1"/>
  <c r="O15" i="12"/>
  <c r="L16" i="24" s="1"/>
  <c r="M15" i="12"/>
  <c r="J16" i="24" s="1"/>
  <c r="K15" i="12"/>
  <c r="H16" i="24" s="1"/>
  <c r="I15" i="12"/>
  <c r="F16" i="24" s="1"/>
  <c r="G15" i="12"/>
  <c r="D16" i="24" s="1"/>
  <c r="E15" i="12"/>
  <c r="B16" i="24" s="1"/>
  <c r="AH15" i="12"/>
  <c r="P26" i="24" s="1"/>
  <c r="AF15" i="12"/>
  <c r="N26" i="24" s="1"/>
  <c r="AD15" i="12"/>
  <c r="L26" i="24" s="1"/>
  <c r="AB15" i="12"/>
  <c r="J26" i="24" s="1"/>
  <c r="Z15" i="12"/>
  <c r="H26" i="24" s="1"/>
  <c r="X15" i="12"/>
  <c r="F26" i="24" s="1"/>
  <c r="V15" i="12"/>
  <c r="D26" i="24" s="1"/>
  <c r="T15" i="12"/>
  <c r="B26" i="24" s="1"/>
  <c r="R15" i="12"/>
  <c r="O16" i="24" s="1"/>
  <c r="P15" i="12"/>
  <c r="M16" i="24" s="1"/>
  <c r="N15" i="12"/>
  <c r="K16" i="24" s="1"/>
  <c r="L15" i="12"/>
  <c r="I16" i="24" s="1"/>
  <c r="J15" i="12"/>
  <c r="G16" i="24" s="1"/>
  <c r="H15" i="12"/>
  <c r="E16" i="24" s="1"/>
  <c r="F15" i="12"/>
  <c r="C16" i="24" s="1"/>
  <c r="B26" i="13"/>
  <c r="B27" i="13"/>
  <c r="B28" i="13"/>
  <c r="B26" i="12"/>
  <c r="B27" i="12"/>
  <c r="B28" i="12"/>
  <c r="B26" i="11"/>
  <c r="B27" i="11"/>
  <c r="B28" i="11"/>
  <c r="B26" i="2"/>
  <c r="B27" i="2"/>
  <c r="B28" i="2"/>
  <c r="B26" i="3"/>
  <c r="B27" i="3"/>
  <c r="B28" i="3"/>
  <c r="B26" i="4"/>
  <c r="B27" i="4"/>
  <c r="B28" i="4"/>
  <c r="B26" i="5"/>
  <c r="B27" i="5"/>
  <c r="B28" i="5"/>
  <c r="B26" i="6"/>
  <c r="B27" i="6"/>
  <c r="B28" i="6"/>
  <c r="B26" i="7"/>
  <c r="B27" i="7"/>
  <c r="B28" i="7"/>
  <c r="B26" i="8"/>
  <c r="B27" i="8"/>
  <c r="B28" i="8"/>
  <c r="B26" i="9"/>
  <c r="B27" i="9"/>
  <c r="B28" i="9"/>
  <c r="A16" i="25" l="1"/>
  <c r="A15" i="25"/>
  <c r="A15" i="24"/>
  <c r="B15" i="24"/>
  <c r="A16" i="24"/>
  <c r="A16" i="23"/>
  <c r="A15" i="23"/>
  <c r="A15" i="22"/>
  <c r="A16" i="22"/>
  <c r="A16" i="21"/>
  <c r="B16" i="21"/>
  <c r="A15" i="21"/>
  <c r="A15" i="20"/>
  <c r="A16" i="20"/>
  <c r="A15" i="19"/>
  <c r="B15" i="19"/>
  <c r="A16" i="19"/>
  <c r="B16" i="19"/>
  <c r="A15" i="18"/>
  <c r="A16" i="18"/>
  <c r="A16" i="17"/>
  <c r="A15" i="17"/>
  <c r="B16" i="16"/>
  <c r="A16" i="16"/>
  <c r="B15" i="16"/>
  <c r="A15" i="16"/>
  <c r="B16" i="15"/>
  <c r="A16" i="15"/>
  <c r="B15" i="15"/>
  <c r="A15" i="15"/>
  <c r="H6" i="25"/>
  <c r="I4" i="25"/>
  <c r="H6" i="24" l="1"/>
  <c r="I4" i="24"/>
  <c r="H6" i="23"/>
  <c r="I4" i="23"/>
  <c r="H6" i="22"/>
  <c r="I4" i="22"/>
  <c r="H6" i="21"/>
  <c r="I4" i="21"/>
  <c r="H6" i="20"/>
  <c r="I4" i="20"/>
  <c r="H6" i="19"/>
  <c r="I4" i="19"/>
  <c r="H6" i="18"/>
  <c r="I4" i="18"/>
  <c r="H6" i="17"/>
  <c r="I4" i="17"/>
  <c r="H6" i="16" l="1"/>
  <c r="I4" i="16"/>
  <c r="H6" i="15"/>
  <c r="I4" i="15"/>
  <c r="I4" i="14"/>
  <c r="H6" i="14"/>
  <c r="M4" i="13" l="1"/>
  <c r="M4" i="12"/>
  <c r="M4" i="11"/>
  <c r="M4" i="2"/>
  <c r="M4" i="3"/>
  <c r="M4" i="4"/>
  <c r="M4" i="5"/>
  <c r="M4" i="6"/>
  <c r="M4" i="7"/>
  <c r="M4" i="8"/>
  <c r="M4" i="9"/>
  <c r="M4" i="10"/>
  <c r="AK28" i="13" l="1"/>
  <c r="AK27" i="13"/>
  <c r="R5" i="13"/>
  <c r="AJ17" i="13" l="1"/>
  <c r="AJ28" i="12"/>
  <c r="AJ27" i="12"/>
  <c r="R5" i="12"/>
  <c r="AK28" i="11"/>
  <c r="AK27" i="11"/>
  <c r="R5" i="11"/>
  <c r="AI17" i="12" l="1"/>
  <c r="AJ17" i="11"/>
  <c r="AK28" i="10"/>
  <c r="AK27" i="10"/>
  <c r="R5" i="10"/>
  <c r="AJ17" i="10" l="1"/>
  <c r="AI27" i="9"/>
  <c r="AI28" i="9"/>
  <c r="R5" i="9"/>
  <c r="AK28" i="8"/>
  <c r="AK27" i="8"/>
  <c r="R5" i="8"/>
  <c r="AJ28" i="7"/>
  <c r="AJ27" i="7"/>
  <c r="R5" i="7"/>
  <c r="AK28" i="6"/>
  <c r="AK27" i="6"/>
  <c r="R5" i="6"/>
  <c r="R5" i="2"/>
  <c r="R5" i="3"/>
  <c r="R5" i="4"/>
  <c r="R5" i="5"/>
  <c r="AJ28" i="5"/>
  <c r="AJ27" i="5"/>
  <c r="AH17" i="9" l="1"/>
  <c r="AJ17" i="8"/>
  <c r="AI17" i="7"/>
  <c r="AJ17" i="6"/>
  <c r="AI17" i="5"/>
  <c r="AK27" i="4" l="1"/>
  <c r="AK28" i="4"/>
  <c r="AK27" i="3" l="1"/>
  <c r="AK28" i="3"/>
  <c r="AJ27" i="2"/>
  <c r="AJ28" i="2"/>
  <c r="AJ17" i="3" l="1"/>
  <c r="AJ17" i="4"/>
  <c r="AK18" i="1"/>
  <c r="AJ18" i="1"/>
  <c r="P20" i="25" s="1"/>
  <c r="AI18" i="1"/>
  <c r="O20" i="25" s="1"/>
  <c r="AH18" i="1"/>
  <c r="N20" i="25" s="1"/>
  <c r="AG18" i="1"/>
  <c r="AF18" i="1"/>
  <c r="L20" i="25" s="1"/>
  <c r="AE18" i="1"/>
  <c r="K20" i="25" s="1"/>
  <c r="AD18" i="1"/>
  <c r="J20" i="25" s="1"/>
  <c r="AC18" i="1"/>
  <c r="AB18" i="1"/>
  <c r="H20" i="25" s="1"/>
  <c r="AA18" i="1"/>
  <c r="G20" i="25" s="1"/>
  <c r="Z18" i="1"/>
  <c r="F20" i="25" s="1"/>
  <c r="Y18" i="1"/>
  <c r="X18" i="1"/>
  <c r="D20" i="25" s="1"/>
  <c r="W18" i="1"/>
  <c r="C20" i="25" s="1"/>
  <c r="V18" i="1"/>
  <c r="B20" i="25" s="1"/>
  <c r="U18" i="1"/>
  <c r="T18" i="1"/>
  <c r="O10" i="25" s="1"/>
  <c r="S18" i="1"/>
  <c r="N10" i="25" s="1"/>
  <c r="R18" i="1"/>
  <c r="M10" i="25" s="1"/>
  <c r="Q18" i="1"/>
  <c r="P18" i="1"/>
  <c r="K10" i="25" s="1"/>
  <c r="O18" i="1"/>
  <c r="J10" i="25" s="1"/>
  <c r="N18" i="1"/>
  <c r="I10" i="25" s="1"/>
  <c r="M18" i="1"/>
  <c r="L18" i="1"/>
  <c r="G10" i="25" s="1"/>
  <c r="K18" i="1"/>
  <c r="F10" i="25" s="1"/>
  <c r="J18" i="1"/>
  <c r="E10" i="25" s="1"/>
  <c r="I18" i="1"/>
  <c r="H18" i="1"/>
  <c r="C10" i="25" s="1"/>
  <c r="G18" i="1"/>
  <c r="B10" i="25" s="1"/>
  <c r="AK17" i="1"/>
  <c r="AK31" i="1" s="1"/>
  <c r="AJ17" i="1"/>
  <c r="P20" i="24" s="1"/>
  <c r="AI17" i="1"/>
  <c r="AH17" i="1"/>
  <c r="N20" i="24" s="1"/>
  <c r="AG17" i="1"/>
  <c r="M20" i="24" s="1"/>
  <c r="AF17" i="1"/>
  <c r="L20" i="24" s="1"/>
  <c r="AE17" i="1"/>
  <c r="AD17" i="1"/>
  <c r="J20" i="24" s="1"/>
  <c r="AC17" i="1"/>
  <c r="I20" i="24" s="1"/>
  <c r="AB17" i="1"/>
  <c r="H20" i="24" s="1"/>
  <c r="AA17" i="1"/>
  <c r="Z17" i="1"/>
  <c r="F20" i="24" s="1"/>
  <c r="Y17" i="1"/>
  <c r="E20" i="24" s="1"/>
  <c r="X17" i="1"/>
  <c r="D20" i="24" s="1"/>
  <c r="W17" i="1"/>
  <c r="V17" i="1"/>
  <c r="B20" i="24" s="1"/>
  <c r="U17" i="1"/>
  <c r="P10" i="24" s="1"/>
  <c r="T17" i="1"/>
  <c r="O10" i="24" s="1"/>
  <c r="S17" i="1"/>
  <c r="R17" i="1"/>
  <c r="M10" i="24" s="1"/>
  <c r="Q17" i="1"/>
  <c r="L10" i="24" s="1"/>
  <c r="P17" i="1"/>
  <c r="K10" i="24" s="1"/>
  <c r="O17" i="1"/>
  <c r="N17" i="1"/>
  <c r="I10" i="24" s="1"/>
  <c r="M17" i="1"/>
  <c r="H10" i="24" s="1"/>
  <c r="L17" i="1"/>
  <c r="G10" i="24" s="1"/>
  <c r="K17" i="1"/>
  <c r="J17" i="1"/>
  <c r="E10" i="24" s="1"/>
  <c r="I17" i="1"/>
  <c r="D10" i="24" s="1"/>
  <c r="H17" i="1"/>
  <c r="C10" i="24" s="1"/>
  <c r="G17" i="1"/>
  <c r="AK16" i="1"/>
  <c r="AJ16" i="1"/>
  <c r="P20" i="23" s="1"/>
  <c r="AI16" i="1"/>
  <c r="O20" i="23" s="1"/>
  <c r="AH16" i="1"/>
  <c r="N20" i="23" s="1"/>
  <c r="AG16" i="1"/>
  <c r="AF16" i="1"/>
  <c r="L20" i="23" s="1"/>
  <c r="AE16" i="1"/>
  <c r="K20" i="23" s="1"/>
  <c r="AD16" i="1"/>
  <c r="J20" i="23" s="1"/>
  <c r="AC16" i="1"/>
  <c r="AB16" i="1"/>
  <c r="H20" i="23" s="1"/>
  <c r="AA16" i="1"/>
  <c r="G20" i="23" s="1"/>
  <c r="Z16" i="1"/>
  <c r="F20" i="23" s="1"/>
  <c r="Y16" i="1"/>
  <c r="X16" i="1"/>
  <c r="D20" i="23" s="1"/>
  <c r="W16" i="1"/>
  <c r="C20" i="23" s="1"/>
  <c r="V16" i="1"/>
  <c r="B20" i="23" s="1"/>
  <c r="U16" i="1"/>
  <c r="T16" i="1"/>
  <c r="O10" i="23" s="1"/>
  <c r="S16" i="1"/>
  <c r="N10" i="23" s="1"/>
  <c r="R16" i="1"/>
  <c r="M10" i="23" s="1"/>
  <c r="Q16" i="1"/>
  <c r="P16" i="1"/>
  <c r="K10" i="23" s="1"/>
  <c r="O16" i="1"/>
  <c r="J10" i="23" s="1"/>
  <c r="N16" i="1"/>
  <c r="I10" i="23" s="1"/>
  <c r="M16" i="1"/>
  <c r="L16" i="1"/>
  <c r="G10" i="23" s="1"/>
  <c r="K16" i="1"/>
  <c r="F10" i="23" s="1"/>
  <c r="J16" i="1"/>
  <c r="E10" i="23" s="1"/>
  <c r="I16" i="1"/>
  <c r="H16" i="1"/>
  <c r="C10" i="23" s="1"/>
  <c r="G16" i="1"/>
  <c r="B10" i="23" s="1"/>
  <c r="AK15" i="1"/>
  <c r="AK29" i="1" s="1"/>
  <c r="AJ15" i="1"/>
  <c r="P20" i="22" s="1"/>
  <c r="AI15" i="1"/>
  <c r="AH15" i="1"/>
  <c r="N20" i="22" s="1"/>
  <c r="AG15" i="1"/>
  <c r="M20" i="22" s="1"/>
  <c r="AF15" i="1"/>
  <c r="L20" i="22" s="1"/>
  <c r="AE15" i="1"/>
  <c r="AD15" i="1"/>
  <c r="J20" i="22" s="1"/>
  <c r="AC15" i="1"/>
  <c r="I20" i="22" s="1"/>
  <c r="AB15" i="1"/>
  <c r="H20" i="22" s="1"/>
  <c r="AA15" i="1"/>
  <c r="Z15" i="1"/>
  <c r="F20" i="22" s="1"/>
  <c r="Y15" i="1"/>
  <c r="E20" i="22" s="1"/>
  <c r="X15" i="1"/>
  <c r="D20" i="22" s="1"/>
  <c r="W15" i="1"/>
  <c r="V15" i="1"/>
  <c r="B20" i="22" s="1"/>
  <c r="U15" i="1"/>
  <c r="P10" i="22" s="1"/>
  <c r="T15" i="1"/>
  <c r="O10" i="22" s="1"/>
  <c r="S15" i="1"/>
  <c r="R15" i="1"/>
  <c r="M10" i="22" s="1"/>
  <c r="Q15" i="1"/>
  <c r="L10" i="22" s="1"/>
  <c r="P15" i="1"/>
  <c r="K10" i="22" s="1"/>
  <c r="O15" i="1"/>
  <c r="N15" i="1"/>
  <c r="I10" i="22" s="1"/>
  <c r="M15" i="1"/>
  <c r="H10" i="22" s="1"/>
  <c r="L15" i="1"/>
  <c r="G10" i="22" s="1"/>
  <c r="K15" i="1"/>
  <c r="J15" i="1"/>
  <c r="E10" i="22" s="1"/>
  <c r="I15" i="1"/>
  <c r="D10" i="22" s="1"/>
  <c r="H15" i="1"/>
  <c r="C10" i="22" s="1"/>
  <c r="G15" i="1"/>
  <c r="AK14" i="1"/>
  <c r="AJ14" i="1"/>
  <c r="P20" i="21" s="1"/>
  <c r="AI14" i="1"/>
  <c r="O20" i="21" s="1"/>
  <c r="AH14" i="1"/>
  <c r="N20" i="21" s="1"/>
  <c r="AG14" i="1"/>
  <c r="AF14" i="1"/>
  <c r="L20" i="21" s="1"/>
  <c r="AE14" i="1"/>
  <c r="K20" i="21" s="1"/>
  <c r="AD14" i="1"/>
  <c r="J20" i="21" s="1"/>
  <c r="AC14" i="1"/>
  <c r="AB14" i="1"/>
  <c r="H20" i="21" s="1"/>
  <c r="AA14" i="1"/>
  <c r="G20" i="21" s="1"/>
  <c r="Z14" i="1"/>
  <c r="F20" i="21" s="1"/>
  <c r="Y14" i="1"/>
  <c r="X14" i="1"/>
  <c r="D20" i="21" s="1"/>
  <c r="W14" i="1"/>
  <c r="C20" i="21" s="1"/>
  <c r="V14" i="1"/>
  <c r="B20" i="21" s="1"/>
  <c r="U14" i="1"/>
  <c r="T14" i="1"/>
  <c r="O10" i="21" s="1"/>
  <c r="S14" i="1"/>
  <c r="N10" i="21" s="1"/>
  <c r="R14" i="1"/>
  <c r="M10" i="21" s="1"/>
  <c r="Q14" i="1"/>
  <c r="P14" i="1"/>
  <c r="K10" i="21" s="1"/>
  <c r="O14" i="1"/>
  <c r="J10" i="21" s="1"/>
  <c r="N14" i="1"/>
  <c r="I10" i="21" s="1"/>
  <c r="M14" i="1"/>
  <c r="L14" i="1"/>
  <c r="G10" i="21" s="1"/>
  <c r="K14" i="1"/>
  <c r="F10" i="21" s="1"/>
  <c r="J14" i="1"/>
  <c r="E10" i="21" s="1"/>
  <c r="I14" i="1"/>
  <c r="H14" i="1"/>
  <c r="C10" i="21" s="1"/>
  <c r="G14" i="1"/>
  <c r="B10" i="21" s="1"/>
  <c r="AK13" i="1"/>
  <c r="AJ13" i="1"/>
  <c r="P20" i="20" s="1"/>
  <c r="AI13" i="1"/>
  <c r="AH13" i="1"/>
  <c r="N20" i="20" s="1"/>
  <c r="AG13" i="1"/>
  <c r="AF13" i="1"/>
  <c r="L20" i="20" s="1"/>
  <c r="AE13" i="1"/>
  <c r="AD13" i="1"/>
  <c r="J20" i="20" s="1"/>
  <c r="AC13" i="1"/>
  <c r="AB13" i="1"/>
  <c r="H20" i="20" s="1"/>
  <c r="AA13" i="1"/>
  <c r="Z13" i="1"/>
  <c r="F20" i="20" s="1"/>
  <c r="Y13" i="1"/>
  <c r="X13" i="1"/>
  <c r="D20" i="20" s="1"/>
  <c r="W13" i="1"/>
  <c r="V13" i="1"/>
  <c r="B20" i="20" s="1"/>
  <c r="U13" i="1"/>
  <c r="T13" i="1"/>
  <c r="O10" i="20" s="1"/>
  <c r="S13" i="1"/>
  <c r="R13" i="1"/>
  <c r="M10" i="20" s="1"/>
  <c r="Q13" i="1"/>
  <c r="P13" i="1"/>
  <c r="K10" i="20" s="1"/>
  <c r="O13" i="1"/>
  <c r="N13" i="1"/>
  <c r="I10" i="20" s="1"/>
  <c r="M13" i="1"/>
  <c r="L13" i="1"/>
  <c r="G10" i="20" s="1"/>
  <c r="K13" i="1"/>
  <c r="J13" i="1"/>
  <c r="E10" i="20" s="1"/>
  <c r="I13" i="1"/>
  <c r="H13" i="1"/>
  <c r="C10" i="20" s="1"/>
  <c r="G13" i="1"/>
  <c r="AK12" i="1"/>
  <c r="AK26" i="1" s="1"/>
  <c r="AJ12" i="1"/>
  <c r="P20" i="19" s="1"/>
  <c r="AI12" i="1"/>
  <c r="O20" i="19" s="1"/>
  <c r="AH12" i="1"/>
  <c r="N20" i="19" s="1"/>
  <c r="AG12" i="1"/>
  <c r="AF12" i="1"/>
  <c r="L20" i="19" s="1"/>
  <c r="AE12" i="1"/>
  <c r="K20" i="19" s="1"/>
  <c r="AD12" i="1"/>
  <c r="J20" i="19" s="1"/>
  <c r="AC12" i="1"/>
  <c r="I20" i="19" s="1"/>
  <c r="AB12" i="1"/>
  <c r="H20" i="19" s="1"/>
  <c r="AA12" i="1"/>
  <c r="G20" i="19" s="1"/>
  <c r="Z12" i="1"/>
  <c r="F20" i="19" s="1"/>
  <c r="Y12" i="1"/>
  <c r="E20" i="19" s="1"/>
  <c r="X12" i="1"/>
  <c r="D20" i="19" s="1"/>
  <c r="W12" i="1"/>
  <c r="C20" i="19" s="1"/>
  <c r="V12" i="1"/>
  <c r="B20" i="19" s="1"/>
  <c r="U12" i="1"/>
  <c r="P10" i="19" s="1"/>
  <c r="T12" i="1"/>
  <c r="O10" i="19" s="1"/>
  <c r="S12" i="1"/>
  <c r="N10" i="19" s="1"/>
  <c r="R12" i="1"/>
  <c r="M10" i="19" s="1"/>
  <c r="Q12" i="1"/>
  <c r="L10" i="19" s="1"/>
  <c r="P12" i="1"/>
  <c r="K10" i="19" s="1"/>
  <c r="O12" i="1"/>
  <c r="J10" i="19" s="1"/>
  <c r="N12" i="1"/>
  <c r="I10" i="19" s="1"/>
  <c r="M12" i="1"/>
  <c r="H10" i="19" s="1"/>
  <c r="L12" i="1"/>
  <c r="G10" i="19" s="1"/>
  <c r="K12" i="1"/>
  <c r="F10" i="19" s="1"/>
  <c r="J12" i="1"/>
  <c r="E10" i="19" s="1"/>
  <c r="I12" i="1"/>
  <c r="D10" i="19" s="1"/>
  <c r="H12" i="1"/>
  <c r="C10" i="19" s="1"/>
  <c r="G12" i="1"/>
  <c r="B10" i="19" s="1"/>
  <c r="AK11" i="1"/>
  <c r="B30" i="18" s="1"/>
  <c r="AJ11" i="1"/>
  <c r="P20" i="18" s="1"/>
  <c r="AI11" i="1"/>
  <c r="O20" i="18" s="1"/>
  <c r="AH11" i="1"/>
  <c r="N20" i="18" s="1"/>
  <c r="AG11" i="1"/>
  <c r="M20" i="18" s="1"/>
  <c r="AF11" i="1"/>
  <c r="L20" i="18" s="1"/>
  <c r="AE11" i="1"/>
  <c r="K20" i="18" s="1"/>
  <c r="AD11" i="1"/>
  <c r="J20" i="18" s="1"/>
  <c r="AC11" i="1"/>
  <c r="I20" i="18" s="1"/>
  <c r="AB11" i="1"/>
  <c r="H20" i="18" s="1"/>
  <c r="AA11" i="1"/>
  <c r="G20" i="18" s="1"/>
  <c r="Z11" i="1"/>
  <c r="F20" i="18" s="1"/>
  <c r="Y11" i="1"/>
  <c r="E20" i="18" s="1"/>
  <c r="X11" i="1"/>
  <c r="D20" i="18" s="1"/>
  <c r="W11" i="1"/>
  <c r="C20" i="18" s="1"/>
  <c r="V11" i="1"/>
  <c r="B20" i="18" s="1"/>
  <c r="U11" i="1"/>
  <c r="P10" i="18" s="1"/>
  <c r="T11" i="1"/>
  <c r="O10" i="18" s="1"/>
  <c r="S11" i="1"/>
  <c r="N10" i="18" s="1"/>
  <c r="R11" i="1"/>
  <c r="M10" i="18" s="1"/>
  <c r="Q11" i="1"/>
  <c r="L10" i="18" s="1"/>
  <c r="P11" i="1"/>
  <c r="K10" i="18" s="1"/>
  <c r="O11" i="1"/>
  <c r="J10" i="18" s="1"/>
  <c r="N11" i="1"/>
  <c r="I10" i="18" s="1"/>
  <c r="M11" i="1"/>
  <c r="H10" i="18" s="1"/>
  <c r="L11" i="1"/>
  <c r="G10" i="18" s="1"/>
  <c r="K11" i="1"/>
  <c r="F10" i="18" s="1"/>
  <c r="J11" i="1"/>
  <c r="E10" i="18" s="1"/>
  <c r="I11" i="1"/>
  <c r="D10" i="18" s="1"/>
  <c r="H11" i="1"/>
  <c r="C10" i="18" s="1"/>
  <c r="G11" i="1"/>
  <c r="B10" i="18" s="1"/>
  <c r="AK10" i="1"/>
  <c r="AK24" i="1" s="1"/>
  <c r="AJ10" i="1"/>
  <c r="P20" i="17" s="1"/>
  <c r="AI10" i="1"/>
  <c r="O20" i="17" s="1"/>
  <c r="AH10" i="1"/>
  <c r="N20" i="17" s="1"/>
  <c r="AG10" i="1"/>
  <c r="M20" i="17" s="1"/>
  <c r="AF10" i="1"/>
  <c r="L20" i="17" s="1"/>
  <c r="AE10" i="1"/>
  <c r="K20" i="17" s="1"/>
  <c r="AD10" i="1"/>
  <c r="J20" i="17" s="1"/>
  <c r="AC10" i="1"/>
  <c r="I20" i="17" s="1"/>
  <c r="AB10" i="1"/>
  <c r="H20" i="17" s="1"/>
  <c r="AA10" i="1"/>
  <c r="G20" i="17" s="1"/>
  <c r="Z10" i="1"/>
  <c r="F20" i="17" s="1"/>
  <c r="Y10" i="1"/>
  <c r="E20" i="17" s="1"/>
  <c r="X10" i="1"/>
  <c r="D20" i="17" s="1"/>
  <c r="W10" i="1"/>
  <c r="C20" i="17" s="1"/>
  <c r="V10" i="1"/>
  <c r="B20" i="17" s="1"/>
  <c r="U10" i="1"/>
  <c r="P10" i="17" s="1"/>
  <c r="T10" i="1"/>
  <c r="O10" i="17" s="1"/>
  <c r="S10" i="1"/>
  <c r="N10" i="17" s="1"/>
  <c r="R10" i="1"/>
  <c r="M10" i="17" s="1"/>
  <c r="Q10" i="1"/>
  <c r="L10" i="17" s="1"/>
  <c r="P10" i="1"/>
  <c r="K10" i="17" s="1"/>
  <c r="O10" i="1"/>
  <c r="J10" i="17" s="1"/>
  <c r="N10" i="1"/>
  <c r="I10" i="17" s="1"/>
  <c r="M10" i="1"/>
  <c r="H10" i="17" s="1"/>
  <c r="L10" i="1"/>
  <c r="G10" i="17" s="1"/>
  <c r="K10" i="1"/>
  <c r="F10" i="17" s="1"/>
  <c r="J10" i="1"/>
  <c r="E10" i="17" s="1"/>
  <c r="I10" i="1"/>
  <c r="D10" i="17" s="1"/>
  <c r="H10" i="1"/>
  <c r="C10" i="17" s="1"/>
  <c r="G10" i="1"/>
  <c r="B10" i="17" s="1"/>
  <c r="AK9" i="1"/>
  <c r="B30" i="16" s="1"/>
  <c r="AJ9" i="1"/>
  <c r="P20" i="16" s="1"/>
  <c r="AI9" i="1"/>
  <c r="O20" i="16" s="1"/>
  <c r="AH9" i="1"/>
  <c r="N20" i="16" s="1"/>
  <c r="AG9" i="1"/>
  <c r="M20" i="16" s="1"/>
  <c r="AF9" i="1"/>
  <c r="L20" i="16" s="1"/>
  <c r="AE9" i="1"/>
  <c r="K20" i="16" s="1"/>
  <c r="AD9" i="1"/>
  <c r="J20" i="16" s="1"/>
  <c r="AC9" i="1"/>
  <c r="I20" i="16" s="1"/>
  <c r="AB9" i="1"/>
  <c r="H20" i="16" s="1"/>
  <c r="AA9" i="1"/>
  <c r="G20" i="16" s="1"/>
  <c r="Z9" i="1"/>
  <c r="F20" i="16" s="1"/>
  <c r="Y9" i="1"/>
  <c r="E20" i="16" s="1"/>
  <c r="X9" i="1"/>
  <c r="D20" i="16" s="1"/>
  <c r="W9" i="1"/>
  <c r="C20" i="16" s="1"/>
  <c r="V9" i="1"/>
  <c r="B20" i="16" s="1"/>
  <c r="U9" i="1"/>
  <c r="P10" i="16" s="1"/>
  <c r="T9" i="1"/>
  <c r="O10" i="16" s="1"/>
  <c r="S9" i="1"/>
  <c r="N10" i="16" s="1"/>
  <c r="R9" i="1"/>
  <c r="M10" i="16" s="1"/>
  <c r="Q9" i="1"/>
  <c r="L10" i="16" s="1"/>
  <c r="P9" i="1"/>
  <c r="K10" i="16" s="1"/>
  <c r="O9" i="1"/>
  <c r="J10" i="16" s="1"/>
  <c r="N9" i="1"/>
  <c r="I10" i="16" s="1"/>
  <c r="M9" i="1"/>
  <c r="H10" i="16" s="1"/>
  <c r="L9" i="1"/>
  <c r="G10" i="16" s="1"/>
  <c r="K9" i="1"/>
  <c r="F10" i="16" s="1"/>
  <c r="J9" i="1"/>
  <c r="E10" i="16" s="1"/>
  <c r="I9" i="1"/>
  <c r="D10" i="16" s="1"/>
  <c r="H9" i="1"/>
  <c r="C10" i="16" s="1"/>
  <c r="G9" i="1"/>
  <c r="B10" i="16" s="1"/>
  <c r="AK8" i="1"/>
  <c r="AK22" i="1" s="1"/>
  <c r="AJ8" i="1"/>
  <c r="AI8" i="1"/>
  <c r="O20" i="15" s="1"/>
  <c r="AH8" i="1"/>
  <c r="N20" i="15" s="1"/>
  <c r="AG8" i="1"/>
  <c r="M20" i="15" s="1"/>
  <c r="AF8" i="1"/>
  <c r="L20" i="15" s="1"/>
  <c r="AE8" i="1"/>
  <c r="K20" i="15" s="1"/>
  <c r="AD8" i="1"/>
  <c r="J20" i="15" s="1"/>
  <c r="AC8" i="1"/>
  <c r="I20" i="15" s="1"/>
  <c r="AB8" i="1"/>
  <c r="H20" i="15" s="1"/>
  <c r="AA8" i="1"/>
  <c r="G20" i="15" s="1"/>
  <c r="Z8" i="1"/>
  <c r="F20" i="15" s="1"/>
  <c r="Y8" i="1"/>
  <c r="E20" i="15" s="1"/>
  <c r="X8" i="1"/>
  <c r="D20" i="15" s="1"/>
  <c r="W8" i="1"/>
  <c r="C20" i="15" s="1"/>
  <c r="V8" i="1"/>
  <c r="B20" i="15" s="1"/>
  <c r="U8" i="1"/>
  <c r="P10" i="15" s="1"/>
  <c r="T8" i="1"/>
  <c r="O10" i="15" s="1"/>
  <c r="S8" i="1"/>
  <c r="N10" i="15" s="1"/>
  <c r="R8" i="1"/>
  <c r="M10" i="15" s="1"/>
  <c r="Q8" i="1"/>
  <c r="L10" i="15" s="1"/>
  <c r="P8" i="1"/>
  <c r="K10" i="15" s="1"/>
  <c r="O8" i="1"/>
  <c r="J10" i="15" s="1"/>
  <c r="N8" i="1"/>
  <c r="I10" i="15" s="1"/>
  <c r="M8" i="1"/>
  <c r="H10" i="15" s="1"/>
  <c r="L8" i="1"/>
  <c r="G10" i="15" s="1"/>
  <c r="K8" i="1"/>
  <c r="F10" i="15" s="1"/>
  <c r="J8" i="1"/>
  <c r="E10" i="15" s="1"/>
  <c r="I8" i="1"/>
  <c r="D10" i="15" s="1"/>
  <c r="H8" i="1"/>
  <c r="C10" i="15" s="1"/>
  <c r="G8" i="1"/>
  <c r="B10" i="15" s="1"/>
  <c r="AK7" i="1"/>
  <c r="B30" i="14" s="1"/>
  <c r="AJ7" i="1"/>
  <c r="P20" i="14" s="1"/>
  <c r="AI7" i="1"/>
  <c r="O20" i="14" s="1"/>
  <c r="AH7" i="1"/>
  <c r="N20" i="14" s="1"/>
  <c r="AG7" i="1"/>
  <c r="M20" i="14" s="1"/>
  <c r="AF7" i="1"/>
  <c r="L20" i="14" s="1"/>
  <c r="AE7" i="1"/>
  <c r="K20" i="14" s="1"/>
  <c r="AD7" i="1"/>
  <c r="J20" i="14" s="1"/>
  <c r="AC7" i="1"/>
  <c r="I20" i="14" s="1"/>
  <c r="AB7" i="1"/>
  <c r="H20" i="14" s="1"/>
  <c r="AA7" i="1"/>
  <c r="G20" i="14" s="1"/>
  <c r="Z7" i="1"/>
  <c r="F20" i="14" s="1"/>
  <c r="Y7" i="1"/>
  <c r="E20" i="14" s="1"/>
  <c r="X7" i="1"/>
  <c r="D20" i="14" s="1"/>
  <c r="W7" i="1"/>
  <c r="C20" i="14" s="1"/>
  <c r="V7" i="1"/>
  <c r="B20" i="14" s="1"/>
  <c r="U7" i="1"/>
  <c r="P10" i="14" s="1"/>
  <c r="T7" i="1"/>
  <c r="O10" i="14" s="1"/>
  <c r="S7" i="1"/>
  <c r="N10" i="14" s="1"/>
  <c r="R7" i="1"/>
  <c r="M10" i="14" s="1"/>
  <c r="Q7" i="1"/>
  <c r="L10" i="14" s="1"/>
  <c r="P7" i="1"/>
  <c r="K10" i="14" s="1"/>
  <c r="O7" i="1"/>
  <c r="J10" i="14" s="1"/>
  <c r="N7" i="1"/>
  <c r="I10" i="14" s="1"/>
  <c r="M7" i="1"/>
  <c r="H10" i="14" s="1"/>
  <c r="L7" i="1"/>
  <c r="G10" i="14" s="1"/>
  <c r="K7" i="1"/>
  <c r="F10" i="14" s="1"/>
  <c r="J7" i="1"/>
  <c r="E10" i="14" s="1"/>
  <c r="I7" i="1"/>
  <c r="D10" i="14" s="1"/>
  <c r="H7" i="1"/>
  <c r="C10" i="14" s="1"/>
  <c r="G7" i="1"/>
  <c r="B10" i="14" s="1"/>
  <c r="Y32" i="1" l="1"/>
  <c r="E20" i="25"/>
  <c r="AC32" i="1"/>
  <c r="I20" i="25"/>
  <c r="AG32" i="1"/>
  <c r="M20" i="25"/>
  <c r="AK32" i="1"/>
  <c r="B30" i="25"/>
  <c r="AJ22" i="1"/>
  <c r="P20" i="15"/>
  <c r="AG26" i="1"/>
  <c r="M20" i="19"/>
  <c r="E22" i="4"/>
  <c r="B10" i="20"/>
  <c r="G9" i="4"/>
  <c r="D10" i="20"/>
  <c r="I22" i="4"/>
  <c r="F10" i="20"/>
  <c r="K9" i="4"/>
  <c r="H10" i="20"/>
  <c r="M22" i="4"/>
  <c r="J10" i="20"/>
  <c r="O9" i="4"/>
  <c r="L10" i="20"/>
  <c r="Q22" i="4"/>
  <c r="N10" i="20"/>
  <c r="S9" i="4"/>
  <c r="P10" i="20"/>
  <c r="U22" i="4"/>
  <c r="C20" i="20"/>
  <c r="W9" i="4"/>
  <c r="E20" i="20"/>
  <c r="Y22" i="4"/>
  <c r="G20" i="20"/>
  <c r="AA9" i="4"/>
  <c r="I20" i="20"/>
  <c r="AC22" i="4"/>
  <c r="K20" i="20"/>
  <c r="AE9" i="4"/>
  <c r="M20" i="20"/>
  <c r="AG22" i="4"/>
  <c r="O20" i="20"/>
  <c r="AI9" i="4"/>
  <c r="B30" i="20"/>
  <c r="I28" i="1"/>
  <c r="D10" i="21"/>
  <c r="M28" i="1"/>
  <c r="H10" i="21"/>
  <c r="Q28" i="1"/>
  <c r="L10" i="21"/>
  <c r="U28" i="1"/>
  <c r="P10" i="21"/>
  <c r="Y28" i="1"/>
  <c r="E20" i="21"/>
  <c r="AC28" i="1"/>
  <c r="I20" i="21"/>
  <c r="AG28" i="1"/>
  <c r="M20" i="21"/>
  <c r="AK28" i="1"/>
  <c r="B30" i="21"/>
  <c r="G29" i="1"/>
  <c r="B10" i="22"/>
  <c r="K29" i="1"/>
  <c r="F10" i="22"/>
  <c r="O29" i="1"/>
  <c r="J10" i="22"/>
  <c r="S29" i="1"/>
  <c r="N10" i="22"/>
  <c r="W29" i="1"/>
  <c r="C20" i="22"/>
  <c r="AA29" i="1"/>
  <c r="G20" i="22"/>
  <c r="AE29" i="1"/>
  <c r="K20" i="22"/>
  <c r="AI29" i="1"/>
  <c r="O20" i="22"/>
  <c r="I30" i="1"/>
  <c r="D10" i="23"/>
  <c r="M30" i="1"/>
  <c r="H10" i="23"/>
  <c r="Q30" i="1"/>
  <c r="L10" i="23"/>
  <c r="U30" i="1"/>
  <c r="P10" i="23"/>
  <c r="Y30" i="1"/>
  <c r="E20" i="23"/>
  <c r="AC30" i="1"/>
  <c r="I20" i="23"/>
  <c r="AG30" i="1"/>
  <c r="M20" i="23"/>
  <c r="AK30" i="1"/>
  <c r="B30" i="23"/>
  <c r="G31" i="1"/>
  <c r="B10" i="24"/>
  <c r="K31" i="1"/>
  <c r="F10" i="24"/>
  <c r="O31" i="1"/>
  <c r="J10" i="24"/>
  <c r="S31" i="1"/>
  <c r="N10" i="24"/>
  <c r="W31" i="1"/>
  <c r="C20" i="24"/>
  <c r="AA31" i="1"/>
  <c r="G20" i="24"/>
  <c r="AE31" i="1"/>
  <c r="K20" i="24"/>
  <c r="AI31" i="1"/>
  <c r="O20" i="24"/>
  <c r="I32" i="1"/>
  <c r="D10" i="25"/>
  <c r="M32" i="1"/>
  <c r="H10" i="25"/>
  <c r="Q32" i="1"/>
  <c r="L10" i="25"/>
  <c r="U32" i="1"/>
  <c r="P10" i="25"/>
  <c r="H21" i="1"/>
  <c r="L21" i="1"/>
  <c r="P21" i="1"/>
  <c r="K27" i="1"/>
  <c r="S27" i="1"/>
  <c r="AA27" i="1"/>
  <c r="AI27" i="1"/>
  <c r="I9" i="4"/>
  <c r="Q9" i="4"/>
  <c r="Y9" i="4"/>
  <c r="AG9" i="4"/>
  <c r="G22" i="4"/>
  <c r="O22" i="4"/>
  <c r="W22" i="4"/>
  <c r="AE22" i="4"/>
  <c r="G27" i="1"/>
  <c r="O27" i="1"/>
  <c r="W27" i="1"/>
  <c r="AE27" i="1"/>
  <c r="E9" i="4"/>
  <c r="M9" i="4"/>
  <c r="U9" i="4"/>
  <c r="AC9" i="4"/>
  <c r="K22" i="4"/>
  <c r="S22" i="4"/>
  <c r="AA22" i="4"/>
  <c r="AI22" i="4"/>
  <c r="F9" i="10"/>
  <c r="F22" i="10"/>
  <c r="H9" i="10"/>
  <c r="H22" i="10"/>
  <c r="J9" i="10"/>
  <c r="J22" i="10"/>
  <c r="L9" i="10"/>
  <c r="L22" i="10"/>
  <c r="N9" i="10"/>
  <c r="N22" i="10"/>
  <c r="P9" i="10"/>
  <c r="P22" i="10"/>
  <c r="R9" i="10"/>
  <c r="R22" i="10"/>
  <c r="T21" i="1"/>
  <c r="T9" i="10"/>
  <c r="T22" i="10"/>
  <c r="V21" i="1"/>
  <c r="V9" i="10"/>
  <c r="V22" i="10"/>
  <c r="X21" i="1"/>
  <c r="X9" i="10"/>
  <c r="X22" i="10"/>
  <c r="Z21" i="1"/>
  <c r="Z9" i="10"/>
  <c r="Z22" i="10"/>
  <c r="AB21" i="1"/>
  <c r="AB9" i="10"/>
  <c r="AB22" i="10"/>
  <c r="AD21" i="1"/>
  <c r="AD9" i="10"/>
  <c r="AD22" i="10"/>
  <c r="AF21" i="1"/>
  <c r="AF9" i="10"/>
  <c r="AF22" i="10"/>
  <c r="AH21" i="1"/>
  <c r="AH9" i="10"/>
  <c r="AH22" i="10"/>
  <c r="AJ21" i="1"/>
  <c r="F22" i="9"/>
  <c r="F9" i="9"/>
  <c r="H22" i="1"/>
  <c r="H22" i="9"/>
  <c r="H9" i="9"/>
  <c r="J22" i="1"/>
  <c r="J22" i="9"/>
  <c r="J9" i="9"/>
  <c r="L22" i="1"/>
  <c r="L22" i="9"/>
  <c r="L9" i="9"/>
  <c r="N22" i="1"/>
  <c r="N22" i="9"/>
  <c r="N9" i="9"/>
  <c r="P22" i="1"/>
  <c r="P22" i="9"/>
  <c r="P9" i="9"/>
  <c r="R22" i="1"/>
  <c r="R22" i="9"/>
  <c r="R9" i="9"/>
  <c r="T22" i="1"/>
  <c r="T22" i="9"/>
  <c r="T9" i="9"/>
  <c r="V22" i="1"/>
  <c r="V22" i="9"/>
  <c r="V9" i="9"/>
  <c r="X22" i="1"/>
  <c r="X22" i="9"/>
  <c r="X9" i="9"/>
  <c r="Z22" i="1"/>
  <c r="Z22" i="9"/>
  <c r="Z9" i="9"/>
  <c r="AB22" i="1"/>
  <c r="AB22" i="9"/>
  <c r="AB9" i="9"/>
  <c r="AD22" i="1"/>
  <c r="AD22" i="9"/>
  <c r="AD9" i="9"/>
  <c r="AF22" i="1"/>
  <c r="AF22" i="9"/>
  <c r="AF9" i="9"/>
  <c r="AH22" i="1"/>
  <c r="F22" i="8"/>
  <c r="F9" i="8"/>
  <c r="H23" i="1"/>
  <c r="H22" i="8"/>
  <c r="H9" i="8"/>
  <c r="J23" i="1"/>
  <c r="J22" i="8"/>
  <c r="J9" i="8"/>
  <c r="L23" i="1"/>
  <c r="L22" i="8"/>
  <c r="L9" i="8"/>
  <c r="N23" i="1"/>
  <c r="N22" i="8"/>
  <c r="N9" i="8"/>
  <c r="P23" i="1"/>
  <c r="P22" i="8"/>
  <c r="P9" i="8"/>
  <c r="R23" i="1"/>
  <c r="R22" i="8"/>
  <c r="R9" i="8"/>
  <c r="T23" i="1"/>
  <c r="T22" i="8"/>
  <c r="T9" i="8"/>
  <c r="V23" i="1"/>
  <c r="V22" i="8"/>
  <c r="V9" i="8"/>
  <c r="X23" i="1"/>
  <c r="X22" i="8"/>
  <c r="X9" i="8"/>
  <c r="Z23" i="1"/>
  <c r="Z22" i="8"/>
  <c r="Z9" i="8"/>
  <c r="AB23" i="1"/>
  <c r="AB22" i="8"/>
  <c r="AB9" i="8"/>
  <c r="AD23" i="1"/>
  <c r="AD22" i="8"/>
  <c r="AD9" i="8"/>
  <c r="AF23" i="1"/>
  <c r="AF22" i="8"/>
  <c r="AF9" i="8"/>
  <c r="AH23" i="1"/>
  <c r="AH22" i="8"/>
  <c r="AH9" i="8"/>
  <c r="AJ23" i="1"/>
  <c r="F22" i="7"/>
  <c r="F9" i="7"/>
  <c r="H24" i="1"/>
  <c r="H9" i="7"/>
  <c r="H22" i="7"/>
  <c r="J24" i="1"/>
  <c r="J22" i="7"/>
  <c r="J9" i="7"/>
  <c r="L24" i="1"/>
  <c r="L9" i="7"/>
  <c r="L22" i="7"/>
  <c r="N24" i="1"/>
  <c r="N22" i="7"/>
  <c r="N9" i="7"/>
  <c r="P24" i="1"/>
  <c r="P22" i="7"/>
  <c r="P9" i="7"/>
  <c r="R24" i="1"/>
  <c r="R22" i="7"/>
  <c r="R9" i="7"/>
  <c r="T24" i="1"/>
  <c r="T22" i="7"/>
  <c r="T9" i="7"/>
  <c r="V24" i="1"/>
  <c r="V22" i="7"/>
  <c r="V9" i="7"/>
  <c r="X24" i="1"/>
  <c r="X22" i="7"/>
  <c r="X9" i="7"/>
  <c r="Z24" i="1"/>
  <c r="Z22" i="7"/>
  <c r="Z9" i="7"/>
  <c r="AB24" i="1"/>
  <c r="AB22" i="7"/>
  <c r="AB9" i="7"/>
  <c r="AD24" i="1"/>
  <c r="AD22" i="7"/>
  <c r="AD9" i="7"/>
  <c r="AF24" i="1"/>
  <c r="AF22" i="7"/>
  <c r="AF9" i="7"/>
  <c r="AH24" i="1"/>
  <c r="AH22" i="7"/>
  <c r="AH9" i="7"/>
  <c r="AJ24" i="1"/>
  <c r="F22" i="6"/>
  <c r="F9" i="6"/>
  <c r="H25" i="1"/>
  <c r="H22" i="6"/>
  <c r="H9" i="6"/>
  <c r="J25" i="1"/>
  <c r="J22" i="6"/>
  <c r="J9" i="6"/>
  <c r="L25" i="1"/>
  <c r="L22" i="6"/>
  <c r="L9" i="6"/>
  <c r="N25" i="1"/>
  <c r="N22" i="6"/>
  <c r="N9" i="6"/>
  <c r="P25" i="1"/>
  <c r="P22" i="6"/>
  <c r="P9" i="6"/>
  <c r="R25" i="1"/>
  <c r="R22" i="6"/>
  <c r="R9" i="6"/>
  <c r="T25" i="1"/>
  <c r="T22" i="6"/>
  <c r="T9" i="6"/>
  <c r="V25" i="1"/>
  <c r="V22" i="6"/>
  <c r="V9" i="6"/>
  <c r="X25" i="1"/>
  <c r="X22" i="6"/>
  <c r="X9" i="6"/>
  <c r="Z25" i="1"/>
  <c r="Z22" i="6"/>
  <c r="Z9" i="6"/>
  <c r="AB25" i="1"/>
  <c r="AB22" i="6"/>
  <c r="AB9" i="6"/>
  <c r="AD25" i="1"/>
  <c r="AD22" i="6"/>
  <c r="AD9" i="6"/>
  <c r="AF25" i="1"/>
  <c r="AF22" i="6"/>
  <c r="AF9" i="6"/>
  <c r="AH25" i="1"/>
  <c r="AH22" i="6"/>
  <c r="AH9" i="6"/>
  <c r="AJ25" i="1"/>
  <c r="F22" i="5"/>
  <c r="F9" i="5"/>
  <c r="H26" i="1"/>
  <c r="H9" i="5"/>
  <c r="H22" i="5"/>
  <c r="J26" i="1"/>
  <c r="J22" i="5"/>
  <c r="J9" i="5"/>
  <c r="L26" i="1"/>
  <c r="L9" i="5"/>
  <c r="L22" i="5"/>
  <c r="N26" i="1"/>
  <c r="N22" i="5"/>
  <c r="N9" i="5"/>
  <c r="P26" i="1"/>
  <c r="P9" i="5"/>
  <c r="P22" i="5"/>
  <c r="R26" i="1"/>
  <c r="R22" i="5"/>
  <c r="R9" i="5"/>
  <c r="T26" i="1"/>
  <c r="T9" i="5"/>
  <c r="T22" i="5"/>
  <c r="V26" i="1"/>
  <c r="V22" i="5"/>
  <c r="V9" i="5"/>
  <c r="X26" i="1"/>
  <c r="X9" i="5"/>
  <c r="X22" i="5"/>
  <c r="Z26" i="1"/>
  <c r="Z22" i="5"/>
  <c r="Z9" i="5"/>
  <c r="AB26" i="1"/>
  <c r="AB9" i="5"/>
  <c r="AB22" i="5"/>
  <c r="AD26" i="1"/>
  <c r="AD22" i="5"/>
  <c r="AD9" i="5"/>
  <c r="AF26" i="1"/>
  <c r="AF9" i="5"/>
  <c r="AF22" i="5"/>
  <c r="AH26" i="1"/>
  <c r="AH22" i="5"/>
  <c r="AH9" i="5"/>
  <c r="AJ26" i="1"/>
  <c r="F22" i="4"/>
  <c r="F9" i="4"/>
  <c r="H27" i="1"/>
  <c r="H22" i="4"/>
  <c r="H9" i="4"/>
  <c r="J27" i="1"/>
  <c r="J22" i="4"/>
  <c r="J9" i="4"/>
  <c r="L27" i="1"/>
  <c r="L22" i="4"/>
  <c r="L9" i="4"/>
  <c r="N27" i="1"/>
  <c r="N22" i="4"/>
  <c r="N9" i="4"/>
  <c r="P27" i="1"/>
  <c r="P22" i="4"/>
  <c r="P9" i="4"/>
  <c r="R27" i="1"/>
  <c r="R22" i="4"/>
  <c r="R9" i="4"/>
  <c r="T27" i="1"/>
  <c r="T22" i="4"/>
  <c r="T9" i="4"/>
  <c r="V27" i="1"/>
  <c r="V22" i="4"/>
  <c r="V9" i="4"/>
  <c r="X27" i="1"/>
  <c r="X22" i="4"/>
  <c r="X9" i="4"/>
  <c r="Z27" i="1"/>
  <c r="Z22" i="4"/>
  <c r="Z9" i="4"/>
  <c r="AB27" i="1"/>
  <c r="AB22" i="4"/>
  <c r="AB9" i="4"/>
  <c r="AD27" i="1"/>
  <c r="AD22" i="4"/>
  <c r="AD9" i="4"/>
  <c r="AF27" i="1"/>
  <c r="AF22" i="4"/>
  <c r="AF9" i="4"/>
  <c r="AH27" i="1"/>
  <c r="AH22" i="4"/>
  <c r="AH9" i="4"/>
  <c r="AJ27" i="1"/>
  <c r="H28" i="1"/>
  <c r="F22" i="3"/>
  <c r="F9" i="3"/>
  <c r="J28" i="1"/>
  <c r="H22" i="3"/>
  <c r="H9" i="3"/>
  <c r="L28" i="1"/>
  <c r="J22" i="3"/>
  <c r="J9" i="3"/>
  <c r="N28" i="1"/>
  <c r="L22" i="3"/>
  <c r="L9" i="3"/>
  <c r="P28" i="1"/>
  <c r="N22" i="3"/>
  <c r="N9" i="3"/>
  <c r="R28" i="1"/>
  <c r="P22" i="3"/>
  <c r="P9" i="3"/>
  <c r="T28" i="1"/>
  <c r="R22" i="3"/>
  <c r="R9" i="3"/>
  <c r="V28" i="1"/>
  <c r="T22" i="3"/>
  <c r="T9" i="3"/>
  <c r="X28" i="1"/>
  <c r="V22" i="3"/>
  <c r="V9" i="3"/>
  <c r="Z28" i="1"/>
  <c r="X22" i="3"/>
  <c r="X9" i="3"/>
  <c r="AB28" i="1"/>
  <c r="Z22" i="3"/>
  <c r="Z9" i="3"/>
  <c r="AD28" i="1"/>
  <c r="AB22" i="3"/>
  <c r="AB9" i="3"/>
  <c r="AF28" i="1"/>
  <c r="AD22" i="3"/>
  <c r="AD9" i="3"/>
  <c r="AH28" i="1"/>
  <c r="AF22" i="3"/>
  <c r="AF9" i="3"/>
  <c r="AJ28" i="1"/>
  <c r="AH22" i="3"/>
  <c r="AH9" i="3"/>
  <c r="F9" i="2"/>
  <c r="H29" i="1"/>
  <c r="F22" i="2"/>
  <c r="H9" i="2"/>
  <c r="J29" i="1"/>
  <c r="H22" i="2"/>
  <c r="J9" i="2"/>
  <c r="L29" i="1"/>
  <c r="J22" i="2"/>
  <c r="L9" i="2"/>
  <c r="N29" i="1"/>
  <c r="L22" i="2"/>
  <c r="N9" i="2"/>
  <c r="P29" i="1"/>
  <c r="N22" i="2"/>
  <c r="P9" i="2"/>
  <c r="R29" i="1"/>
  <c r="P22" i="2"/>
  <c r="R9" i="2"/>
  <c r="T29" i="1"/>
  <c r="R22" i="2"/>
  <c r="T9" i="2"/>
  <c r="V29" i="1"/>
  <c r="T22" i="2"/>
  <c r="V9" i="2"/>
  <c r="X29" i="1"/>
  <c r="V22" i="2"/>
  <c r="X9" i="2"/>
  <c r="Z29" i="1"/>
  <c r="X22" i="2"/>
  <c r="Z9" i="2"/>
  <c r="AB29" i="1"/>
  <c r="Z22" i="2"/>
  <c r="AB9" i="2"/>
  <c r="AD29" i="1"/>
  <c r="AB22" i="2"/>
  <c r="AD9" i="2"/>
  <c r="AF29" i="1"/>
  <c r="AD22" i="2"/>
  <c r="AF9" i="2"/>
  <c r="AH29" i="1"/>
  <c r="AF22" i="2"/>
  <c r="AH9" i="2"/>
  <c r="AJ29" i="1"/>
  <c r="AH22" i="2"/>
  <c r="F22" i="11"/>
  <c r="F9" i="11"/>
  <c r="H30" i="1"/>
  <c r="H22" i="11"/>
  <c r="H9" i="11"/>
  <c r="J30" i="1"/>
  <c r="J22" i="11"/>
  <c r="J9" i="11"/>
  <c r="L30" i="1"/>
  <c r="L22" i="11"/>
  <c r="L9" i="11"/>
  <c r="N30" i="1"/>
  <c r="N22" i="11"/>
  <c r="N9" i="11"/>
  <c r="P30" i="1"/>
  <c r="P22" i="11"/>
  <c r="P9" i="11"/>
  <c r="R30" i="1"/>
  <c r="R22" i="11"/>
  <c r="R9" i="11"/>
  <c r="T30" i="1"/>
  <c r="T22" i="11"/>
  <c r="T9" i="11"/>
  <c r="V30" i="1"/>
  <c r="V22" i="11"/>
  <c r="V9" i="11"/>
  <c r="X30" i="1"/>
  <c r="X22" i="11"/>
  <c r="X9" i="11"/>
  <c r="Z30" i="1"/>
  <c r="Z22" i="11"/>
  <c r="Z9" i="11"/>
  <c r="AB30" i="1"/>
  <c r="AB22" i="11"/>
  <c r="AB9" i="11"/>
  <c r="AD30" i="1"/>
  <c r="AD22" i="11"/>
  <c r="AD9" i="11"/>
  <c r="AF30" i="1"/>
  <c r="AF22" i="11"/>
  <c r="AF9" i="11"/>
  <c r="AH30" i="1"/>
  <c r="AH22" i="11"/>
  <c r="AH9" i="11"/>
  <c r="AJ30" i="1"/>
  <c r="F22" i="12"/>
  <c r="F9" i="12"/>
  <c r="H31" i="1"/>
  <c r="H22" i="12"/>
  <c r="H9" i="12"/>
  <c r="J31" i="1"/>
  <c r="J22" i="12"/>
  <c r="J9" i="12"/>
  <c r="L31" i="1"/>
  <c r="L22" i="12"/>
  <c r="L9" i="12"/>
  <c r="N31" i="1"/>
  <c r="N22" i="12"/>
  <c r="N9" i="12"/>
  <c r="P31" i="1"/>
  <c r="P22" i="12"/>
  <c r="P9" i="12"/>
  <c r="R31" i="1"/>
  <c r="R22" i="12"/>
  <c r="R9" i="12"/>
  <c r="T31" i="1"/>
  <c r="T22" i="12"/>
  <c r="T9" i="12"/>
  <c r="V31" i="1"/>
  <c r="V22" i="12"/>
  <c r="V9" i="12"/>
  <c r="X31" i="1"/>
  <c r="X22" i="12"/>
  <c r="X9" i="12"/>
  <c r="Z31" i="1"/>
  <c r="Z22" i="12"/>
  <c r="Z9" i="12"/>
  <c r="AB31" i="1"/>
  <c r="AB22" i="12"/>
  <c r="AB9" i="12"/>
  <c r="AD31" i="1"/>
  <c r="AD22" i="12"/>
  <c r="AD9" i="12"/>
  <c r="AF31" i="1"/>
  <c r="AF22" i="12"/>
  <c r="AF9" i="12"/>
  <c r="AH31" i="1"/>
  <c r="AH22" i="12"/>
  <c r="AH9" i="12"/>
  <c r="AJ31" i="1"/>
  <c r="F22" i="13"/>
  <c r="F9" i="13"/>
  <c r="H32" i="1"/>
  <c r="H22" i="13"/>
  <c r="H9" i="13"/>
  <c r="J32" i="1"/>
  <c r="J22" i="13"/>
  <c r="J9" i="13"/>
  <c r="L32" i="1"/>
  <c r="L22" i="13"/>
  <c r="L9" i="13"/>
  <c r="N32" i="1"/>
  <c r="N22" i="13"/>
  <c r="N9" i="13"/>
  <c r="P32" i="1"/>
  <c r="P22" i="13"/>
  <c r="P9" i="13"/>
  <c r="R32" i="1"/>
  <c r="R22" i="13"/>
  <c r="R9" i="13"/>
  <c r="T32" i="1"/>
  <c r="T22" i="13"/>
  <c r="T9" i="13"/>
  <c r="V32" i="1"/>
  <c r="V22" i="13"/>
  <c r="V9" i="13"/>
  <c r="X32" i="1"/>
  <c r="X22" i="13"/>
  <c r="X9" i="13"/>
  <c r="Z32" i="1"/>
  <c r="Z22" i="13"/>
  <c r="Z9" i="13"/>
  <c r="AB32" i="1"/>
  <c r="AB22" i="13"/>
  <c r="AB9" i="13"/>
  <c r="AD32" i="1"/>
  <c r="AD22" i="13"/>
  <c r="AD9" i="13"/>
  <c r="AF32" i="1"/>
  <c r="AF22" i="13"/>
  <c r="AF9" i="13"/>
  <c r="AH32" i="1"/>
  <c r="AH22" i="13"/>
  <c r="AH9" i="13"/>
  <c r="AJ32" i="1"/>
  <c r="J21" i="1"/>
  <c r="N21" i="1"/>
  <c r="R21" i="1"/>
  <c r="E9" i="10"/>
  <c r="E22" i="10"/>
  <c r="G22" i="10"/>
  <c r="G9" i="10"/>
  <c r="I22" i="10"/>
  <c r="I9" i="10"/>
  <c r="K22" i="10"/>
  <c r="K9" i="10"/>
  <c r="M22" i="10"/>
  <c r="M9" i="10"/>
  <c r="O22" i="10"/>
  <c r="O9" i="10"/>
  <c r="Q22" i="10"/>
  <c r="Q9" i="10"/>
  <c r="S22" i="10"/>
  <c r="S9" i="10"/>
  <c r="U22" i="10"/>
  <c r="U9" i="10"/>
  <c r="W22" i="10"/>
  <c r="W9" i="10"/>
  <c r="Y22" i="10"/>
  <c r="Y9" i="10"/>
  <c r="AA22" i="10"/>
  <c r="AA9" i="10"/>
  <c r="AC22" i="10"/>
  <c r="AC9" i="10"/>
  <c r="AE22" i="10"/>
  <c r="AE9" i="10"/>
  <c r="AG22" i="10"/>
  <c r="AG9" i="10"/>
  <c r="AI22" i="10"/>
  <c r="AI9" i="10"/>
  <c r="E22" i="9"/>
  <c r="E9" i="9"/>
  <c r="G9" i="9"/>
  <c r="G22" i="9"/>
  <c r="I9" i="9"/>
  <c r="I22" i="9"/>
  <c r="K9" i="9"/>
  <c r="K22" i="9"/>
  <c r="M9" i="9"/>
  <c r="M22" i="9"/>
  <c r="O9" i="9"/>
  <c r="O22" i="9"/>
  <c r="Q9" i="9"/>
  <c r="Q22" i="9"/>
  <c r="S9" i="9"/>
  <c r="S22" i="9"/>
  <c r="U9" i="9"/>
  <c r="U22" i="9"/>
  <c r="W9" i="9"/>
  <c r="W22" i="9"/>
  <c r="Y9" i="9"/>
  <c r="Y22" i="9"/>
  <c r="AA9" i="9"/>
  <c r="AA22" i="9"/>
  <c r="AC9" i="9"/>
  <c r="AC22" i="9"/>
  <c r="AE9" i="9"/>
  <c r="AE22" i="9"/>
  <c r="AG9" i="9"/>
  <c r="AG22" i="9"/>
  <c r="E9" i="8"/>
  <c r="E22" i="8"/>
  <c r="G22" i="8"/>
  <c r="G9" i="8"/>
  <c r="I9" i="8"/>
  <c r="I22" i="8"/>
  <c r="K22" i="8"/>
  <c r="K9" i="8"/>
  <c r="M9" i="8"/>
  <c r="M22" i="8"/>
  <c r="O22" i="8"/>
  <c r="O9" i="8"/>
  <c r="Q9" i="8"/>
  <c r="Q22" i="8"/>
  <c r="S22" i="8"/>
  <c r="S9" i="8"/>
  <c r="U9" i="8"/>
  <c r="U22" i="8"/>
  <c r="W22" i="8"/>
  <c r="W9" i="8"/>
  <c r="Y9" i="8"/>
  <c r="Y22" i="8"/>
  <c r="AA22" i="8"/>
  <c r="AA9" i="8"/>
  <c r="AC9" i="8"/>
  <c r="AC22" i="8"/>
  <c r="AE22" i="8"/>
  <c r="AE9" i="8"/>
  <c r="AG9" i="8"/>
  <c r="AG22" i="8"/>
  <c r="AI22" i="8"/>
  <c r="AI9" i="8"/>
  <c r="E22" i="7"/>
  <c r="E9" i="7"/>
  <c r="G22" i="7"/>
  <c r="G9" i="7"/>
  <c r="I22" i="7"/>
  <c r="I9" i="7"/>
  <c r="K22" i="7"/>
  <c r="K9" i="7"/>
  <c r="M22" i="7"/>
  <c r="M9" i="7"/>
  <c r="O22" i="7"/>
  <c r="O9" i="7"/>
  <c r="Q22" i="7"/>
  <c r="Q9" i="7"/>
  <c r="S22" i="7"/>
  <c r="S9" i="7"/>
  <c r="U22" i="7"/>
  <c r="U9" i="7"/>
  <c r="W22" i="7"/>
  <c r="W9" i="7"/>
  <c r="Y22" i="7"/>
  <c r="Y9" i="7"/>
  <c r="AA22" i="7"/>
  <c r="AA9" i="7"/>
  <c r="AC22" i="7"/>
  <c r="AC9" i="7"/>
  <c r="AE22" i="7"/>
  <c r="AE9" i="7"/>
  <c r="AG22" i="7"/>
  <c r="AG9" i="7"/>
  <c r="E22" i="6"/>
  <c r="E9" i="6"/>
  <c r="G9" i="6"/>
  <c r="G22" i="6"/>
  <c r="I9" i="6"/>
  <c r="I22" i="6"/>
  <c r="K9" i="6"/>
  <c r="K22" i="6"/>
  <c r="M9" i="6"/>
  <c r="M22" i="6"/>
  <c r="O9" i="6"/>
  <c r="O22" i="6"/>
  <c r="Q9" i="6"/>
  <c r="Q22" i="6"/>
  <c r="S9" i="6"/>
  <c r="S22" i="6"/>
  <c r="U9" i="6"/>
  <c r="U22" i="6"/>
  <c r="W9" i="6"/>
  <c r="W22" i="6"/>
  <c r="Y9" i="6"/>
  <c r="Y22" i="6"/>
  <c r="AA9" i="6"/>
  <c r="AA22" i="6"/>
  <c r="AC9" i="6"/>
  <c r="AC22" i="6"/>
  <c r="AE9" i="6"/>
  <c r="AE22" i="6"/>
  <c r="AG9" i="6"/>
  <c r="AG22" i="6"/>
  <c r="AI9" i="6"/>
  <c r="AI22" i="6"/>
  <c r="E22" i="5"/>
  <c r="E9" i="5"/>
  <c r="G22" i="5"/>
  <c r="G9" i="5"/>
  <c r="I22" i="5"/>
  <c r="I9" i="5"/>
  <c r="K22" i="5"/>
  <c r="K9" i="5"/>
  <c r="M22" i="5"/>
  <c r="M9" i="5"/>
  <c r="O22" i="5"/>
  <c r="O9" i="5"/>
  <c r="Q22" i="5"/>
  <c r="Q9" i="5"/>
  <c r="S22" i="5"/>
  <c r="S9" i="5"/>
  <c r="U22" i="5"/>
  <c r="U9" i="5"/>
  <c r="W22" i="5"/>
  <c r="W9" i="5"/>
  <c r="Y22" i="5"/>
  <c r="Y9" i="5"/>
  <c r="AA22" i="5"/>
  <c r="AA9" i="5"/>
  <c r="AC22" i="5"/>
  <c r="AC9" i="5"/>
  <c r="AE22" i="5"/>
  <c r="AE9" i="5"/>
  <c r="AG22" i="5"/>
  <c r="AG9" i="5"/>
  <c r="E22" i="3"/>
  <c r="E9" i="3"/>
  <c r="G22" i="3"/>
  <c r="G9" i="3"/>
  <c r="I22" i="3"/>
  <c r="I9" i="3"/>
  <c r="K22" i="3"/>
  <c r="K9" i="3"/>
  <c r="M22" i="3"/>
  <c r="M9" i="3"/>
  <c r="O22" i="3"/>
  <c r="O9" i="3"/>
  <c r="Q22" i="3"/>
  <c r="Q9" i="3"/>
  <c r="S22" i="3"/>
  <c r="S9" i="3"/>
  <c r="U22" i="3"/>
  <c r="U9" i="3"/>
  <c r="W22" i="3"/>
  <c r="W9" i="3"/>
  <c r="Y22" i="3"/>
  <c r="Y9" i="3"/>
  <c r="AA22" i="3"/>
  <c r="AA9" i="3"/>
  <c r="AC22" i="3"/>
  <c r="AC9" i="3"/>
  <c r="AE22" i="3"/>
  <c r="AE9" i="3"/>
  <c r="AG22" i="3"/>
  <c r="AG9" i="3"/>
  <c r="AI22" i="3"/>
  <c r="AI9" i="3"/>
  <c r="E9" i="2"/>
  <c r="E22" i="2"/>
  <c r="G9" i="2"/>
  <c r="G22" i="2"/>
  <c r="I9" i="2"/>
  <c r="I22" i="2"/>
  <c r="K9" i="2"/>
  <c r="K22" i="2"/>
  <c r="M9" i="2"/>
  <c r="M22" i="2"/>
  <c r="O9" i="2"/>
  <c r="O22" i="2"/>
  <c r="Q9" i="2"/>
  <c r="Q22" i="2"/>
  <c r="S9" i="2"/>
  <c r="S22" i="2"/>
  <c r="U9" i="2"/>
  <c r="U22" i="2"/>
  <c r="W9" i="2"/>
  <c r="W22" i="2"/>
  <c r="Y9" i="2"/>
  <c r="Y22" i="2"/>
  <c r="AA9" i="2"/>
  <c r="AA22" i="2"/>
  <c r="AC9" i="2"/>
  <c r="AC22" i="2"/>
  <c r="AE9" i="2"/>
  <c r="AE22" i="2"/>
  <c r="AG9" i="2"/>
  <c r="AG22" i="2"/>
  <c r="E9" i="11"/>
  <c r="E22" i="11"/>
  <c r="G22" i="11"/>
  <c r="G9" i="11"/>
  <c r="I22" i="11"/>
  <c r="I9" i="11"/>
  <c r="K22" i="11"/>
  <c r="K9" i="11"/>
  <c r="M22" i="11"/>
  <c r="M9" i="11"/>
  <c r="O22" i="11"/>
  <c r="O9" i="11"/>
  <c r="Q22" i="11"/>
  <c r="Q9" i="11"/>
  <c r="S22" i="11"/>
  <c r="S9" i="11"/>
  <c r="U22" i="11"/>
  <c r="U9" i="11"/>
  <c r="W22" i="11"/>
  <c r="W9" i="11"/>
  <c r="Y22" i="11"/>
  <c r="Y9" i="11"/>
  <c r="AA22" i="11"/>
  <c r="AA9" i="11"/>
  <c r="AC22" i="11"/>
  <c r="AC9" i="11"/>
  <c r="AE22" i="11"/>
  <c r="AE9" i="11"/>
  <c r="AG22" i="11"/>
  <c r="AG9" i="11"/>
  <c r="AI22" i="11"/>
  <c r="AI9" i="11"/>
  <c r="E22" i="12"/>
  <c r="E9" i="12"/>
  <c r="G22" i="12"/>
  <c r="G9" i="12"/>
  <c r="I22" i="12"/>
  <c r="I9" i="12"/>
  <c r="K22" i="12"/>
  <c r="K9" i="12"/>
  <c r="M22" i="12"/>
  <c r="M9" i="12"/>
  <c r="O22" i="12"/>
  <c r="O9" i="12"/>
  <c r="Q22" i="12"/>
  <c r="Q9" i="12"/>
  <c r="S22" i="12"/>
  <c r="S9" i="12"/>
  <c r="U22" i="12"/>
  <c r="U9" i="12"/>
  <c r="W22" i="12"/>
  <c r="W9" i="12"/>
  <c r="Y22" i="12"/>
  <c r="Y9" i="12"/>
  <c r="AA22" i="12"/>
  <c r="AA9" i="12"/>
  <c r="AC22" i="12"/>
  <c r="AC9" i="12"/>
  <c r="AE22" i="12"/>
  <c r="AE9" i="12"/>
  <c r="AG22" i="12"/>
  <c r="AG9" i="12"/>
  <c r="E22" i="13"/>
  <c r="E9" i="13"/>
  <c r="G9" i="13"/>
  <c r="G22" i="13"/>
  <c r="I9" i="13"/>
  <c r="I22" i="13"/>
  <c r="K9" i="13"/>
  <c r="K22" i="13"/>
  <c r="M9" i="13"/>
  <c r="M22" i="13"/>
  <c r="O9" i="13"/>
  <c r="O22" i="13"/>
  <c r="Q9" i="13"/>
  <c r="Q22" i="13"/>
  <c r="S9" i="13"/>
  <c r="S22" i="13"/>
  <c r="U9" i="13"/>
  <c r="U22" i="13"/>
  <c r="W9" i="13"/>
  <c r="W22" i="13"/>
  <c r="Y9" i="13"/>
  <c r="Y22" i="13"/>
  <c r="AA9" i="13"/>
  <c r="AA22" i="13"/>
  <c r="AC9" i="13"/>
  <c r="AC22" i="13"/>
  <c r="AE9" i="13"/>
  <c r="AE22" i="13"/>
  <c r="AG9" i="13"/>
  <c r="AG22" i="13"/>
  <c r="AI9" i="13"/>
  <c r="AI22" i="13"/>
  <c r="G21" i="1"/>
  <c r="I21" i="1"/>
  <c r="K21" i="1"/>
  <c r="M21" i="1"/>
  <c r="O21" i="1"/>
  <c r="Q21" i="1"/>
  <c r="S21" i="1"/>
  <c r="U21" i="1"/>
  <c r="W21" i="1"/>
  <c r="Y21" i="1"/>
  <c r="AA21" i="1"/>
  <c r="AC21" i="1"/>
  <c r="AE21" i="1"/>
  <c r="AG21" i="1"/>
  <c r="AI21" i="1"/>
  <c r="AK21" i="1"/>
  <c r="G22" i="1"/>
  <c r="I22" i="1"/>
  <c r="K22" i="1"/>
  <c r="M22" i="1"/>
  <c r="O22" i="1"/>
  <c r="Q22" i="1"/>
  <c r="S22" i="1"/>
  <c r="U22" i="1"/>
  <c r="W22" i="1"/>
  <c r="Y22" i="1"/>
  <c r="AA22" i="1"/>
  <c r="AC22" i="1"/>
  <c r="AE22" i="1"/>
  <c r="AG22" i="1"/>
  <c r="AI22" i="1"/>
  <c r="G23" i="1"/>
  <c r="I23" i="1"/>
  <c r="K23" i="1"/>
  <c r="M23" i="1"/>
  <c r="O23" i="1"/>
  <c r="Q23" i="1"/>
  <c r="S23" i="1"/>
  <c r="U23" i="1"/>
  <c r="W23" i="1"/>
  <c r="Y23" i="1"/>
  <c r="AA23" i="1"/>
  <c r="AC23" i="1"/>
  <c r="AE23" i="1"/>
  <c r="AG23" i="1"/>
  <c r="AI23" i="1"/>
  <c r="AK23" i="1"/>
  <c r="G24" i="1"/>
  <c r="I24" i="1"/>
  <c r="K24" i="1"/>
  <c r="M24" i="1"/>
  <c r="O24" i="1"/>
  <c r="Q24" i="1"/>
  <c r="S24" i="1"/>
  <c r="U24" i="1"/>
  <c r="W24" i="1"/>
  <c r="Y24" i="1"/>
  <c r="AA24" i="1"/>
  <c r="AC24" i="1"/>
  <c r="AE24" i="1"/>
  <c r="AG24" i="1"/>
  <c r="AI24" i="1"/>
  <c r="G25" i="1"/>
  <c r="I25" i="1"/>
  <c r="K25" i="1"/>
  <c r="M25" i="1"/>
  <c r="O25" i="1"/>
  <c r="Q25" i="1"/>
  <c r="S25" i="1"/>
  <c r="U25" i="1"/>
  <c r="W25" i="1"/>
  <c r="Y25" i="1"/>
  <c r="AA25" i="1"/>
  <c r="AC25" i="1"/>
  <c r="AE25" i="1"/>
  <c r="AG25" i="1"/>
  <c r="AI25" i="1"/>
  <c r="AK25" i="1"/>
  <c r="G26" i="1"/>
  <c r="I26" i="1"/>
  <c r="K26" i="1"/>
  <c r="M26" i="1"/>
  <c r="O26" i="1"/>
  <c r="Q26" i="1"/>
  <c r="S26" i="1"/>
  <c r="U26" i="1"/>
  <c r="W26" i="1"/>
  <c r="Y26" i="1"/>
  <c r="AA26" i="1"/>
  <c r="AC26" i="1"/>
  <c r="AE26" i="1"/>
  <c r="AI26" i="1"/>
  <c r="I27" i="1"/>
  <c r="M27" i="1"/>
  <c r="Q27" i="1"/>
  <c r="U27" i="1"/>
  <c r="Y27" i="1"/>
  <c r="AC27" i="1"/>
  <c r="AG27" i="1"/>
  <c r="AK27" i="1"/>
  <c r="G28" i="1"/>
  <c r="K28" i="1"/>
  <c r="O28" i="1"/>
  <c r="S28" i="1"/>
  <c r="W28" i="1"/>
  <c r="AA28" i="1"/>
  <c r="AE28" i="1"/>
  <c r="AI28" i="1"/>
  <c r="I29" i="1"/>
  <c r="M29" i="1"/>
  <c r="Q29" i="1"/>
  <c r="U29" i="1"/>
  <c r="Y29" i="1"/>
  <c r="AC29" i="1"/>
  <c r="AG29" i="1"/>
  <c r="G30" i="1"/>
  <c r="K30" i="1"/>
  <c r="O30" i="1"/>
  <c r="S30" i="1"/>
  <c r="W30" i="1"/>
  <c r="AA30" i="1"/>
  <c r="AE30" i="1"/>
  <c r="AI30" i="1"/>
  <c r="I31" i="1"/>
  <c r="M31" i="1"/>
  <c r="Q31" i="1"/>
  <c r="U31" i="1"/>
  <c r="Y31" i="1"/>
  <c r="AC31" i="1"/>
  <c r="AG31" i="1"/>
  <c r="G32" i="1"/>
  <c r="K32" i="1"/>
  <c r="O32" i="1"/>
  <c r="S32" i="1"/>
  <c r="W32" i="1"/>
  <c r="AA32" i="1"/>
  <c r="AE32" i="1"/>
  <c r="AI32" i="1"/>
  <c r="AI17" i="2"/>
  <c r="AK26" i="4" l="1"/>
  <c r="AK17" i="4" s="1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G13" i="4"/>
  <c r="E13" i="4"/>
  <c r="AH13" i="4"/>
  <c r="AF13" i="4"/>
  <c r="AD13" i="4"/>
  <c r="AB13" i="4"/>
  <c r="Z13" i="4"/>
  <c r="X13" i="4"/>
  <c r="V13" i="4"/>
  <c r="T13" i="4"/>
  <c r="R13" i="4"/>
  <c r="P13" i="4"/>
  <c r="N13" i="4"/>
  <c r="L13" i="4"/>
  <c r="J13" i="4"/>
  <c r="H13" i="4"/>
  <c r="F13" i="4"/>
  <c r="AG13" i="12"/>
  <c r="AE13" i="12"/>
  <c r="AC13" i="12"/>
  <c r="AA13" i="12"/>
  <c r="Y13" i="12"/>
  <c r="W13" i="12"/>
  <c r="U13" i="12"/>
  <c r="S13" i="12"/>
  <c r="Q13" i="12"/>
  <c r="AH13" i="12"/>
  <c r="AF13" i="12"/>
  <c r="AD13" i="12"/>
  <c r="AB13" i="12"/>
  <c r="Z13" i="12"/>
  <c r="X13" i="12"/>
  <c r="V13" i="12"/>
  <c r="T13" i="12"/>
  <c r="R13" i="12"/>
  <c r="P13" i="12"/>
  <c r="N13" i="12"/>
  <c r="L13" i="12"/>
  <c r="J13" i="12"/>
  <c r="H13" i="12"/>
  <c r="F13" i="12"/>
  <c r="O13" i="12"/>
  <c r="K13" i="12"/>
  <c r="G13" i="12"/>
  <c r="M13" i="12"/>
  <c r="I13" i="12"/>
  <c r="E13" i="12"/>
  <c r="AJ26" i="12"/>
  <c r="AJ17" i="12" s="1"/>
  <c r="AH13" i="8"/>
  <c r="P24" i="16" s="1"/>
  <c r="AF13" i="8"/>
  <c r="N24" i="16" s="1"/>
  <c r="AD13" i="8"/>
  <c r="L24" i="16" s="1"/>
  <c r="AB13" i="8"/>
  <c r="J24" i="16" s="1"/>
  <c r="Z13" i="8"/>
  <c r="H24" i="16" s="1"/>
  <c r="X13" i="8"/>
  <c r="F24" i="16" s="1"/>
  <c r="V13" i="8"/>
  <c r="D24" i="16" s="1"/>
  <c r="T13" i="8"/>
  <c r="B24" i="16" s="1"/>
  <c r="R13" i="8"/>
  <c r="O14" i="16" s="1"/>
  <c r="P13" i="8"/>
  <c r="M14" i="16" s="1"/>
  <c r="N13" i="8"/>
  <c r="K14" i="16" s="1"/>
  <c r="L13" i="8"/>
  <c r="I14" i="16" s="1"/>
  <c r="J13" i="8"/>
  <c r="G14" i="16" s="1"/>
  <c r="H13" i="8"/>
  <c r="E14" i="16" s="1"/>
  <c r="F13" i="8"/>
  <c r="C14" i="16" s="1"/>
  <c r="AI13" i="8"/>
  <c r="B34" i="16" s="1"/>
  <c r="AG13" i="8"/>
  <c r="O24" i="16" s="1"/>
  <c r="AE13" i="8"/>
  <c r="M24" i="16" s="1"/>
  <c r="AC13" i="8"/>
  <c r="K24" i="16" s="1"/>
  <c r="AA13" i="8"/>
  <c r="I24" i="16" s="1"/>
  <c r="Y13" i="8"/>
  <c r="G24" i="16" s="1"/>
  <c r="W13" i="8"/>
  <c r="E24" i="16" s="1"/>
  <c r="U13" i="8"/>
  <c r="C24" i="16" s="1"/>
  <c r="S13" i="8"/>
  <c r="P14" i="16" s="1"/>
  <c r="Q13" i="8"/>
  <c r="N14" i="16" s="1"/>
  <c r="O13" i="8"/>
  <c r="L14" i="16" s="1"/>
  <c r="M13" i="8"/>
  <c r="J14" i="16" s="1"/>
  <c r="K13" i="8"/>
  <c r="H14" i="16" s="1"/>
  <c r="I13" i="8"/>
  <c r="F14" i="16" s="1"/>
  <c r="G13" i="8"/>
  <c r="D14" i="16" s="1"/>
  <c r="E13" i="8"/>
  <c r="AK26" i="8"/>
  <c r="AK17" i="8" s="1"/>
  <c r="E13" i="10"/>
  <c r="AK26" i="10"/>
  <c r="AK17" i="10" s="1"/>
  <c r="AH13" i="7"/>
  <c r="P24" i="17" s="1"/>
  <c r="AF13" i="7"/>
  <c r="N24" i="17" s="1"/>
  <c r="AD13" i="7"/>
  <c r="L24" i="17" s="1"/>
  <c r="AB13" i="7"/>
  <c r="J24" i="17" s="1"/>
  <c r="Z13" i="7"/>
  <c r="H24" i="17" s="1"/>
  <c r="X13" i="7"/>
  <c r="F24" i="17" s="1"/>
  <c r="V13" i="7"/>
  <c r="D24" i="17" s="1"/>
  <c r="T13" i="7"/>
  <c r="B24" i="17" s="1"/>
  <c r="R13" i="7"/>
  <c r="O14" i="17" s="1"/>
  <c r="P13" i="7"/>
  <c r="M14" i="17" s="1"/>
  <c r="N13" i="7"/>
  <c r="K14" i="17" s="1"/>
  <c r="L13" i="7"/>
  <c r="I14" i="17" s="1"/>
  <c r="J13" i="7"/>
  <c r="G14" i="17" s="1"/>
  <c r="H13" i="7"/>
  <c r="E14" i="17" s="1"/>
  <c r="F13" i="7"/>
  <c r="C14" i="17" s="1"/>
  <c r="AG13" i="7"/>
  <c r="O24" i="17" s="1"/>
  <c r="AC13" i="7"/>
  <c r="K24" i="17" s="1"/>
  <c r="Y13" i="7"/>
  <c r="G24" i="17" s="1"/>
  <c r="U13" i="7"/>
  <c r="C24" i="17" s="1"/>
  <c r="Q13" i="7"/>
  <c r="N14" i="17" s="1"/>
  <c r="M13" i="7"/>
  <c r="J14" i="17" s="1"/>
  <c r="I13" i="7"/>
  <c r="F14" i="17" s="1"/>
  <c r="E13" i="7"/>
  <c r="B14" i="17" s="1"/>
  <c r="AE13" i="7"/>
  <c r="M24" i="17" s="1"/>
  <c r="AA13" i="7"/>
  <c r="I24" i="17" s="1"/>
  <c r="W13" i="7"/>
  <c r="E24" i="17" s="1"/>
  <c r="S13" i="7"/>
  <c r="P14" i="17" s="1"/>
  <c r="O13" i="7"/>
  <c r="L14" i="17" s="1"/>
  <c r="K13" i="7"/>
  <c r="H14" i="17" s="1"/>
  <c r="G13" i="7"/>
  <c r="D14" i="17" s="1"/>
  <c r="AJ26" i="7"/>
  <c r="AJ17" i="7" s="1"/>
  <c r="AK26" i="3"/>
  <c r="AK17" i="3" s="1"/>
  <c r="AH13" i="3"/>
  <c r="AF13" i="3"/>
  <c r="AD13" i="3"/>
  <c r="AB13" i="3"/>
  <c r="Z13" i="3"/>
  <c r="X13" i="3"/>
  <c r="V13" i="3"/>
  <c r="T13" i="3"/>
  <c r="R13" i="3"/>
  <c r="P13" i="3"/>
  <c r="N13" i="3"/>
  <c r="L13" i="3"/>
  <c r="J13" i="3"/>
  <c r="H13" i="3"/>
  <c r="F13" i="3"/>
  <c r="AI13" i="3"/>
  <c r="AG13" i="3"/>
  <c r="AE13" i="3"/>
  <c r="AC13" i="3"/>
  <c r="AA13" i="3"/>
  <c r="Y13" i="3"/>
  <c r="W13" i="3"/>
  <c r="U13" i="3"/>
  <c r="S13" i="3"/>
  <c r="Q13" i="3"/>
  <c r="O13" i="3"/>
  <c r="M13" i="3"/>
  <c r="K13" i="3"/>
  <c r="I13" i="3"/>
  <c r="G13" i="3"/>
  <c r="E13" i="3"/>
  <c r="AH13" i="13"/>
  <c r="AF13" i="13"/>
  <c r="AD13" i="13"/>
  <c r="AB13" i="13"/>
  <c r="Z13" i="13"/>
  <c r="X13" i="13"/>
  <c r="V13" i="13"/>
  <c r="T13" i="13"/>
  <c r="R13" i="13"/>
  <c r="P13" i="13"/>
  <c r="N13" i="13"/>
  <c r="L13" i="13"/>
  <c r="J13" i="13"/>
  <c r="H13" i="13"/>
  <c r="F13" i="13"/>
  <c r="AI13" i="13"/>
  <c r="AG13" i="13"/>
  <c r="AE13" i="13"/>
  <c r="AC13" i="13"/>
  <c r="AA13" i="13"/>
  <c r="Y13" i="13"/>
  <c r="W13" i="13"/>
  <c r="U13" i="13"/>
  <c r="S13" i="13"/>
  <c r="Q13" i="13"/>
  <c r="O13" i="13"/>
  <c r="M13" i="13"/>
  <c r="K13" i="13"/>
  <c r="I13" i="13"/>
  <c r="G13" i="13"/>
  <c r="E13" i="13"/>
  <c r="AK26" i="13"/>
  <c r="AK17" i="13" s="1"/>
  <c r="AI13" i="6"/>
  <c r="AG13" i="6"/>
  <c r="AE13" i="6"/>
  <c r="AC13" i="6"/>
  <c r="AA13" i="6"/>
  <c r="Y13" i="6"/>
  <c r="W13" i="6"/>
  <c r="U13" i="6"/>
  <c r="S13" i="6"/>
  <c r="Q13" i="6"/>
  <c r="O13" i="6"/>
  <c r="M13" i="6"/>
  <c r="K13" i="6"/>
  <c r="I13" i="6"/>
  <c r="G13" i="6"/>
  <c r="E13" i="6"/>
  <c r="AH13" i="6"/>
  <c r="AF13" i="6"/>
  <c r="AD13" i="6"/>
  <c r="AB13" i="6"/>
  <c r="Z13" i="6"/>
  <c r="X13" i="6"/>
  <c r="V13" i="6"/>
  <c r="T13" i="6"/>
  <c r="R13" i="6"/>
  <c r="P13" i="6"/>
  <c r="N13" i="6"/>
  <c r="L13" i="6"/>
  <c r="J13" i="6"/>
  <c r="H13" i="6"/>
  <c r="F13" i="6"/>
  <c r="AK26" i="6"/>
  <c r="AK17" i="6" s="1"/>
  <c r="AJ26" i="2"/>
  <c r="AJ17" i="2" s="1"/>
  <c r="AG13" i="2"/>
  <c r="AE13" i="2"/>
  <c r="AC13" i="2"/>
  <c r="AA13" i="2"/>
  <c r="Y13" i="2"/>
  <c r="W13" i="2"/>
  <c r="U13" i="2"/>
  <c r="S13" i="2"/>
  <c r="Q13" i="2"/>
  <c r="O13" i="2"/>
  <c r="M13" i="2"/>
  <c r="K13" i="2"/>
  <c r="I13" i="2"/>
  <c r="G13" i="2"/>
  <c r="E13" i="2"/>
  <c r="AH13" i="2"/>
  <c r="AF13" i="2"/>
  <c r="AD13" i="2"/>
  <c r="AB13" i="2"/>
  <c r="Z13" i="2"/>
  <c r="X13" i="2"/>
  <c r="V13" i="2"/>
  <c r="T13" i="2"/>
  <c r="R13" i="2"/>
  <c r="P13" i="2"/>
  <c r="N13" i="2"/>
  <c r="L13" i="2"/>
  <c r="J13" i="2"/>
  <c r="H13" i="2"/>
  <c r="F13" i="2"/>
  <c r="AG13" i="9"/>
  <c r="O24" i="15" s="1"/>
  <c r="AE13" i="9"/>
  <c r="M24" i="15" s="1"/>
  <c r="AC13" i="9"/>
  <c r="K24" i="15" s="1"/>
  <c r="AA13" i="9"/>
  <c r="I24" i="15" s="1"/>
  <c r="Y13" i="9"/>
  <c r="G24" i="15" s="1"/>
  <c r="W13" i="9"/>
  <c r="E24" i="15" s="1"/>
  <c r="U13" i="9"/>
  <c r="C24" i="15" s="1"/>
  <c r="S13" i="9"/>
  <c r="P14" i="15" s="1"/>
  <c r="Q13" i="9"/>
  <c r="N14" i="15" s="1"/>
  <c r="O13" i="9"/>
  <c r="L14" i="15" s="1"/>
  <c r="M13" i="9"/>
  <c r="J14" i="15" s="1"/>
  <c r="K13" i="9"/>
  <c r="H14" i="15" s="1"/>
  <c r="I13" i="9"/>
  <c r="F14" i="15" s="1"/>
  <c r="G13" i="9"/>
  <c r="D14" i="15" s="1"/>
  <c r="E13" i="9"/>
  <c r="AF13" i="9"/>
  <c r="N24" i="15" s="1"/>
  <c r="AD13" i="9"/>
  <c r="L24" i="15" s="1"/>
  <c r="AB13" i="9"/>
  <c r="J24" i="15" s="1"/>
  <c r="Z13" i="9"/>
  <c r="H24" i="15" s="1"/>
  <c r="X13" i="9"/>
  <c r="F24" i="15" s="1"/>
  <c r="V13" i="9"/>
  <c r="D24" i="15" s="1"/>
  <c r="T13" i="9"/>
  <c r="B24" i="15" s="1"/>
  <c r="R13" i="9"/>
  <c r="O14" i="15" s="1"/>
  <c r="P13" i="9"/>
  <c r="M14" i="15" s="1"/>
  <c r="N13" i="9"/>
  <c r="K14" i="15" s="1"/>
  <c r="L13" i="9"/>
  <c r="I14" i="15" s="1"/>
  <c r="J13" i="9"/>
  <c r="G14" i="15" s="1"/>
  <c r="H13" i="9"/>
  <c r="E14" i="15" s="1"/>
  <c r="F13" i="9"/>
  <c r="C14" i="15" s="1"/>
  <c r="AI26" i="9"/>
  <c r="AI17" i="9" s="1"/>
  <c r="AG13" i="5"/>
  <c r="AE13" i="5"/>
  <c r="AC13" i="5"/>
  <c r="AA13" i="5"/>
  <c r="Y13" i="5"/>
  <c r="W13" i="5"/>
  <c r="U13" i="5"/>
  <c r="S13" i="5"/>
  <c r="Q13" i="5"/>
  <c r="O13" i="5"/>
  <c r="M13" i="5"/>
  <c r="K13" i="5"/>
  <c r="G13" i="5"/>
  <c r="E13" i="5"/>
  <c r="AH13" i="5"/>
  <c r="AF13" i="5"/>
  <c r="AD13" i="5"/>
  <c r="AB13" i="5"/>
  <c r="Z13" i="5"/>
  <c r="X13" i="5"/>
  <c r="V13" i="5"/>
  <c r="T13" i="5"/>
  <c r="R13" i="5"/>
  <c r="P13" i="5"/>
  <c r="N13" i="5"/>
  <c r="L13" i="5"/>
  <c r="J13" i="5"/>
  <c r="H13" i="5"/>
  <c r="F13" i="5"/>
  <c r="I13" i="5"/>
  <c r="AJ26" i="5"/>
  <c r="AJ17" i="5" s="1"/>
  <c r="AH13" i="11"/>
  <c r="AF13" i="11"/>
  <c r="AD13" i="11"/>
  <c r="AB13" i="11"/>
  <c r="Z13" i="11"/>
  <c r="X13" i="11"/>
  <c r="V13" i="11"/>
  <c r="T13" i="11"/>
  <c r="R13" i="11"/>
  <c r="P13" i="11"/>
  <c r="N13" i="11"/>
  <c r="L13" i="11"/>
  <c r="J13" i="11"/>
  <c r="H13" i="11"/>
  <c r="F13" i="11"/>
  <c r="E13" i="11"/>
  <c r="AI13" i="11"/>
  <c r="AG13" i="11"/>
  <c r="AE13" i="11"/>
  <c r="AC13" i="11"/>
  <c r="AA13" i="11"/>
  <c r="Y13" i="11"/>
  <c r="W13" i="11"/>
  <c r="U13" i="11"/>
  <c r="S13" i="11"/>
  <c r="Q13" i="11"/>
  <c r="O13" i="11"/>
  <c r="M13" i="11"/>
  <c r="K13" i="11"/>
  <c r="I13" i="11"/>
  <c r="G13" i="11"/>
  <c r="AK26" i="11"/>
  <c r="AK17" i="11" s="1"/>
  <c r="A14" i="15" l="1"/>
  <c r="B14" i="15"/>
  <c r="A14" i="16"/>
  <c r="B14" i="16"/>
  <c r="A14" i="17"/>
  <c r="A14" i="14"/>
  <c r="B14" i="14"/>
  <c r="F16" i="9"/>
  <c r="F17" i="9" s="1"/>
  <c r="J16" i="9"/>
  <c r="J17" i="9" s="1"/>
  <c r="N16" i="9"/>
  <c r="N17" i="9" s="1"/>
  <c r="R16" i="9"/>
  <c r="R17" i="9" s="1"/>
  <c r="V16" i="9"/>
  <c r="V17" i="9" s="1"/>
  <c r="Z16" i="9"/>
  <c r="Z17" i="9" s="1"/>
  <c r="AD16" i="9"/>
  <c r="AD17" i="9" s="1"/>
  <c r="A25" i="15"/>
  <c r="G16" i="9"/>
  <c r="G17" i="9" s="1"/>
  <c r="K16" i="9"/>
  <c r="K17" i="9" s="1"/>
  <c r="O16" i="9"/>
  <c r="O17" i="9" s="1"/>
  <c r="S16" i="9"/>
  <c r="S17" i="9" s="1"/>
  <c r="W16" i="9"/>
  <c r="W17" i="9" s="1"/>
  <c r="AA16" i="9"/>
  <c r="AA17" i="9" s="1"/>
  <c r="AE16" i="9"/>
  <c r="AE17" i="9" s="1"/>
  <c r="A26" i="15"/>
  <c r="H16" i="2"/>
  <c r="H17" i="2" s="1"/>
  <c r="L16" i="2"/>
  <c r="L17" i="2" s="1"/>
  <c r="P16" i="2"/>
  <c r="P17" i="2" s="1"/>
  <c r="T16" i="2"/>
  <c r="T17" i="2" s="1"/>
  <c r="X16" i="2"/>
  <c r="X17" i="2" s="1"/>
  <c r="AB16" i="2"/>
  <c r="AB17" i="2" s="1"/>
  <c r="AF16" i="2"/>
  <c r="AF17" i="2" s="1"/>
  <c r="E16" i="2"/>
  <c r="A24" i="22"/>
  <c r="I16" i="2"/>
  <c r="I17" i="2" s="1"/>
  <c r="M16" i="2"/>
  <c r="M17" i="2" s="1"/>
  <c r="Q16" i="2"/>
  <c r="Q17" i="2" s="1"/>
  <c r="U16" i="2"/>
  <c r="U17" i="2" s="1"/>
  <c r="Y16" i="2"/>
  <c r="Y17" i="2" s="1"/>
  <c r="AC16" i="2"/>
  <c r="AC17" i="2" s="1"/>
  <c r="AG16" i="2"/>
  <c r="AG17" i="2" s="1"/>
  <c r="A26" i="22"/>
  <c r="H16" i="6"/>
  <c r="H17" i="6" s="1"/>
  <c r="L16" i="6"/>
  <c r="L17" i="6" s="1"/>
  <c r="P16" i="6"/>
  <c r="P17" i="6" s="1"/>
  <c r="T16" i="6"/>
  <c r="T17" i="6" s="1"/>
  <c r="X16" i="6"/>
  <c r="X17" i="6" s="1"/>
  <c r="AB16" i="6"/>
  <c r="AB17" i="6" s="1"/>
  <c r="AF16" i="6"/>
  <c r="AF17" i="6" s="1"/>
  <c r="H16" i="3"/>
  <c r="H17" i="3" s="1"/>
  <c r="L16" i="3"/>
  <c r="L17" i="3" s="1"/>
  <c r="P16" i="3"/>
  <c r="P17" i="3" s="1"/>
  <c r="T16" i="3"/>
  <c r="T17" i="3" s="1"/>
  <c r="X16" i="3"/>
  <c r="X17" i="3" s="1"/>
  <c r="AB16" i="3"/>
  <c r="AB17" i="3" s="1"/>
  <c r="AF16" i="3"/>
  <c r="AF17" i="3" s="1"/>
  <c r="K16" i="7"/>
  <c r="K17" i="7" s="1"/>
  <c r="S16" i="7"/>
  <c r="S17" i="7" s="1"/>
  <c r="AA16" i="7"/>
  <c r="AA17" i="7" s="1"/>
  <c r="A25" i="17"/>
  <c r="E16" i="7"/>
  <c r="A24" i="17"/>
  <c r="M16" i="7"/>
  <c r="M17" i="7" s="1"/>
  <c r="U16" i="7"/>
  <c r="U17" i="7" s="1"/>
  <c r="AC16" i="7"/>
  <c r="AC17" i="7" s="1"/>
  <c r="F16" i="7"/>
  <c r="F17" i="7" s="1"/>
  <c r="J16" i="7"/>
  <c r="J17" i="7" s="1"/>
  <c r="N16" i="7"/>
  <c r="N17" i="7" s="1"/>
  <c r="R16" i="7"/>
  <c r="R17" i="7" s="1"/>
  <c r="V16" i="7"/>
  <c r="V17" i="7" s="1"/>
  <c r="Z16" i="7"/>
  <c r="Z17" i="7" s="1"/>
  <c r="AD16" i="7"/>
  <c r="AD17" i="7" s="1"/>
  <c r="AH16" i="7"/>
  <c r="AH17" i="7" s="1"/>
  <c r="F16" i="10"/>
  <c r="F17" i="10" s="1"/>
  <c r="X16" i="10"/>
  <c r="X17" i="10" s="1"/>
  <c r="AF16" i="10"/>
  <c r="AF17" i="10" s="1"/>
  <c r="J16" i="10"/>
  <c r="J17" i="10" s="1"/>
  <c r="N16" i="10"/>
  <c r="N17" i="10" s="1"/>
  <c r="R16" i="10"/>
  <c r="R17" i="10" s="1"/>
  <c r="Z16" i="10"/>
  <c r="Z17" i="10" s="1"/>
  <c r="AH16" i="10"/>
  <c r="AH17" i="10" s="1"/>
  <c r="E16" i="10"/>
  <c r="I16" i="10"/>
  <c r="I17" i="10" s="1"/>
  <c r="M16" i="10"/>
  <c r="M17" i="10" s="1"/>
  <c r="Q16" i="10"/>
  <c r="Q17" i="10" s="1"/>
  <c r="U16" i="10"/>
  <c r="U17" i="10" s="1"/>
  <c r="Y16" i="10"/>
  <c r="Y17" i="10" s="1"/>
  <c r="AC16" i="10"/>
  <c r="AC17" i="10" s="1"/>
  <c r="AG16" i="10"/>
  <c r="AG17" i="10" s="1"/>
  <c r="E16" i="8"/>
  <c r="I16" i="8"/>
  <c r="I17" i="8" s="1"/>
  <c r="M16" i="8"/>
  <c r="M17" i="8" s="1"/>
  <c r="Q16" i="8"/>
  <c r="Q17" i="8" s="1"/>
  <c r="U16" i="8"/>
  <c r="U17" i="8" s="1"/>
  <c r="Y16" i="8"/>
  <c r="Y17" i="8" s="1"/>
  <c r="AC16" i="8"/>
  <c r="AC17" i="8" s="1"/>
  <c r="AG16" i="8"/>
  <c r="AG17" i="8" s="1"/>
  <c r="H16" i="8"/>
  <c r="H17" i="8" s="1"/>
  <c r="L16" i="8"/>
  <c r="L17" i="8" s="1"/>
  <c r="P16" i="8"/>
  <c r="P17" i="8" s="1"/>
  <c r="T16" i="8"/>
  <c r="T17" i="8" s="1"/>
  <c r="X16" i="8"/>
  <c r="X17" i="8" s="1"/>
  <c r="AB16" i="8"/>
  <c r="AB17" i="8" s="1"/>
  <c r="AF16" i="8"/>
  <c r="AF17" i="8" s="1"/>
  <c r="E16" i="12"/>
  <c r="A24" i="24"/>
  <c r="M16" i="12"/>
  <c r="M17" i="12" s="1"/>
  <c r="K16" i="12"/>
  <c r="K17" i="12" s="1"/>
  <c r="F16" i="12"/>
  <c r="F17" i="12" s="1"/>
  <c r="J16" i="12"/>
  <c r="J17" i="12" s="1"/>
  <c r="N16" i="12"/>
  <c r="N17" i="12" s="1"/>
  <c r="R16" i="12"/>
  <c r="R17" i="12" s="1"/>
  <c r="V16" i="12"/>
  <c r="V17" i="12" s="1"/>
  <c r="Z16" i="12"/>
  <c r="Z17" i="12" s="1"/>
  <c r="AD16" i="12"/>
  <c r="AD17" i="12" s="1"/>
  <c r="AH16" i="12"/>
  <c r="AH17" i="12" s="1"/>
  <c r="S16" i="12"/>
  <c r="S17" i="12" s="1"/>
  <c r="W16" i="12"/>
  <c r="W17" i="12" s="1"/>
  <c r="AA16" i="12"/>
  <c r="AA17" i="12" s="1"/>
  <c r="AE16" i="12"/>
  <c r="AE17" i="12" s="1"/>
  <c r="A25" i="24"/>
  <c r="F16" i="4"/>
  <c r="F17" i="4" s="1"/>
  <c r="J16" i="4"/>
  <c r="J17" i="4" s="1"/>
  <c r="N16" i="4"/>
  <c r="N17" i="4" s="1"/>
  <c r="R16" i="4"/>
  <c r="R17" i="4" s="1"/>
  <c r="V16" i="4"/>
  <c r="V17" i="4" s="1"/>
  <c r="Z16" i="4"/>
  <c r="Z17" i="4" s="1"/>
  <c r="AD16" i="4"/>
  <c r="AD17" i="4" s="1"/>
  <c r="AH16" i="4"/>
  <c r="AH17" i="4" s="1"/>
  <c r="E16" i="4"/>
  <c r="I16" i="4"/>
  <c r="I17" i="4" s="1"/>
  <c r="M16" i="4"/>
  <c r="M17" i="4" s="1"/>
  <c r="Q16" i="4"/>
  <c r="Q17" i="4" s="1"/>
  <c r="U16" i="4"/>
  <c r="U17" i="4" s="1"/>
  <c r="Y16" i="4"/>
  <c r="Y17" i="4" s="1"/>
  <c r="AC16" i="4"/>
  <c r="AC17" i="4" s="1"/>
  <c r="AG16" i="4"/>
  <c r="AG17" i="4" s="1"/>
  <c r="I16" i="11"/>
  <c r="I17" i="11" s="1"/>
  <c r="M16" i="11"/>
  <c r="M17" i="11" s="1"/>
  <c r="Q16" i="11"/>
  <c r="Q17" i="11" s="1"/>
  <c r="U16" i="11"/>
  <c r="U17" i="11" s="1"/>
  <c r="Y16" i="11"/>
  <c r="Y17" i="11" s="1"/>
  <c r="AC16" i="11"/>
  <c r="AC17" i="11" s="1"/>
  <c r="AG16" i="11"/>
  <c r="AG17" i="11" s="1"/>
  <c r="E16" i="11"/>
  <c r="A24" i="23"/>
  <c r="A34" i="23" s="1"/>
  <c r="H16" i="11"/>
  <c r="H17" i="11" s="1"/>
  <c r="L16" i="11"/>
  <c r="L17" i="11" s="1"/>
  <c r="P16" i="11"/>
  <c r="P17" i="11" s="1"/>
  <c r="T16" i="11"/>
  <c r="T17" i="11" s="1"/>
  <c r="X16" i="11"/>
  <c r="X17" i="11" s="1"/>
  <c r="AB16" i="11"/>
  <c r="AB17" i="11" s="1"/>
  <c r="AF16" i="11"/>
  <c r="AF17" i="11" s="1"/>
  <c r="A25" i="23"/>
  <c r="A35" i="23" s="1"/>
  <c r="F16" i="5"/>
  <c r="F17" i="5" s="1"/>
  <c r="J16" i="5"/>
  <c r="J17" i="5" s="1"/>
  <c r="N16" i="5"/>
  <c r="N17" i="5" s="1"/>
  <c r="R16" i="5"/>
  <c r="R17" i="5" s="1"/>
  <c r="V16" i="5"/>
  <c r="V17" i="5" s="1"/>
  <c r="Z16" i="5"/>
  <c r="Z17" i="5" s="1"/>
  <c r="AD16" i="5"/>
  <c r="AD17" i="5" s="1"/>
  <c r="AH16" i="5"/>
  <c r="AH17" i="5" s="1"/>
  <c r="G16" i="5"/>
  <c r="G17" i="5" s="1"/>
  <c r="M16" i="5"/>
  <c r="M17" i="5" s="1"/>
  <c r="Q16" i="5"/>
  <c r="Q17" i="5" s="1"/>
  <c r="U16" i="5"/>
  <c r="U17" i="5" s="1"/>
  <c r="Y16" i="5"/>
  <c r="Y17" i="5" s="1"/>
  <c r="AC16" i="5"/>
  <c r="AC17" i="5" s="1"/>
  <c r="AG16" i="5"/>
  <c r="AG17" i="5" s="1"/>
  <c r="A26" i="19"/>
  <c r="G16" i="6"/>
  <c r="G17" i="6" s="1"/>
  <c r="K16" i="6"/>
  <c r="K17" i="6" s="1"/>
  <c r="O16" i="6"/>
  <c r="O17" i="6" s="1"/>
  <c r="S16" i="6"/>
  <c r="S17" i="6" s="1"/>
  <c r="W16" i="6"/>
  <c r="W17" i="6" s="1"/>
  <c r="AA16" i="6"/>
  <c r="AA17" i="6" s="1"/>
  <c r="AE16" i="6"/>
  <c r="AE17" i="6" s="1"/>
  <c r="AI16" i="6"/>
  <c r="AI17" i="6" s="1"/>
  <c r="G16" i="13"/>
  <c r="G17" i="13" s="1"/>
  <c r="K16" i="13"/>
  <c r="K17" i="13" s="1"/>
  <c r="O16" i="13"/>
  <c r="O17" i="13" s="1"/>
  <c r="S16" i="13"/>
  <c r="S17" i="13" s="1"/>
  <c r="W16" i="13"/>
  <c r="W17" i="13" s="1"/>
  <c r="AA16" i="13"/>
  <c r="AA17" i="13" s="1"/>
  <c r="AE16" i="13"/>
  <c r="AE17" i="13" s="1"/>
  <c r="AI16" i="13"/>
  <c r="AI17" i="13" s="1"/>
  <c r="F16" i="13"/>
  <c r="F17" i="13" s="1"/>
  <c r="J16" i="13"/>
  <c r="J17" i="13" s="1"/>
  <c r="N16" i="13"/>
  <c r="N17" i="13" s="1"/>
  <c r="R16" i="13"/>
  <c r="R17" i="13" s="1"/>
  <c r="V16" i="13"/>
  <c r="V17" i="13" s="1"/>
  <c r="Z16" i="13"/>
  <c r="Z17" i="13" s="1"/>
  <c r="AD16" i="13"/>
  <c r="AD17" i="13" s="1"/>
  <c r="AH16" i="13"/>
  <c r="AH17" i="13" s="1"/>
  <c r="E16" i="3"/>
  <c r="I16" i="3"/>
  <c r="I17" i="3" s="1"/>
  <c r="M16" i="3"/>
  <c r="M17" i="3" s="1"/>
  <c r="Q16" i="3"/>
  <c r="Q17" i="3" s="1"/>
  <c r="U16" i="3"/>
  <c r="U17" i="3" s="1"/>
  <c r="Y16" i="3"/>
  <c r="Y17" i="3" s="1"/>
  <c r="AC16" i="3"/>
  <c r="AC17" i="3" s="1"/>
  <c r="AG16" i="3"/>
  <c r="AG17" i="3" s="1"/>
  <c r="G16" i="11"/>
  <c r="G17" i="11" s="1"/>
  <c r="K16" i="11"/>
  <c r="K17" i="11" s="1"/>
  <c r="O16" i="11"/>
  <c r="O17" i="11" s="1"/>
  <c r="S16" i="11"/>
  <c r="S17" i="11" s="1"/>
  <c r="W16" i="11"/>
  <c r="W17" i="11" s="1"/>
  <c r="AA16" i="11"/>
  <c r="AA17" i="11" s="1"/>
  <c r="AE16" i="11"/>
  <c r="AE17" i="11" s="1"/>
  <c r="AI16" i="11"/>
  <c r="AI17" i="11" s="1"/>
  <c r="A26" i="23"/>
  <c r="A36" i="23" s="1"/>
  <c r="F16" i="11"/>
  <c r="F17" i="11" s="1"/>
  <c r="J16" i="11"/>
  <c r="J17" i="11" s="1"/>
  <c r="N16" i="11"/>
  <c r="N17" i="11" s="1"/>
  <c r="R16" i="11"/>
  <c r="R17" i="11" s="1"/>
  <c r="V16" i="11"/>
  <c r="V17" i="11" s="1"/>
  <c r="Z16" i="11"/>
  <c r="Z17" i="11" s="1"/>
  <c r="AD16" i="11"/>
  <c r="AD17" i="11" s="1"/>
  <c r="AH16" i="11"/>
  <c r="AH17" i="11" s="1"/>
  <c r="I16" i="5"/>
  <c r="I17" i="5" s="1"/>
  <c r="H16" i="5"/>
  <c r="H17" i="5" s="1"/>
  <c r="L16" i="5"/>
  <c r="L17" i="5" s="1"/>
  <c r="P16" i="5"/>
  <c r="P17" i="5" s="1"/>
  <c r="T16" i="5"/>
  <c r="T17" i="5" s="1"/>
  <c r="X16" i="5"/>
  <c r="X17" i="5" s="1"/>
  <c r="AB16" i="5"/>
  <c r="AB17" i="5" s="1"/>
  <c r="AF16" i="5"/>
  <c r="AF17" i="5" s="1"/>
  <c r="E16" i="5"/>
  <c r="A24" i="19"/>
  <c r="K16" i="5"/>
  <c r="K17" i="5" s="1"/>
  <c r="O16" i="5"/>
  <c r="O17" i="5" s="1"/>
  <c r="S16" i="5"/>
  <c r="S17" i="5" s="1"/>
  <c r="W16" i="5"/>
  <c r="W17" i="5" s="1"/>
  <c r="AA16" i="5"/>
  <c r="AA17" i="5" s="1"/>
  <c r="AE16" i="5"/>
  <c r="AE17" i="5" s="1"/>
  <c r="A25" i="19"/>
  <c r="H16" i="9"/>
  <c r="H17" i="9" s="1"/>
  <c r="L16" i="9"/>
  <c r="L17" i="9" s="1"/>
  <c r="P16" i="9"/>
  <c r="P17" i="9" s="1"/>
  <c r="T16" i="9"/>
  <c r="T17" i="9" s="1"/>
  <c r="X16" i="9"/>
  <c r="X17" i="9" s="1"/>
  <c r="AB16" i="9"/>
  <c r="AB17" i="9" s="1"/>
  <c r="AF16" i="9"/>
  <c r="AF17" i="9" s="1"/>
  <c r="A24" i="15"/>
  <c r="E16" i="9"/>
  <c r="I16" i="9"/>
  <c r="I17" i="9" s="1"/>
  <c r="M16" i="9"/>
  <c r="M17" i="9" s="1"/>
  <c r="Q16" i="9"/>
  <c r="Q17" i="9" s="1"/>
  <c r="U16" i="9"/>
  <c r="U17" i="9" s="1"/>
  <c r="Y16" i="9"/>
  <c r="Y17" i="9" s="1"/>
  <c r="AC16" i="9"/>
  <c r="AC17" i="9" s="1"/>
  <c r="AG16" i="9"/>
  <c r="AG17" i="9" s="1"/>
  <c r="F16" i="2"/>
  <c r="F17" i="2" s="1"/>
  <c r="J16" i="2"/>
  <c r="J17" i="2" s="1"/>
  <c r="N16" i="2"/>
  <c r="N17" i="2" s="1"/>
  <c r="R16" i="2"/>
  <c r="R17" i="2" s="1"/>
  <c r="V16" i="2"/>
  <c r="V17" i="2" s="1"/>
  <c r="Z16" i="2"/>
  <c r="Z17" i="2" s="1"/>
  <c r="AD16" i="2"/>
  <c r="AD17" i="2" s="1"/>
  <c r="AH16" i="2"/>
  <c r="AH17" i="2" s="1"/>
  <c r="G16" i="2"/>
  <c r="G17" i="2" s="1"/>
  <c r="K16" i="2"/>
  <c r="K17" i="2" s="1"/>
  <c r="O16" i="2"/>
  <c r="O17" i="2" s="1"/>
  <c r="S16" i="2"/>
  <c r="S17" i="2" s="1"/>
  <c r="W16" i="2"/>
  <c r="W17" i="2" s="1"/>
  <c r="AA16" i="2"/>
  <c r="AA17" i="2" s="1"/>
  <c r="AE16" i="2"/>
  <c r="AE17" i="2" s="1"/>
  <c r="A25" i="22"/>
  <c r="F16" i="6"/>
  <c r="F17" i="6" s="1"/>
  <c r="J16" i="6"/>
  <c r="J17" i="6" s="1"/>
  <c r="N16" i="6"/>
  <c r="N17" i="6" s="1"/>
  <c r="R16" i="6"/>
  <c r="R17" i="6" s="1"/>
  <c r="V16" i="6"/>
  <c r="V17" i="6" s="1"/>
  <c r="Z16" i="6"/>
  <c r="Z17" i="6" s="1"/>
  <c r="AD16" i="6"/>
  <c r="AD17" i="6" s="1"/>
  <c r="AH16" i="6"/>
  <c r="AH17" i="6" s="1"/>
  <c r="E16" i="6"/>
  <c r="I16" i="6"/>
  <c r="I17" i="6" s="1"/>
  <c r="M16" i="6"/>
  <c r="M17" i="6" s="1"/>
  <c r="Q16" i="6"/>
  <c r="Q17" i="6" s="1"/>
  <c r="U16" i="6"/>
  <c r="U17" i="6" s="1"/>
  <c r="Y16" i="6"/>
  <c r="Y17" i="6" s="1"/>
  <c r="AC16" i="6"/>
  <c r="AC17" i="6" s="1"/>
  <c r="AG16" i="6"/>
  <c r="AG17" i="6" s="1"/>
  <c r="E16" i="13"/>
  <c r="I16" i="13"/>
  <c r="I17" i="13" s="1"/>
  <c r="M16" i="13"/>
  <c r="M17" i="13" s="1"/>
  <c r="Q16" i="13"/>
  <c r="Q17" i="13" s="1"/>
  <c r="U16" i="13"/>
  <c r="U17" i="13" s="1"/>
  <c r="Y16" i="13"/>
  <c r="Y17" i="13" s="1"/>
  <c r="AC16" i="13"/>
  <c r="AC17" i="13" s="1"/>
  <c r="AG16" i="13"/>
  <c r="AG17" i="13" s="1"/>
  <c r="H16" i="13"/>
  <c r="H17" i="13" s="1"/>
  <c r="L16" i="13"/>
  <c r="L17" i="13" s="1"/>
  <c r="P16" i="13"/>
  <c r="P17" i="13" s="1"/>
  <c r="T16" i="13"/>
  <c r="T17" i="13" s="1"/>
  <c r="X16" i="13"/>
  <c r="X17" i="13" s="1"/>
  <c r="AB16" i="13"/>
  <c r="AB17" i="13" s="1"/>
  <c r="AF16" i="13"/>
  <c r="AF17" i="13" s="1"/>
  <c r="G16" i="3"/>
  <c r="G17" i="3" s="1"/>
  <c r="K16" i="3"/>
  <c r="K17" i="3" s="1"/>
  <c r="O16" i="3"/>
  <c r="O17" i="3" s="1"/>
  <c r="S16" i="3"/>
  <c r="S17" i="3" s="1"/>
  <c r="W16" i="3"/>
  <c r="W17" i="3" s="1"/>
  <c r="AA16" i="3"/>
  <c r="AA17" i="3" s="1"/>
  <c r="AE16" i="3"/>
  <c r="AE17" i="3" s="1"/>
  <c r="AI16" i="3"/>
  <c r="AI17" i="3" s="1"/>
  <c r="F16" i="3"/>
  <c r="F17" i="3" s="1"/>
  <c r="J16" i="3"/>
  <c r="J17" i="3" s="1"/>
  <c r="N16" i="3"/>
  <c r="N17" i="3" s="1"/>
  <c r="R16" i="3"/>
  <c r="R17" i="3" s="1"/>
  <c r="V16" i="3"/>
  <c r="V17" i="3" s="1"/>
  <c r="Z16" i="3"/>
  <c r="Z17" i="3" s="1"/>
  <c r="AD16" i="3"/>
  <c r="AD17" i="3" s="1"/>
  <c r="AH16" i="3"/>
  <c r="AH17" i="3" s="1"/>
  <c r="G16" i="7"/>
  <c r="G17" i="7" s="1"/>
  <c r="O16" i="7"/>
  <c r="O17" i="7" s="1"/>
  <c r="W16" i="7"/>
  <c r="W17" i="7" s="1"/>
  <c r="AE16" i="7"/>
  <c r="AE17" i="7" s="1"/>
  <c r="I16" i="7"/>
  <c r="I17" i="7" s="1"/>
  <c r="Q16" i="7"/>
  <c r="Q17" i="7" s="1"/>
  <c r="Y16" i="7"/>
  <c r="Y17" i="7" s="1"/>
  <c r="AG16" i="7"/>
  <c r="AG17" i="7" s="1"/>
  <c r="A26" i="17"/>
  <c r="H16" i="7"/>
  <c r="H17" i="7" s="1"/>
  <c r="L16" i="7"/>
  <c r="L17" i="7" s="1"/>
  <c r="P16" i="7"/>
  <c r="P17" i="7" s="1"/>
  <c r="T16" i="7"/>
  <c r="T17" i="7" s="1"/>
  <c r="X16" i="7"/>
  <c r="X17" i="7" s="1"/>
  <c r="AB16" i="7"/>
  <c r="AB17" i="7" s="1"/>
  <c r="AF16" i="7"/>
  <c r="AF17" i="7" s="1"/>
  <c r="T16" i="10"/>
  <c r="T17" i="10" s="1"/>
  <c r="AB16" i="10"/>
  <c r="AB17" i="10" s="1"/>
  <c r="H16" i="10"/>
  <c r="H17" i="10" s="1"/>
  <c r="L16" i="10"/>
  <c r="L17" i="10" s="1"/>
  <c r="P16" i="10"/>
  <c r="P17" i="10" s="1"/>
  <c r="V16" i="10"/>
  <c r="V17" i="10" s="1"/>
  <c r="AD16" i="10"/>
  <c r="AD17" i="10" s="1"/>
  <c r="G16" i="10"/>
  <c r="G17" i="10" s="1"/>
  <c r="K16" i="10"/>
  <c r="K17" i="10" s="1"/>
  <c r="O16" i="10"/>
  <c r="O17" i="10" s="1"/>
  <c r="S16" i="10"/>
  <c r="S17" i="10" s="1"/>
  <c r="W16" i="10"/>
  <c r="W17" i="10" s="1"/>
  <c r="AA16" i="10"/>
  <c r="AA17" i="10" s="1"/>
  <c r="AE16" i="10"/>
  <c r="AE17" i="10" s="1"/>
  <c r="AI16" i="10"/>
  <c r="AI17" i="10" s="1"/>
  <c r="G16" i="8"/>
  <c r="G17" i="8" s="1"/>
  <c r="K16" i="8"/>
  <c r="K17" i="8" s="1"/>
  <c r="O16" i="8"/>
  <c r="O17" i="8" s="1"/>
  <c r="S16" i="8"/>
  <c r="S17" i="8" s="1"/>
  <c r="W16" i="8"/>
  <c r="W17" i="8" s="1"/>
  <c r="AA16" i="8"/>
  <c r="AA17" i="8" s="1"/>
  <c r="AE16" i="8"/>
  <c r="AE17" i="8" s="1"/>
  <c r="AI16" i="8"/>
  <c r="AI17" i="8" s="1"/>
  <c r="F16" i="8"/>
  <c r="F17" i="8" s="1"/>
  <c r="J16" i="8"/>
  <c r="J17" i="8" s="1"/>
  <c r="N16" i="8"/>
  <c r="N17" i="8" s="1"/>
  <c r="R16" i="8"/>
  <c r="R17" i="8" s="1"/>
  <c r="V16" i="8"/>
  <c r="V17" i="8" s="1"/>
  <c r="Z16" i="8"/>
  <c r="Z17" i="8" s="1"/>
  <c r="AD16" i="8"/>
  <c r="AD17" i="8" s="1"/>
  <c r="AH16" i="8"/>
  <c r="AH17" i="8" s="1"/>
  <c r="I16" i="12"/>
  <c r="I17" i="12" s="1"/>
  <c r="G16" i="12"/>
  <c r="G17" i="12" s="1"/>
  <c r="O16" i="12"/>
  <c r="O17" i="12" s="1"/>
  <c r="H16" i="12"/>
  <c r="H17" i="12" s="1"/>
  <c r="L16" i="12"/>
  <c r="L17" i="12" s="1"/>
  <c r="P16" i="12"/>
  <c r="P17" i="12" s="1"/>
  <c r="T16" i="12"/>
  <c r="T17" i="12" s="1"/>
  <c r="X16" i="12"/>
  <c r="X17" i="12" s="1"/>
  <c r="AB16" i="12"/>
  <c r="AB17" i="12" s="1"/>
  <c r="AF16" i="12"/>
  <c r="AF17" i="12" s="1"/>
  <c r="Q16" i="12"/>
  <c r="Q17" i="12" s="1"/>
  <c r="U16" i="12"/>
  <c r="U17" i="12" s="1"/>
  <c r="Y16" i="12"/>
  <c r="Y17" i="12" s="1"/>
  <c r="AC16" i="12"/>
  <c r="AC17" i="12" s="1"/>
  <c r="AG16" i="12"/>
  <c r="AG17" i="12" s="1"/>
  <c r="A26" i="24"/>
  <c r="H16" i="4"/>
  <c r="H17" i="4" s="1"/>
  <c r="L16" i="4"/>
  <c r="L17" i="4" s="1"/>
  <c r="P16" i="4"/>
  <c r="P17" i="4" s="1"/>
  <c r="T16" i="4"/>
  <c r="T17" i="4" s="1"/>
  <c r="X16" i="4"/>
  <c r="X17" i="4" s="1"/>
  <c r="AB16" i="4"/>
  <c r="AB17" i="4" s="1"/>
  <c r="AF16" i="4"/>
  <c r="AF17" i="4" s="1"/>
  <c r="G16" i="4"/>
  <c r="G17" i="4" s="1"/>
  <c r="K16" i="4"/>
  <c r="K17" i="4" s="1"/>
  <c r="O16" i="4"/>
  <c r="O17" i="4" s="1"/>
  <c r="S16" i="4"/>
  <c r="S17" i="4" s="1"/>
  <c r="W16" i="4"/>
  <c r="W17" i="4" s="1"/>
  <c r="AA16" i="4"/>
  <c r="AA17" i="4" s="1"/>
  <c r="AE16" i="4"/>
  <c r="AE17" i="4" s="1"/>
  <c r="AI16" i="4"/>
  <c r="AI17" i="4" s="1"/>
  <c r="A36" i="20" l="1"/>
  <c r="A26" i="20"/>
  <c r="A36" i="16"/>
  <c r="A26" i="16"/>
  <c r="A36" i="21"/>
  <c r="A26" i="21"/>
  <c r="E17" i="13"/>
  <c r="D17" i="13" s="1"/>
  <c r="C17" i="13" s="1"/>
  <c r="B16" i="13"/>
  <c r="B17" i="13"/>
  <c r="B13" i="13"/>
  <c r="B18" i="13"/>
  <c r="B14" i="13"/>
  <c r="B15" i="13"/>
  <c r="A34" i="25"/>
  <c r="A24" i="25"/>
  <c r="A26" i="25"/>
  <c r="A36" i="25"/>
  <c r="E17" i="6"/>
  <c r="D17" i="6" s="1"/>
  <c r="C17" i="6" s="1"/>
  <c r="B18" i="6"/>
  <c r="B14" i="6"/>
  <c r="B15" i="6"/>
  <c r="B16" i="6"/>
  <c r="B17" i="6"/>
  <c r="B13" i="6"/>
  <c r="E17" i="9"/>
  <c r="D17" i="9" s="1"/>
  <c r="C17" i="9" s="1"/>
  <c r="B15" i="9"/>
  <c r="B16" i="9"/>
  <c r="B13" i="9"/>
  <c r="B18" i="9"/>
  <c r="B17" i="9"/>
  <c r="B14" i="9"/>
  <c r="E17" i="5"/>
  <c r="D17" i="5" s="1"/>
  <c r="C17" i="5" s="1"/>
  <c r="B16" i="5"/>
  <c r="B13" i="5"/>
  <c r="B14" i="5"/>
  <c r="B18" i="5"/>
  <c r="B15" i="5"/>
  <c r="B17" i="5"/>
  <c r="A34" i="21"/>
  <c r="A24" i="21"/>
  <c r="E17" i="11"/>
  <c r="D17" i="11" s="1"/>
  <c r="C17" i="11" s="1"/>
  <c r="B16" i="11"/>
  <c r="B15" i="11"/>
  <c r="B13" i="11"/>
  <c r="B18" i="11"/>
  <c r="B14" i="11"/>
  <c r="B17" i="11"/>
  <c r="A34" i="20"/>
  <c r="A24" i="20"/>
  <c r="A34" i="16"/>
  <c r="A24" i="16"/>
  <c r="E17" i="10"/>
  <c r="D17" i="10" s="1"/>
  <c r="C17" i="10" s="1"/>
  <c r="B18" i="10"/>
  <c r="B15" i="10"/>
  <c r="B16" i="10"/>
  <c r="B17" i="10"/>
  <c r="B13" i="10"/>
  <c r="B14" i="10"/>
  <c r="E17" i="7"/>
  <c r="D17" i="7" s="1"/>
  <c r="C17" i="7" s="1"/>
  <c r="B18" i="7"/>
  <c r="B15" i="7"/>
  <c r="B16" i="7"/>
  <c r="B17" i="7"/>
  <c r="B13" i="7"/>
  <c r="B14" i="7"/>
  <c r="A25" i="21"/>
  <c r="A35" i="21"/>
  <c r="E17" i="2"/>
  <c r="D17" i="2" s="1"/>
  <c r="C17" i="2" s="1"/>
  <c r="B16" i="2"/>
  <c r="B15" i="2"/>
  <c r="B17" i="2"/>
  <c r="B18" i="2"/>
  <c r="B14" i="2"/>
  <c r="B13" i="2"/>
  <c r="A35" i="20"/>
  <c r="A25" i="20"/>
  <c r="A36" i="14"/>
  <c r="A26" i="14"/>
  <c r="A25" i="14"/>
  <c r="A35" i="14"/>
  <c r="A35" i="25"/>
  <c r="A25" i="25"/>
  <c r="A24" i="18"/>
  <c r="A34" i="18"/>
  <c r="E17" i="3"/>
  <c r="D17" i="3" s="1"/>
  <c r="C17" i="3" s="1"/>
  <c r="B18" i="3"/>
  <c r="B14" i="3"/>
  <c r="B15" i="3"/>
  <c r="B16" i="3"/>
  <c r="B17" i="3"/>
  <c r="B13" i="3"/>
  <c r="A36" i="18"/>
  <c r="A26" i="18"/>
  <c r="E17" i="4"/>
  <c r="D17" i="4" s="1"/>
  <c r="C17" i="4" s="1"/>
  <c r="B15" i="4"/>
  <c r="B13" i="4"/>
  <c r="B18" i="4"/>
  <c r="B16" i="4"/>
  <c r="B14" i="4"/>
  <c r="B17" i="4"/>
  <c r="E17" i="12"/>
  <c r="D17" i="12" s="1"/>
  <c r="C17" i="12" s="1"/>
  <c r="B18" i="12"/>
  <c r="B17" i="12"/>
  <c r="B16" i="12"/>
  <c r="B13" i="12"/>
  <c r="B15" i="12"/>
  <c r="B14" i="12"/>
  <c r="A25" i="16"/>
  <c r="A35" i="16"/>
  <c r="E17" i="8"/>
  <c r="D17" i="8" s="1"/>
  <c r="C17" i="8" s="1"/>
  <c r="B18" i="8"/>
  <c r="B17" i="8"/>
  <c r="B13" i="8"/>
  <c r="B16" i="8"/>
  <c r="B15" i="8"/>
  <c r="B14" i="8"/>
  <c r="A24" i="14"/>
  <c r="A34" i="14"/>
  <c r="A25" i="18"/>
  <c r="A35" i="18"/>
</calcChain>
</file>

<file path=xl/sharedStrings.xml><?xml version="1.0" encoding="utf-8"?>
<sst xmlns="http://schemas.openxmlformats.org/spreadsheetml/2006/main" count="2225" uniqueCount="143">
  <si>
    <t>Соц. Услуги</t>
  </si>
  <si>
    <t>01. Приготовление пищи</t>
  </si>
  <si>
    <t>02. Помощь при приготовлении пищи</t>
  </si>
  <si>
    <t>03. Подготовка и подача пищи</t>
  </si>
  <si>
    <t>04. Помощь при подготовке пищи к приему</t>
  </si>
  <si>
    <t>05. Кормление</t>
  </si>
  <si>
    <t>06. Помощь при приеме пищи</t>
  </si>
  <si>
    <t>07. Помощь в соблюдении питьевого режима.</t>
  </si>
  <si>
    <t>08. Умывание</t>
  </si>
  <si>
    <t>09. Помощь при умывании</t>
  </si>
  <si>
    <t>10. Купание в кровати, включая мытье головы</t>
  </si>
  <si>
    <t>11. Купание в приспособленном помещении (месте), включая мытье головы</t>
  </si>
  <si>
    <t>12. Помощь при купании в приспособленном помещении (месте), включая мытье головы</t>
  </si>
  <si>
    <t>13. Гигиеническое обтирание</t>
  </si>
  <si>
    <t>14. Мытье головы, в том числе в кровати</t>
  </si>
  <si>
    <t>15. Помощь при мытье головы</t>
  </si>
  <si>
    <t>16. Подмывание</t>
  </si>
  <si>
    <t>17. Гигиеническая обработка рук и ногтей (процесс обработки ногтей на руках с водой и гиг.ср-ми, включая стрижку или подпиливание ногтей)</t>
  </si>
  <si>
    <t>18. Помощь при гигиенической обработке рук и ногтей (сохранение навыков гиг.обработки ногтей на руках и (или) облегчение данного процесса)</t>
  </si>
  <si>
    <t>19. Мытье ног</t>
  </si>
  <si>
    <t>20. Помощь при мытье ног</t>
  </si>
  <si>
    <t xml:space="preserve">21. Гигиеническая обработка ног и ногтей (процесс обработки ногтей на ногах с водой  и гиг.ср-ми, включая стрижку или подпиливание ногтей) </t>
  </si>
  <si>
    <t>22. Помощь при гигиенической обработка ног и ногтей (сохранение навыков мытья ног и (или) облегчение данного процесса)</t>
  </si>
  <si>
    <t>23. Гигиенииеское бритье</t>
  </si>
  <si>
    <t>24. Гигиеническая стрижка</t>
  </si>
  <si>
    <t>25. Смена одежды (обуви)</t>
  </si>
  <si>
    <t>26. Помощь при смене одежды (обуви)</t>
  </si>
  <si>
    <t>27. Смена нательного белья</t>
  </si>
  <si>
    <t>28. Помощь при смене нательного белья</t>
  </si>
  <si>
    <t>29. Смена постельного белья</t>
  </si>
  <si>
    <t>30. Помощь при смене постельного белья</t>
  </si>
  <si>
    <t>31. Смена абсорбирующего белья, включая гигиеническую обработку</t>
  </si>
  <si>
    <t>32. Помощь при смене абсорбирующего белья (сохранение навыков снятия и надевания абс.белья и (или) облегчение данного процесса)</t>
  </si>
  <si>
    <t>33. Помощь при пользовании туалетом (иными приспособлениями), включая гигиеническую обработку (поддержание способности и сохранение навыков пользования туалетом и (или) иными приспособлениями и (или) облегчение данного процесса)</t>
  </si>
  <si>
    <t>34. Замена мочеприемника и (или) калоприемника, включая гигиеническую обработку</t>
  </si>
  <si>
    <t>35. Помощь при замене мочеприемника и (или) калоприемника</t>
  </si>
  <si>
    <t>36. Позиционирование</t>
  </si>
  <si>
    <t>37. Помощь при позиционировании</t>
  </si>
  <si>
    <t>38. Пересаживание</t>
  </si>
  <si>
    <t>39. Помощь при пересаживании.</t>
  </si>
  <si>
    <t>40. Помощь при передвижении по помещению, пересаживании (поддержание способности к передвижению)</t>
  </si>
  <si>
    <t>41. Измерение температуры тела, артериального давления, пульса, сатурации (в соответствии с медицинскими рекомендациями) (процесс наблюдения за состоянием здоровья)</t>
  </si>
  <si>
    <t>42. Помощь в соблюдении медицинских рекомендаций (поддержание способности следовать мед.назначениям и рекомендациям)</t>
  </si>
  <si>
    <t>43. Подготовка лекарственных препаратов к приему</t>
  </si>
  <si>
    <t>44. Помощь в соблюдении приема лекарственных препаратов (поддержание способности принимать лекарственные препараты)</t>
  </si>
  <si>
    <t>45. Помощь в использовании очков и (или) слуховых аппаратов</t>
  </si>
  <si>
    <t>46. Помощь в использовании протезов или ортезов</t>
  </si>
  <si>
    <t>47. Помощь в поддержании посильной социальной активности</t>
  </si>
  <si>
    <t>48. Помощь в поддержании  посильной физической активности, включая прогулки</t>
  </si>
  <si>
    <t>49. Помощь в поддержании посильной бытовой активности</t>
  </si>
  <si>
    <t>50. Помощь в поддержании когнитивных функций</t>
  </si>
  <si>
    <t>Кратко</t>
  </si>
  <si>
    <t>Наименование социальной услуги по уходу</t>
  </si>
  <si>
    <t>Объем и периодичность социальной услуги по уходу</t>
  </si>
  <si>
    <t>число месяца</t>
  </si>
  <si>
    <t>день недели (пн, вт, ср, чт, пт, сб, вс)</t>
  </si>
  <si>
    <t>1 нед.</t>
  </si>
  <si>
    <t>Объем</t>
  </si>
  <si>
    <t>Периодичность</t>
  </si>
  <si>
    <t>Услуга</t>
  </si>
  <si>
    <t>№</t>
  </si>
  <si>
    <t>посещения</t>
  </si>
  <si>
    <t>УСЛУГ</t>
  </si>
  <si>
    <t>МИНУТ</t>
  </si>
  <si>
    <t>ВСЕГО</t>
  </si>
  <si>
    <t>№ Посещения</t>
  </si>
  <si>
    <t>ПЛАН-ОТЧЕТ  ПРЕДОСТАВЛЕНИЯ СОЦИАЛЬНЫХ УСЛУГ ПО УХОДУ,</t>
  </si>
  <si>
    <t>ВКЛЮЧЕННЫХ В СОЦИАЛЬНЫЙ ПАКЕТ ДОЛГОВРЕМЕННОГО УХОДА</t>
  </si>
  <si>
    <t>Получатель:</t>
  </si>
  <si>
    <t>за</t>
  </si>
  <si>
    <t>сентябрь</t>
  </si>
  <si>
    <t>август</t>
  </si>
  <si>
    <t>июль</t>
  </si>
  <si>
    <t>за неделю</t>
  </si>
  <si>
    <t>периодичность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</si>
  <si>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</si>
  <si>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</si>
  <si>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</si>
  <si>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</si>
  <si>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</si>
  <si>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</si>
  <si>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</si>
  <si>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</si>
  <si>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</si>
  <si>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</si>
  <si>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</si>
  <si>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</si>
  <si>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</si>
  <si>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</si>
  <si>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</si>
  <si>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</si>
  <si>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</si>
  <si>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</si>
  <si>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</si>
  <si>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</si>
  <si>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</si>
  <si>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</si>
  <si>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</si>
  <si>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</si>
  <si>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</si>
  <si>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</si>
  <si>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</si>
  <si>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</si>
  <si>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</si>
  <si>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</si>
  <si>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всего минут</t>
  </si>
  <si>
    <t>Проверка</t>
  </si>
  <si>
    <t>Всего</t>
  </si>
  <si>
    <t>Сентябрь</t>
  </si>
  <si>
    <t>Месяц</t>
  </si>
  <si>
    <t>Октябрь</t>
  </si>
  <si>
    <t>Август</t>
  </si>
  <si>
    <t>Июль</t>
  </si>
  <si>
    <t>31</t>
  </si>
  <si>
    <t>Июнь</t>
  </si>
  <si>
    <t>Май</t>
  </si>
  <si>
    <t>Апрель</t>
  </si>
  <si>
    <t>Март</t>
  </si>
  <si>
    <t>Февраль</t>
  </si>
  <si>
    <t>Январь</t>
  </si>
  <si>
    <t>Ноябрь</t>
  </si>
  <si>
    <t>Декабрь</t>
  </si>
  <si>
    <t>Год</t>
  </si>
  <si>
    <t>июнь</t>
  </si>
  <si>
    <t>г.</t>
  </si>
  <si>
    <t>май</t>
  </si>
  <si>
    <t>март</t>
  </si>
  <si>
    <t>февраль</t>
  </si>
  <si>
    <t>январь</t>
  </si>
  <si>
    <t>октябрь</t>
  </si>
  <si>
    <t>ноябрь</t>
  </si>
  <si>
    <t>декабрь</t>
  </si>
  <si>
    <t>Получатель</t>
  </si>
  <si>
    <t>Соц. Работник</t>
  </si>
  <si>
    <t>Начало</t>
  </si>
  <si>
    <t>ГРАФИК РАБОТЫ ПОМОЩНИКОВ ПО УХОДУ</t>
  </si>
  <si>
    <t>Соц. Работник:</t>
  </si>
  <si>
    <t>апрель</t>
  </si>
  <si>
    <t>Посещение</t>
  </si>
  <si>
    <t>Список услуг получателя</t>
  </si>
  <si>
    <t>Кол-во симв.</t>
  </si>
  <si>
    <t>Фамилия И.О.</t>
  </si>
  <si>
    <t>№ посещ.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</si>
</sst>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ddd"/>
    <numFmt numFmtId="167" formatCode="0;[Red]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2"/>
      <color theme="1"/>
      <name val="Times New Roman"/>
    </font>
    <font>
      <b/>
      <sz val="12"/>
      <color theme="1"/>
      <name val="Times New Roman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1C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0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 wrapText="1" shrinkToFi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 shrinkToFit="1"/>
    </xf>
    <xf numFmtId="166" fontId="2" fillId="0" borderId="1" xfId="0" applyNumberFormat="1" applyFont="1" applyBorder="1" applyAlignment="1">
      <alignment horizontal="center" vertical="center"/>
    </xf>
    <xf numFmtId="14" fontId="2" fillId="0" borderId="0" xfId="0" applyNumberFormat="1" applyFont="1"/>
    <xf numFmtId="167" fontId="2" fillId="0" borderId="0" xfId="0" applyNumberFormat="1" applyFont="1"/>
    <xf numFmtId="166" fontId="2" fillId="0" borderId="1" xfId="0" applyNumberFormat="1" applyFont="1" applyBorder="1" applyAlignment="1">
      <alignment horizontal="center" vertical="center" shrinkToFit="1"/>
    </xf>
    <xf numFmtId="166" fontId="2" fillId="0" borderId="10" xfId="0" applyNumberFormat="1" applyFont="1" applyBorder="1" applyAlignment="1">
      <alignment horizontal="center" vertical="center"/>
    </xf>
    <xf numFmtId="17" fontId="2" fillId="0" borderId="0" xfId="0" applyNumberFormat="1" applyFont="1"/>
    <xf numFmtId="0" fontId="2" fillId="0" borderId="0" xfId="0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center" vertical="center"/>
    </xf>
    <xf numFmtId="0" fontId="6" fillId="0" borderId="0" xfId="0" applyFont="1" applyBorder="1" applyAlignment="1">
      <alignment horizontal="center" vertical="center" wrapText="1" shrinkToFit="1"/>
    </xf>
    <xf numFmtId="0" fontId="5" fillId="0" borderId="5" xfId="0" applyFont="1" applyBorder="1" applyAlignment="1">
      <alignment horizontal="right" vertical="center" wrapText="1" shrinkToFit="1"/>
    </xf>
    <xf numFmtId="0" fontId="5" fillId="0" borderId="5" xfId="0" applyFont="1" applyBorder="1" applyAlignment="1">
      <alignment horizontal="left" vertical="center" wrapText="1" shrinkToFit="1"/>
    </xf>
    <xf numFmtId="0" fontId="2" fillId="0" borderId="0" xfId="0" applyFont="1" applyAlignment="1">
      <alignment wrapText="1" shrinkToFit="1"/>
    </xf>
    <xf numFmtId="166" fontId="2" fillId="0" borderId="1" xfId="0" applyNumberFormat="1" applyFont="1" applyFill="1" applyBorder="1" applyAlignment="1">
      <alignment horizontal="center" vertical="center"/>
    </xf>
    <xf numFmtId="20" fontId="2" fillId="0" borderId="0" xfId="0" applyNumberFormat="1" applyFont="1" applyAlignment="1">
      <alignment horizontal="center" vertical="center"/>
    </xf>
    <xf numFmtId="166" fontId="2" fillId="0" borderId="0" xfId="0" applyNumberFormat="1" applyFont="1" applyFill="1" applyBorder="1" applyAlignment="1">
      <alignment horizontal="center" vertical="center"/>
    </xf>
    <xf numFmtId="20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 wrapText="1" shrinkToFit="1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20" fontId="3" fillId="0" borderId="0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8" fillId="0" borderId="0" xfId="0" applyNumberFormat="1" applyFont="1" applyFill="1" applyAlignment="1">
      <alignment horizontal="center" vertical="center"/>
    </xf>
    <xf numFmtId="164" fontId="8" fillId="0" borderId="0" xfId="0" applyNumberFormat="1" applyFont="1" applyFill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0" fontId="8" fillId="0" borderId="0" xfId="0" applyFont="1"/>
    <xf numFmtId="167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 wrapText="1" shrinkToFit="1"/>
    </xf>
    <xf numFmtId="49" fontId="8" fillId="0" borderId="0" xfId="0" applyNumberFormat="1" applyFont="1" applyAlignment="1">
      <alignment horizontal="center" vertical="center"/>
    </xf>
    <xf numFmtId="167" fontId="8" fillId="0" borderId="0" xfId="0" applyNumberFormat="1" applyFont="1" applyAlignment="1">
      <alignment horizontal="center" vertical="center"/>
    </xf>
    <xf numFmtId="20" fontId="2" fillId="0" borderId="0" xfId="0" applyNumberFormat="1" applyFont="1"/>
    <xf numFmtId="0" fontId="2" fillId="0" borderId="0" xfId="0" applyNumberFormat="1" applyFont="1"/>
    <xf numFmtId="0" fontId="3" fillId="0" borderId="0" xfId="0" applyFont="1"/>
    <xf numFmtId="0" fontId="2" fillId="0" borderId="0" xfId="0" applyFont="1" applyAlignment="1">
      <alignment horizontal="center" textRotation="90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right" vertical="center" wrapText="1" shrinkToFit="1"/>
    </xf>
    <xf numFmtId="0" fontId="2" fillId="0" borderId="7" xfId="0" applyFont="1" applyBorder="1" applyAlignment="1">
      <alignment horizontal="center" vertical="center" wrapText="1" shrinkToFit="1"/>
    </xf>
    <xf numFmtId="0" fontId="6" fillId="0" borderId="7" xfId="0" applyFont="1" applyBorder="1" applyAlignment="1">
      <alignment horizontal="center" vertical="center" wrapText="1" shrinkToFit="1"/>
    </xf>
    <xf numFmtId="0" fontId="5" fillId="0" borderId="8" xfId="0" applyFont="1" applyBorder="1" applyAlignment="1">
      <alignment horizontal="center" vertical="center" wrapText="1" shrinkToFit="1"/>
    </xf>
    <xf numFmtId="0" fontId="6" fillId="0" borderId="8" xfId="0" applyFont="1" applyBorder="1" applyAlignment="1">
      <alignment horizontal="center" vertical="center" wrapText="1" shrinkToFit="1"/>
    </xf>
    <xf numFmtId="0" fontId="3" fillId="0" borderId="1" xfId="0" applyFont="1" applyBorder="1" applyAlignment="1">
      <alignment horizontal="center" vertical="center" wrapText="1" shrinkToFit="1"/>
    </xf>
    <xf numFmtId="0" fontId="3" fillId="0" borderId="4" xfId="0" applyFont="1" applyBorder="1" applyAlignment="1">
      <alignment horizontal="center" vertical="center" wrapText="1" shrinkToFit="1"/>
    </xf>
    <xf numFmtId="0" fontId="7" fillId="0" borderId="6" xfId="0" applyFont="1" applyBorder="1" applyAlignment="1">
      <alignment horizontal="center" vertical="center" wrapText="1" shrinkToFit="1"/>
    </xf>
    <xf numFmtId="0" fontId="7" fillId="0" borderId="11" xfId="0" applyFont="1" applyBorder="1" applyAlignment="1">
      <alignment horizontal="center" vertical="center" wrapText="1" shrinkToFit="1"/>
    </xf>
    <xf numFmtId="0" fontId="2" fillId="0" borderId="12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 vertical="center" wrapText="1" shrinkToFit="1"/>
    </xf>
    <xf numFmtId="0" fontId="6" fillId="0" borderId="2" xfId="0" applyFont="1" applyBorder="1" applyAlignment="1">
      <alignment horizontal="center" vertical="center" wrapText="1" shrinkToFit="1"/>
    </xf>
    <xf numFmtId="0" fontId="6" fillId="0" borderId="13" xfId="0" applyFont="1" applyBorder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 shrinkToFit="1"/>
    </xf>
    <xf numFmtId="0" fontId="6" fillId="0" borderId="14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vertical="center" wrapText="1" shrinkToFit="1"/>
    </xf>
    <xf numFmtId="0" fontId="2" fillId="0" borderId="9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textRotation="90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6" fillId="0" borderId="15" xfId="0" applyFont="1" applyBorder="1" applyAlignment="1">
      <alignment horizontal="center" vertical="center" wrapText="1" shrinkToFit="1"/>
    </xf>
    <xf numFmtId="0" fontId="6" fillId="0" borderId="3" xfId="0" applyFont="1" applyBorder="1" applyAlignment="1">
      <alignment horizontal="center" vertical="center" wrapText="1" shrinkToFit="1"/>
    </xf>
    <xf numFmtId="0" fontId="6" fillId="0" borderId="1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wrapText="1" shrinkToFit="1"/>
    </xf>
    <xf numFmtId="0" fontId="3" fillId="0" borderId="4" xfId="0" applyFont="1" applyBorder="1" applyAlignment="1">
      <alignment horizontal="center" vertical="center" textRotation="90" wrapText="1" shrinkToFit="1"/>
    </xf>
    <xf numFmtId="0" fontId="6" fillId="0" borderId="6" xfId="0" applyFont="1" applyBorder="1" applyAlignment="1">
      <alignment horizontal="center" vertical="center" wrapText="1" shrinkToFit="1"/>
    </xf>
    <xf numFmtId="0" fontId="3" fillId="0" borderId="6" xfId="0" applyFont="1" applyBorder="1" applyAlignment="1">
      <alignment horizontal="center" vertical="center" textRotation="90" wrapText="1" shrinkToFit="1"/>
    </xf>
    <xf numFmtId="0" fontId="3" fillId="0" borderId="11" xfId="0" applyFont="1" applyBorder="1" applyAlignment="1">
      <alignment horizontal="center" vertical="center" textRotation="90" wrapText="1" shrinkToFit="1"/>
    </xf>
    <xf numFmtId="0" fontId="2" fillId="0" borderId="2" xfId="0" applyFont="1" applyBorder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3" xfId="0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10" fillId="0" borderId="0" xfId="0" applyFont="1" applyAlignment="1">
      <alignment horizontal="center" vertical="center" wrapText="1" shrinkToFit="1"/>
    </xf>
    <xf numFmtId="0" fontId="2" fillId="0" borderId="0" xfId="0" applyFont="1" applyAlignment="1">
      <alignment horizontal="right" vertical="center" wrapText="1" shrinkToFit="1"/>
    </xf>
    <xf numFmtId="0" fontId="0" fillId="0" borderId="0" xfId="0" applyAlignment="1">
      <alignment horizontal="right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5" xfId="0" applyBorder="1" applyAlignment="1">
      <alignment horizontal="center" vertical="center" wrapText="1" shrinkToFit="1"/>
    </xf>
    <xf numFmtId="0" fontId="0" fillId="0" borderId="2" xfId="0" applyBorder="1" applyAlignment="1">
      <alignment horizontal="center" vertical="center" wrapText="1" shrinkToFit="1"/>
    </xf>
    <xf numFmtId="0" fontId="0" fillId="0" borderId="15" xfId="0" applyBorder="1" applyAlignment="1">
      <alignment horizontal="center" vertical="center" wrapText="1" shrinkToFit="1"/>
    </xf>
    <xf numFmtId="0" fontId="0" fillId="0" borderId="3" xfId="0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 wrapText="1" shrinkToFit="1"/>
    </xf>
    <xf numFmtId="0" fontId="3" fillId="0" borderId="2" xfId="0" applyFont="1" applyBorder="1" applyAlignment="1">
      <alignment horizontal="center" vertical="center" wrapText="1" shrinkToFit="1"/>
    </xf>
    <xf numFmtId="0" fontId="0" fillId="0" borderId="14" xfId="0" applyBorder="1" applyAlignment="1">
      <alignment horizontal="center" vertical="center" wrapText="1" shrinkToFit="1"/>
    </xf>
    <xf numFmtId="0" fontId="6" fillId="0" borderId="5" xfId="0" applyFont="1" applyBorder="1" applyAlignment="1">
      <alignment horizontal="center" vertical="center" wrapText="1" shrinkToFit="1"/>
    </xf>
  </cellXfs>
  <cellStyles count="2">
    <cellStyle name="Обычный" xfId="0" builtinId="0"/>
    <cellStyle name="Обычный 2 2 2" xfId="1"/>
  </cellStyles>
  <dxfs count="18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FFC1C1"/>
        </patternFill>
      </fill>
      <alignment horizontal="center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5" formatCode="h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67" formatCode="0;[Red]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</dxfs>
  <tableStyles count="0" defaultTableStyle="TableStyleMedium2" defaultPivotStyle="PivotStyleMedium9"/>
  <colors>
    <mruColors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Услуги" displayName="Услуги" ref="A1:D51" headerRowDxfId="1803" dataDxfId="1802">
  <autoFilter ref="A1:D51">
    <filterColumn colId="0" hiddenButton="1"/>
    <filterColumn colId="1" hiddenButton="1"/>
    <filterColumn colId="2" hiddenButton="1"/>
    <filterColumn colId="3" hiddenButton="1"/>
  </autoFilter>
  <tableColumns count="4">
    <tableColumn id="1" name="Соц. Услуги" totalsRowLabel="Итог" dataDxfId="1801" totalsRowDxfId="1800"/>
    <tableColumn id="2" name="Кратко" dataDxfId="1799" totalsRowDxfId="1798">
      <calculatedColumnFormula>LEFT(Услуги[[#This Row],[Соц. Услуги]],Ограничение[Кол-во симв.])</calculatedColumnFormula>
    </tableColumn>
    <tableColumn id="3" name="Объем" totalsRowFunction="sum" dataDxfId="1797" totalsRowDxfId="1796"/>
    <tableColumn id="4" name="Периодичность" dataDxfId="1795" totalsRowDxfId="17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Посещения" displayName="Посещения" ref="H1:H4" totalsRowShown="0" headerRowDxfId="1793" dataDxfId="1792">
  <autoFilter ref="H1:H4">
    <filterColumn colId="0" hiddenButton="1"/>
  </autoFilter>
  <tableColumns count="1">
    <tableColumn id="1" name="№ Посещения" dataDxfId="179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1" name="Год" displayName="Год" ref="L1:L2" totalsRowShown="0" headerRowDxfId="1790" dataDxfId="1789">
  <autoFilter ref="L1:L2">
    <filterColumn colId="0" hiddenButton="1"/>
  </autoFilter>
  <tableColumns count="1">
    <tableColumn id="1" name="Год" dataDxfId="178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2" name="КалендарьПолн" displayName="КалендарьПолн" ref="F6:AK18" totalsRowShown="0" headerRowDxfId="1787" dataDxfId="1786">
  <autoFilter ref="F6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Месяц" dataDxfId="1785"/>
    <tableColumn id="2" name="1" dataDxfId="1784">
      <calculatedColumnFormula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calculatedColumnFormula>
    </tableColumn>
    <tableColumn id="3" name="2" dataDxfId="1783">
      <calculatedColumnFormula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calculatedColumnFormula>
    </tableColumn>
    <tableColumn id="4" name="3" dataDxfId="1782">
      <calculatedColumnFormula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calculatedColumnFormula>
    </tableColumn>
    <tableColumn id="5" name="4" dataDxfId="1781">
      <calculatedColumnFormula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calculatedColumnFormula>
    </tableColumn>
    <tableColumn id="6" name="5" dataDxfId="1780">
      <calculatedColumnFormula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calculatedColumnFormula>
    </tableColumn>
    <tableColumn id="7" name="6" dataDxfId="1779">
      <calculatedColumnFormula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calculatedColumnFormula>
    </tableColumn>
    <tableColumn id="8" name="7" dataDxfId="1778">
      <calculatedColumnFormula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calculatedColumnFormula>
    </tableColumn>
    <tableColumn id="9" name="8" dataDxfId="1777">
      <calculatedColumnFormula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calculatedColumnFormula>
    </tableColumn>
    <tableColumn id="10" name="9" dataDxfId="1776">
      <calculatedColumnFormula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calculatedColumnFormula>
    </tableColumn>
    <tableColumn id="11" name="10" dataDxfId="1775">
      <calculatedColumnFormula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calculatedColumnFormula>
    </tableColumn>
    <tableColumn id="12" name="11" dataDxfId="1774">
      <calculatedColumnFormula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calculatedColumnFormula>
    </tableColumn>
    <tableColumn id="13" name="12" dataDxfId="1773">
      <calculatedColumnFormula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calculatedColumnFormula>
    </tableColumn>
    <tableColumn id="14" name="13" dataDxfId="1772">
      <calculatedColumnFormula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calculatedColumnFormula>
    </tableColumn>
    <tableColumn id="15" name="14" dataDxfId="1771">
      <calculatedColumnFormula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calculatedColumnFormula>
    </tableColumn>
    <tableColumn id="16" name="15" dataDxfId="1770">
      <calculatedColumnFormula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calculatedColumnFormula>
    </tableColumn>
    <tableColumn id="17" name="16" dataDxfId="1769">
      <calculatedColumnFormula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calculatedColumnFormula>
    </tableColumn>
    <tableColumn id="18" name="17" dataDxfId="1768">
      <calculatedColumnFormula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calculatedColumnFormula>
    </tableColumn>
    <tableColumn id="19" name="18" dataDxfId="1767">
      <calculatedColumnFormula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calculatedColumnFormula>
    </tableColumn>
    <tableColumn id="20" name="19" dataDxfId="1766">
      <calculatedColumnFormula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calculatedColumnFormula>
    </tableColumn>
    <tableColumn id="21" name="20" dataDxfId="1765">
      <calculatedColumnFormula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calculatedColumnFormula>
    </tableColumn>
    <tableColumn id="22" name="21" dataDxfId="1764">
      <calculatedColumnFormula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calculatedColumnFormula>
    </tableColumn>
    <tableColumn id="23" name="22" dataDxfId="1763">
      <calculatedColumnFormula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calculatedColumnFormula>
    </tableColumn>
    <tableColumn id="24" name="23" dataDxfId="1762">
      <calculatedColumnFormula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calculatedColumnFormula>
    </tableColumn>
    <tableColumn id="25" name="24" dataDxfId="1761">
      <calculatedColumnFormula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calculatedColumnFormula>
    </tableColumn>
    <tableColumn id="26" name="25" dataDxfId="1760">
      <calculatedColumnFormula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calculatedColumnFormula>
    </tableColumn>
    <tableColumn id="27" name="26" dataDxfId="1759">
      <calculatedColumnFormula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calculatedColumnFormula>
    </tableColumn>
    <tableColumn id="28" name="27" dataDxfId="1758">
      <calculatedColumnFormula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calculatedColumnFormula>
    </tableColumn>
    <tableColumn id="29" name="28" dataDxfId="1757">
      <calculatedColumnFormula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calculatedColumnFormula>
    </tableColumn>
    <tableColumn id="30" name="29" dataDxfId="1756">
      <calculatedColumnFormula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calculatedColumnFormula>
    </tableColumn>
    <tableColumn id="31" name="30" dataDxfId="1755">
      <calculatedColumnFormula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calculatedColumnFormula>
    </tableColumn>
    <tableColumn id="32" name="31" dataDxfId="1754">
      <calculatedColumnFormula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23" name="КалендарьНН" displayName="КалендарьНН" ref="F20:AK32" totalsRowShown="0" headerRowDxfId="1753" dataDxfId="1752">
  <autoFilter ref="F20:AK3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Месяц" dataDxfId="1751"/>
    <tableColumn id="2" name="1" dataDxfId="1750">
      <calculatedColumnFormula>IF(G7="",0,ROUNDUP(DAY(G7)/7,0)+(WEEKDAY(G7-DAY(G7)+1,11)&gt;WEEKDAY(G7,11)))</calculatedColumnFormula>
    </tableColumn>
    <tableColumn id="3" name="2" dataDxfId="1749">
      <calculatedColumnFormula>IF(H7="",0,ROUNDUP(DAY(H7)/7,0)+(WEEKDAY(H7-DAY(H7)+1,11)&gt;WEEKDAY(H7,11)))</calculatedColumnFormula>
    </tableColumn>
    <tableColumn id="4" name="3" dataDxfId="1748">
      <calculatedColumnFormula>IF(I7="",0,ROUNDUP(DAY(I7)/7,0)+(WEEKDAY(I7-DAY(I7)+1,11)&gt;WEEKDAY(I7,11)))</calculatedColumnFormula>
    </tableColumn>
    <tableColumn id="5" name="4" dataDxfId="1747">
      <calculatedColumnFormula>IF(J7="",0,ROUNDUP(DAY(J7)/7,0)+(WEEKDAY(J7-DAY(J7)+1,11)&gt;WEEKDAY(J7,11)))</calculatedColumnFormula>
    </tableColumn>
    <tableColumn id="6" name="5" dataDxfId="1746">
      <calculatedColumnFormula>IF(K7="",0,ROUNDUP(DAY(K7)/7,0)+(WEEKDAY(K7-DAY(K7)+1,11)&gt;WEEKDAY(K7,11)))</calculatedColumnFormula>
    </tableColumn>
    <tableColumn id="7" name="6" dataDxfId="1745">
      <calculatedColumnFormula>IF(L7="",0,ROUNDUP(DAY(L7)/7,0)+(WEEKDAY(L7-DAY(L7)+1,11)&gt;WEEKDAY(L7,11)))</calculatedColumnFormula>
    </tableColumn>
    <tableColumn id="8" name="7" dataDxfId="1744">
      <calculatedColumnFormula>IF(M7="",0,ROUNDUP(DAY(M7)/7,0)+(WEEKDAY(M7-DAY(M7)+1,11)&gt;WEEKDAY(M7,11)))</calculatedColumnFormula>
    </tableColumn>
    <tableColumn id="9" name="8" dataDxfId="1743">
      <calculatedColumnFormula>IF(N7="",0,ROUNDUP(DAY(N7)/7,0)+(WEEKDAY(N7-DAY(N7)+1,11)&gt;WEEKDAY(N7,11)))</calculatedColumnFormula>
    </tableColumn>
    <tableColumn id="10" name="9" dataDxfId="1742">
      <calculatedColumnFormula>IF(O7="",0,ROUNDUP(DAY(O7)/7,0)+(WEEKDAY(O7-DAY(O7)+1,11)&gt;WEEKDAY(O7,11)))</calculatedColumnFormula>
    </tableColumn>
    <tableColumn id="11" name="10" dataDxfId="1741">
      <calculatedColumnFormula>IF(P7="",0,ROUNDUP(DAY(P7)/7,0)+(WEEKDAY(P7-DAY(P7)+1,11)&gt;WEEKDAY(P7,11)))</calculatedColumnFormula>
    </tableColumn>
    <tableColumn id="12" name="11" dataDxfId="1740">
      <calculatedColumnFormula>IF(Q7="",0,ROUNDUP(DAY(Q7)/7,0)+(WEEKDAY(Q7-DAY(Q7)+1,11)&gt;WEEKDAY(Q7,11)))</calculatedColumnFormula>
    </tableColumn>
    <tableColumn id="13" name="12" dataDxfId="1739">
      <calculatedColumnFormula>IF(R7="",0,ROUNDUP(DAY(R7)/7,0)+(WEEKDAY(R7-DAY(R7)+1,11)&gt;WEEKDAY(R7,11)))</calculatedColumnFormula>
    </tableColumn>
    <tableColumn id="14" name="13" dataDxfId="1738">
      <calculatedColumnFormula>IF(S7="",0,ROUNDUP(DAY(S7)/7,0)+(WEEKDAY(S7-DAY(S7)+1,11)&gt;WEEKDAY(S7,11)))</calculatedColumnFormula>
    </tableColumn>
    <tableColumn id="15" name="14" dataDxfId="1737">
      <calculatedColumnFormula>IF(T7="",0,ROUNDUP(DAY(T7)/7,0)+(WEEKDAY(T7-DAY(T7)+1,11)&gt;WEEKDAY(T7,11)))</calculatedColumnFormula>
    </tableColumn>
    <tableColumn id="16" name="15" dataDxfId="1736">
      <calculatedColumnFormula>IF(U7="",0,ROUNDUP(DAY(U7)/7,0)+(WEEKDAY(U7-DAY(U7)+1,11)&gt;WEEKDAY(U7,11)))</calculatedColumnFormula>
    </tableColumn>
    <tableColumn id="17" name="16" dataDxfId="1735">
      <calculatedColumnFormula>IF(V7="",0,ROUNDUP(DAY(V7)/7,0)+(WEEKDAY(V7-DAY(V7)+1,11)&gt;WEEKDAY(V7,11)))</calculatedColumnFormula>
    </tableColumn>
    <tableColumn id="18" name="17" dataDxfId="1734">
      <calculatedColumnFormula>IF(W7="",0,ROUNDUP(DAY(W7)/7,0)+(WEEKDAY(W7-DAY(W7)+1,11)&gt;WEEKDAY(W7,11)))</calculatedColumnFormula>
    </tableColumn>
    <tableColumn id="19" name="18" dataDxfId="1733">
      <calculatedColumnFormula>IF(X7="",0,ROUNDUP(DAY(X7)/7,0)+(WEEKDAY(X7-DAY(X7)+1,11)&gt;WEEKDAY(X7,11)))</calculatedColumnFormula>
    </tableColumn>
    <tableColumn id="20" name="19" dataDxfId="1732">
      <calculatedColumnFormula>IF(Y7="",0,ROUNDUP(DAY(Y7)/7,0)+(WEEKDAY(Y7-DAY(Y7)+1,11)&gt;WEEKDAY(Y7,11)))</calculatedColumnFormula>
    </tableColumn>
    <tableColumn id="21" name="20" dataDxfId="1731">
      <calculatedColumnFormula>IF(Z7="",0,ROUNDUP(DAY(Z7)/7,0)+(WEEKDAY(Z7-DAY(Z7)+1,11)&gt;WEEKDAY(Z7,11)))</calculatedColumnFormula>
    </tableColumn>
    <tableColumn id="22" name="21" dataDxfId="1730">
      <calculatedColumnFormula>IF(AA7="",0,ROUNDUP(DAY(AA7)/7,0)+(WEEKDAY(AA7-DAY(AA7)+1,11)&gt;WEEKDAY(AA7,11)))</calculatedColumnFormula>
    </tableColumn>
    <tableColumn id="23" name="22" dataDxfId="1729">
      <calculatedColumnFormula>IF(AB7="",0,ROUNDUP(DAY(AB7)/7,0)+(WEEKDAY(AB7-DAY(AB7)+1,11)&gt;WEEKDAY(AB7,11)))</calculatedColumnFormula>
    </tableColumn>
    <tableColumn id="24" name="23" dataDxfId="1728">
      <calculatedColumnFormula>IF(AC7="",0,ROUNDUP(DAY(AC7)/7,0)+(WEEKDAY(AC7-DAY(AC7)+1,11)&gt;WEEKDAY(AC7,11)))</calculatedColumnFormula>
    </tableColumn>
    <tableColumn id="25" name="24" dataDxfId="1727">
      <calculatedColumnFormula>IF(AD7="",0,ROUNDUP(DAY(AD7)/7,0)+(WEEKDAY(AD7-DAY(AD7)+1,11)&gt;WEEKDAY(AD7,11)))</calculatedColumnFormula>
    </tableColumn>
    <tableColumn id="26" name="25" dataDxfId="1726">
      <calculatedColumnFormula>IF(AE7="",0,ROUNDUP(DAY(AE7)/7,0)+(WEEKDAY(AE7-DAY(AE7)+1,11)&gt;WEEKDAY(AE7,11)))</calculatedColumnFormula>
    </tableColumn>
    <tableColumn id="27" name="26" dataDxfId="1725">
      <calculatedColumnFormula>IF(AF7="",0,ROUNDUP(DAY(AF7)/7,0)+(WEEKDAY(AF7-DAY(AF7)+1,11)&gt;WEEKDAY(AF7,11)))</calculatedColumnFormula>
    </tableColumn>
    <tableColumn id="28" name="27" dataDxfId="1724">
      <calculatedColumnFormula>IF(AG7="",0,ROUNDUP(DAY(AG7)/7,0)+(WEEKDAY(AG7-DAY(AG7)+1,11)&gt;WEEKDAY(AG7,11)))</calculatedColumnFormula>
    </tableColumn>
    <tableColumn id="29" name="28" dataDxfId="1723">
      <calculatedColumnFormula>IF(AH7="",0,ROUNDUP(DAY(AH7)/7,0)+(WEEKDAY(AH7-DAY(AH7)+1,11)&gt;WEEKDAY(AH7,11)))</calculatedColumnFormula>
    </tableColumn>
    <tableColumn id="30" name="29" dataDxfId="1722">
      <calculatedColumnFormula>IF(AI7="",0,ROUNDUP(DAY(AI7)/7,0)+(WEEKDAY(AI7-DAY(AI7)+1,11)&gt;WEEKDAY(AI7,11)))</calculatedColumnFormula>
    </tableColumn>
    <tableColumn id="31" name="30" dataDxfId="1721">
      <calculatedColumnFormula>IF(AJ7="",0,ROUNDUP(DAY(AJ7)/7,0)+(WEEKDAY(AJ7-DAY(AJ7)+1,11)&gt;WEEKDAY(AJ7,11)))</calculatedColumnFormula>
    </tableColumn>
    <tableColumn id="32" name="31" dataDxfId="1720">
      <calculatedColumnFormula>IF(AK7="",0,ROUNDUP(DAY(AK7)/7,0)+(WEEKDAY(AK7-DAY(AK7)+1,11)&gt;WEEKDAY(AK7,11)))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30" name="Получатель" displayName="Получатель" ref="N1:N2" totalsRowShown="0" headerRowDxfId="1719" dataDxfId="1718">
  <autoFilter ref="N1:N2">
    <filterColumn colId="0" hiddenButton="1"/>
  </autoFilter>
  <tableColumns count="1">
    <tableColumn id="1" name="Получатель" dataDxfId="171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1" name="СоцРаботник" displayName="СоцРаботник" ref="P1:P2" totalsRowShown="0" headerRowDxfId="1716" dataDxfId="1715">
  <autoFilter ref="P1:P2">
    <filterColumn colId="0" hiddenButton="1"/>
  </autoFilter>
  <tableColumns count="1">
    <tableColumn id="1" name="Соц. Работник" dataDxfId="171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3" name="ВремяНачала" displayName="ВремяНачала" ref="J1:J4" totalsRowShown="0" headerRowDxfId="1713" dataDxfId="1712">
  <autoFilter ref="J1:J4">
    <filterColumn colId="0" hiddenButton="1"/>
  </autoFilter>
  <tableColumns count="1">
    <tableColumn id="1" name="Начало" dataDxfId="17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6" name="Ограничение" displayName="Ограничение" ref="F1:F2" totalsRowShown="0" headerRowDxfId="1710" dataDxfId="1709">
  <autoFilter ref="F1:F2">
    <filterColumn colId="0" hiddenButton="1"/>
  </autoFilter>
  <tableColumns count="1">
    <tableColumn id="1" name="Кол-во симв." dataDxfId="170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64" name="ЯнварьПосещ" displayName="ЯнварьПосещ" ref="F35:AK38" totalsRowShown="0" headerRowDxfId="1707">
  <autoFilter ref="F35:AK3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№ посещ." dataDxfId="1706"/>
    <tableColumn id="2" name="1" dataDxfId="1705"/>
    <tableColumn id="3" name="2" dataDxfId="1704"/>
    <tableColumn id="4" name="3" dataDxfId="1703"/>
    <tableColumn id="5" name="4" dataDxfId="1702"/>
    <tableColumn id="6" name="5" dataDxfId="1701"/>
    <tableColumn id="7" name="6" dataDxfId="1700"/>
    <tableColumn id="8" name="7" dataDxfId="1699"/>
    <tableColumn id="9" name="8" dataDxfId="1698"/>
    <tableColumn id="10" name="9" dataDxfId="1697"/>
    <tableColumn id="11" name="10" dataDxfId="1696"/>
    <tableColumn id="12" name="11" dataDxfId="1695"/>
    <tableColumn id="13" name="12" dataDxfId="1694"/>
    <tableColumn id="14" name="13" dataDxfId="1693"/>
    <tableColumn id="15" name="14" dataDxfId="1692"/>
    <tableColumn id="16" name="15" dataDxfId="1691"/>
    <tableColumn id="17" name="16" dataDxfId="1690"/>
    <tableColumn id="18" name="17" dataDxfId="1689"/>
    <tableColumn id="19" name="18" dataDxfId="1688"/>
    <tableColumn id="20" name="19" dataDxfId="1687"/>
    <tableColumn id="21" name="20" dataDxfId="1686"/>
    <tableColumn id="22" name="21" dataDxfId="1685"/>
    <tableColumn id="23" name="22" dataDxfId="1684"/>
    <tableColumn id="24" name="23" dataDxfId="1683"/>
    <tableColumn id="25" name="24" dataDxfId="1682"/>
    <tableColumn id="26" name="25" dataDxfId="1681"/>
    <tableColumn id="27" name="26" dataDxfId="1680"/>
    <tableColumn id="28" name="27" dataDxfId="1679"/>
    <tableColumn id="29" name="28" dataDxfId="1678"/>
    <tableColumn id="30" name="29" dataDxfId="1677"/>
    <tableColumn id="31" name="30" dataDxfId="1676"/>
    <tableColumn id="32" name="31" dataDxfId="1675"/>
  </tableColumns>
  <tableStyleInfo name="TableStyleMedium2" showFirstColumn="0" showLastColumn="0" showRowStripes="0" showColumnStripes="1"/>
</table>
</file>

<file path=xl/tables/table11.xml><?xml version="1.0" encoding="utf-8"?>
<table xmlns="http://schemas.openxmlformats.org/spreadsheetml/2006/main" id="67" name="ФевральПосещ" displayName="ФевральПосещ" ref="F41:AI44" totalsRowShown="0" headerRowDxfId="1674" dataDxfId="1673">
  <autoFilter ref="F41:AI4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name="№ посещ." dataDxfId="1672"/>
    <tableColumn id="2" name="1" dataDxfId="1671"/>
    <tableColumn id="3" name="2" dataDxfId="1670"/>
    <tableColumn id="4" name="3" dataDxfId="1669"/>
    <tableColumn id="5" name="4" dataDxfId="1668"/>
    <tableColumn id="6" name="5" dataDxfId="1667"/>
    <tableColumn id="7" name="6" dataDxfId="1666"/>
    <tableColumn id="8" name="7" dataDxfId="1665"/>
    <tableColumn id="9" name="8" dataDxfId="1664"/>
    <tableColumn id="10" name="9" dataDxfId="1663"/>
    <tableColumn id="11" name="10" dataDxfId="1662"/>
    <tableColumn id="12" name="11" dataDxfId="1661"/>
    <tableColumn id="13" name="12" dataDxfId="1660"/>
    <tableColumn id="14" name="13" dataDxfId="1659"/>
    <tableColumn id="15" name="14" dataDxfId="1658"/>
    <tableColumn id="16" name="15" dataDxfId="1657"/>
    <tableColumn id="17" name="16" dataDxfId="1656"/>
    <tableColumn id="18" name="17" dataDxfId="1655"/>
    <tableColumn id="19" name="18" dataDxfId="1654"/>
    <tableColumn id="20" name="19" dataDxfId="1653"/>
    <tableColumn id="21" name="20" dataDxfId="1652"/>
    <tableColumn id="22" name="21" dataDxfId="1651"/>
    <tableColumn id="23" name="22" dataDxfId="1650"/>
    <tableColumn id="24" name="23" dataDxfId="1649"/>
    <tableColumn id="25" name="24" dataDxfId="1648"/>
    <tableColumn id="26" name="25" dataDxfId="1647"/>
    <tableColumn id="27" name="26" dataDxfId="1646"/>
    <tableColumn id="28" name="27" dataDxfId="1645"/>
    <tableColumn id="29" name="28" dataDxfId="1644"/>
    <tableColumn id="30" name="29" dataDxfId="164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68" name="МартПосещ" displayName="МартПосещ" ref="F47:AK50" totalsRowShown="0" headerRowDxfId="1642" dataDxfId="1641">
  <autoFilter ref="F47:AK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№ посещ." dataDxfId="1640"/>
    <tableColumn id="2" name="1" dataDxfId="1639"/>
    <tableColumn id="3" name="2" dataDxfId="1638"/>
    <tableColumn id="4" name="3" dataDxfId="1637"/>
    <tableColumn id="5" name="4" dataDxfId="1636"/>
    <tableColumn id="6" name="5" dataDxfId="1635"/>
    <tableColumn id="7" name="6" dataDxfId="1634"/>
    <tableColumn id="8" name="7" dataDxfId="1633"/>
    <tableColumn id="9" name="8" dataDxfId="1632"/>
    <tableColumn id="10" name="9" dataDxfId="1631"/>
    <tableColumn id="11" name="10" dataDxfId="1630"/>
    <tableColumn id="12" name="11" dataDxfId="1629"/>
    <tableColumn id="13" name="12" dataDxfId="1628"/>
    <tableColumn id="14" name="13" dataDxfId="1627"/>
    <tableColumn id="15" name="14" dataDxfId="1626"/>
    <tableColumn id="16" name="15" dataDxfId="1625"/>
    <tableColumn id="17" name="16" dataDxfId="1624"/>
    <tableColumn id="18" name="17" dataDxfId="1623"/>
    <tableColumn id="19" name="18" dataDxfId="1622"/>
    <tableColumn id="20" name="19" dataDxfId="1621"/>
    <tableColumn id="21" name="20" dataDxfId="1620"/>
    <tableColumn id="22" name="21" dataDxfId="1619"/>
    <tableColumn id="23" name="22" dataDxfId="1618"/>
    <tableColumn id="24" name="23" dataDxfId="1617"/>
    <tableColumn id="25" name="24" dataDxfId="1616"/>
    <tableColumn id="26" name="25" dataDxfId="1615"/>
    <tableColumn id="27" name="26" dataDxfId="1614"/>
    <tableColumn id="28" name="27" dataDxfId="1613"/>
    <tableColumn id="29" name="28" dataDxfId="1612"/>
    <tableColumn id="30" name="29" dataDxfId="1611"/>
    <tableColumn id="31" name="30" dataDxfId="1610"/>
    <tableColumn id="32" name="31" dataDxfId="1609"/>
  </tableColumns>
  <tableStyleInfo name="TableStyleMedium2" showFirstColumn="0" showLastColumn="0" showRowStripes="0" showColumnStripes="1"/>
</table>
</file>

<file path=xl/tables/table13.xml><?xml version="1.0" encoding="utf-8"?>
<table xmlns="http://schemas.openxmlformats.org/spreadsheetml/2006/main" id="69" name="АпрельПосещ" displayName="АпрельПосещ" ref="F53:AJ56" totalsRowShown="0" headerRowDxfId="1608" dataDxfId="1607">
  <autoFilter ref="F53:AJ5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name="№ посещ." dataDxfId="1606"/>
    <tableColumn id="2" name="1" dataDxfId="1605"/>
    <tableColumn id="3" name="2" dataDxfId="1604"/>
    <tableColumn id="4" name="3" dataDxfId="1603"/>
    <tableColumn id="5" name="4" dataDxfId="1602"/>
    <tableColumn id="6" name="5" dataDxfId="1601"/>
    <tableColumn id="7" name="6" dataDxfId="1600"/>
    <tableColumn id="8" name="7" dataDxfId="1599"/>
    <tableColumn id="9" name="8" dataDxfId="1598"/>
    <tableColumn id="10" name="9" dataDxfId="1597"/>
    <tableColumn id="11" name="10" dataDxfId="1596"/>
    <tableColumn id="12" name="11" dataDxfId="1595"/>
    <tableColumn id="13" name="12" dataDxfId="1594"/>
    <tableColumn id="14" name="13" dataDxfId="1593"/>
    <tableColumn id="15" name="14" dataDxfId="1592"/>
    <tableColumn id="16" name="15" dataDxfId="1591"/>
    <tableColumn id="17" name="16" dataDxfId="1590"/>
    <tableColumn id="18" name="17" dataDxfId="1589"/>
    <tableColumn id="19" name="18" dataDxfId="1588"/>
    <tableColumn id="20" name="19" dataDxfId="1587"/>
    <tableColumn id="21" name="20" dataDxfId="1586"/>
    <tableColumn id="22" name="21" dataDxfId="1585"/>
    <tableColumn id="23" name="22" dataDxfId="1584"/>
    <tableColumn id="24" name="23" dataDxfId="1583"/>
    <tableColumn id="25" name="24" dataDxfId="1582"/>
    <tableColumn id="26" name="25" dataDxfId="1581"/>
    <tableColumn id="27" name="26" dataDxfId="1580"/>
    <tableColumn id="28" name="27" dataDxfId="1579"/>
    <tableColumn id="29" name="28" dataDxfId="1578"/>
    <tableColumn id="30" name="29" dataDxfId="1577"/>
    <tableColumn id="31" name="30" dataDxfId="1576"/>
  </tableColumns>
  <tableStyleInfo name="TableStyleMedium2" showFirstColumn="0" showLastColumn="0" showRowStripes="0" showColumnStripes="1"/>
</table>
</file>

<file path=xl/tables/table14.xml><?xml version="1.0" encoding="utf-8"?>
<table xmlns="http://schemas.openxmlformats.org/spreadsheetml/2006/main" id="70" name="МайПосещ" displayName="МайПосещ" ref="F59:AK62" totalsRowShown="0" headerRowDxfId="1575" dataDxfId="1574">
  <autoFilter ref="F59:AK6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№ посещ." dataDxfId="1573"/>
    <tableColumn id="2" name="1" dataDxfId="1572"/>
    <tableColumn id="3" name="2" dataDxfId="1571"/>
    <tableColumn id="4" name="3" dataDxfId="1570"/>
    <tableColumn id="5" name="4" dataDxfId="1569"/>
    <tableColumn id="6" name="5" dataDxfId="1568"/>
    <tableColumn id="7" name="6" dataDxfId="1567"/>
    <tableColumn id="8" name="7" dataDxfId="1566"/>
    <tableColumn id="9" name="8" dataDxfId="1565"/>
    <tableColumn id="10" name="9" dataDxfId="1564"/>
    <tableColumn id="11" name="10" dataDxfId="1563"/>
    <tableColumn id="12" name="11" dataDxfId="1562"/>
    <tableColumn id="13" name="12" dataDxfId="1561"/>
    <tableColumn id="14" name="13" dataDxfId="1560"/>
    <tableColumn id="15" name="14" dataDxfId="1559"/>
    <tableColumn id="16" name="15" dataDxfId="1558"/>
    <tableColumn id="17" name="16" dataDxfId="1557"/>
    <tableColumn id="18" name="17" dataDxfId="1556"/>
    <tableColumn id="19" name="18" dataDxfId="1555"/>
    <tableColumn id="20" name="19" dataDxfId="1554"/>
    <tableColumn id="21" name="20" dataDxfId="1553"/>
    <tableColumn id="22" name="21" dataDxfId="1552"/>
    <tableColumn id="23" name="22" dataDxfId="1551"/>
    <tableColumn id="24" name="23" dataDxfId="1550"/>
    <tableColumn id="25" name="24" dataDxfId="1549"/>
    <tableColumn id="26" name="25" dataDxfId="1548"/>
    <tableColumn id="27" name="26" dataDxfId="1547"/>
    <tableColumn id="28" name="27" dataDxfId="1546"/>
    <tableColumn id="29" name="28" dataDxfId="1545"/>
    <tableColumn id="30" name="29" dataDxfId="1544"/>
    <tableColumn id="31" name="30" dataDxfId="1543"/>
    <tableColumn id="32" name="31" dataDxfId="1542"/>
  </tableColumns>
  <tableStyleInfo name="TableStyleMedium2" showFirstColumn="0" showLastColumn="0" showRowStripes="0" showColumnStripes="1"/>
</table>
</file>

<file path=xl/tables/table15.xml><?xml version="1.0" encoding="utf-8"?>
<table xmlns="http://schemas.openxmlformats.org/spreadsheetml/2006/main" id="71" name="ИюньПосещ" displayName="ИюньПосещ" ref="F65:AJ68" totalsRowShown="0" headerRowDxfId="1541" dataDxfId="1540">
  <autoFilter ref="F65:AJ6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name="№ посещ." dataDxfId="1539"/>
    <tableColumn id="2" name="1" dataDxfId="1538"/>
    <tableColumn id="3" name="2" dataDxfId="1537"/>
    <tableColumn id="4" name="3" dataDxfId="1536"/>
    <tableColumn id="5" name="4" dataDxfId="1535"/>
    <tableColumn id="6" name="5" dataDxfId="1534"/>
    <tableColumn id="7" name="6" dataDxfId="1533"/>
    <tableColumn id="8" name="7" dataDxfId="1532"/>
    <tableColumn id="9" name="8" dataDxfId="1531"/>
    <tableColumn id="10" name="9" dataDxfId="1530"/>
    <tableColumn id="11" name="10" dataDxfId="1529"/>
    <tableColumn id="12" name="11" dataDxfId="1528"/>
    <tableColumn id="13" name="12" dataDxfId="1527"/>
    <tableColumn id="14" name="13" dataDxfId="1526"/>
    <tableColumn id="15" name="14" dataDxfId="1525"/>
    <tableColumn id="16" name="15" dataDxfId="1524"/>
    <tableColumn id="17" name="16" dataDxfId="1523"/>
    <tableColumn id="18" name="17" dataDxfId="1522"/>
    <tableColumn id="19" name="18" dataDxfId="1521"/>
    <tableColumn id="20" name="19" dataDxfId="1520"/>
    <tableColumn id="21" name="20" dataDxfId="1519"/>
    <tableColumn id="22" name="21" dataDxfId="1518"/>
    <tableColumn id="23" name="22" dataDxfId="1517"/>
    <tableColumn id="24" name="23" dataDxfId="1516"/>
    <tableColumn id="25" name="24" dataDxfId="1515"/>
    <tableColumn id="26" name="25" dataDxfId="1514"/>
    <tableColumn id="27" name="26" dataDxfId="1513"/>
    <tableColumn id="28" name="27" dataDxfId="1512"/>
    <tableColumn id="29" name="28" dataDxfId="1511"/>
    <tableColumn id="30" name="29" dataDxfId="1510"/>
    <tableColumn id="31" name="30" dataDxfId="1509"/>
  </tableColumns>
  <tableStyleInfo name="TableStyleMedium2" showFirstColumn="0" showLastColumn="0" showRowStripes="0" showColumnStripes="1"/>
</table>
</file>

<file path=xl/tables/table16.xml><?xml version="1.0" encoding="utf-8"?>
<table xmlns="http://schemas.openxmlformats.org/spreadsheetml/2006/main" id="72" name="ИюльПосещ" displayName="ИюльПосещ" ref="F71:AK74" totalsRowShown="0" headerRowDxfId="1508" dataDxfId="1507">
  <autoFilter ref="F71:AK7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№ посещ." dataDxfId="1506"/>
    <tableColumn id="2" name="1" dataDxfId="1505"/>
    <tableColumn id="3" name="2" dataDxfId="1504"/>
    <tableColumn id="4" name="3" dataDxfId="1503"/>
    <tableColumn id="5" name="4" dataDxfId="1502"/>
    <tableColumn id="6" name="5" dataDxfId="1501"/>
    <tableColumn id="7" name="6" dataDxfId="1500"/>
    <tableColumn id="8" name="7" dataDxfId="1499"/>
    <tableColumn id="9" name="8" dataDxfId="1498"/>
    <tableColumn id="10" name="9" dataDxfId="1497"/>
    <tableColumn id="11" name="10" dataDxfId="1496"/>
    <tableColumn id="12" name="11" dataDxfId="1495"/>
    <tableColumn id="13" name="12" dataDxfId="1494"/>
    <tableColumn id="14" name="13" dataDxfId="1493"/>
    <tableColumn id="15" name="14" dataDxfId="1492"/>
    <tableColumn id="16" name="15" dataDxfId="1491"/>
    <tableColumn id="17" name="16" dataDxfId="1490"/>
    <tableColumn id="18" name="17" dataDxfId="1489"/>
    <tableColumn id="19" name="18" dataDxfId="1488"/>
    <tableColumn id="20" name="19" dataDxfId="1487"/>
    <tableColumn id="21" name="20" dataDxfId="1486"/>
    <tableColumn id="22" name="21" dataDxfId="1485"/>
    <tableColumn id="23" name="22" dataDxfId="1484"/>
    <tableColumn id="24" name="23" dataDxfId="1483"/>
    <tableColumn id="25" name="24" dataDxfId="1482"/>
    <tableColumn id="26" name="25" dataDxfId="1481"/>
    <tableColumn id="27" name="26" dataDxfId="1480"/>
    <tableColumn id="28" name="27" dataDxfId="1479"/>
    <tableColumn id="29" name="28" dataDxfId="1478"/>
    <tableColumn id="30" name="29" dataDxfId="1477"/>
    <tableColumn id="31" name="30" dataDxfId="1476"/>
    <tableColumn id="32" name="31" dataDxfId="1475"/>
  </tableColumns>
  <tableStyleInfo name="TableStyleMedium2" showFirstColumn="0" showLastColumn="0" showRowStripes="0" showColumnStripes="1"/>
</table>
</file>

<file path=xl/tables/table17.xml><?xml version="1.0" encoding="utf-8"?>
<table xmlns="http://schemas.openxmlformats.org/spreadsheetml/2006/main" id="73" name="АвгустПосещ" displayName="АвгустПосещ" ref="F77:AK80" totalsRowShown="0" headerRowDxfId="1474" dataDxfId="1473">
  <autoFilter ref="F77:AK8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№ посещ." dataDxfId="1472"/>
    <tableColumn id="2" name="1" dataDxfId="1471"/>
    <tableColumn id="3" name="2" dataDxfId="1470"/>
    <tableColumn id="4" name="3" dataDxfId="1469"/>
    <tableColumn id="5" name="4" dataDxfId="1468"/>
    <tableColumn id="6" name="5" dataDxfId="1467"/>
    <tableColumn id="7" name="6" dataDxfId="1466"/>
    <tableColumn id="8" name="7" dataDxfId="1465"/>
    <tableColumn id="9" name="8" dataDxfId="1464"/>
    <tableColumn id="10" name="9" dataDxfId="1463"/>
    <tableColumn id="11" name="10" dataDxfId="1462"/>
    <tableColumn id="12" name="11" dataDxfId="1461"/>
    <tableColumn id="13" name="12" dataDxfId="1460"/>
    <tableColumn id="14" name="13" dataDxfId="1459"/>
    <tableColumn id="15" name="14" dataDxfId="1458"/>
    <tableColumn id="16" name="15" dataDxfId="1457"/>
    <tableColumn id="17" name="16" dataDxfId="1456"/>
    <tableColumn id="18" name="17" dataDxfId="1455"/>
    <tableColumn id="19" name="18" dataDxfId="1454"/>
    <tableColumn id="20" name="19" dataDxfId="1453"/>
    <tableColumn id="21" name="20" dataDxfId="1452"/>
    <tableColumn id="22" name="21" dataDxfId="1451"/>
    <tableColumn id="23" name="22" dataDxfId="1450"/>
    <tableColumn id="24" name="23" dataDxfId="1449"/>
    <tableColumn id="25" name="24" dataDxfId="1448"/>
    <tableColumn id="26" name="25" dataDxfId="1447"/>
    <tableColumn id="27" name="26" dataDxfId="1446"/>
    <tableColumn id="28" name="27" dataDxfId="1445"/>
    <tableColumn id="29" name="28" dataDxfId="1444"/>
    <tableColumn id="30" name="29" dataDxfId="1443"/>
    <tableColumn id="31" name="30" dataDxfId="1442"/>
    <tableColumn id="32" name="31" dataDxfId="1441"/>
  </tableColumns>
  <tableStyleInfo name="TableStyleMedium2" showFirstColumn="0" showLastColumn="0" showRowStripes="0" showColumnStripes="1"/>
</table>
</file>

<file path=xl/tables/table18.xml><?xml version="1.0" encoding="utf-8"?>
<table xmlns="http://schemas.openxmlformats.org/spreadsheetml/2006/main" id="74" name="СентябрьПосещ" displayName="СентябрьПосещ" ref="F83:AJ86" totalsRowShown="0" headerRowDxfId="1440" dataDxfId="1439">
  <autoFilter ref="F83:AJ8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name="№ посещ." dataDxfId="1438"/>
    <tableColumn id="2" name="1" dataDxfId="1437"/>
    <tableColumn id="3" name="2" dataDxfId="1436"/>
    <tableColumn id="4" name="3" dataDxfId="1435"/>
    <tableColumn id="5" name="4" dataDxfId="1434"/>
    <tableColumn id="6" name="5" dataDxfId="1433"/>
    <tableColumn id="7" name="6" dataDxfId="1432"/>
    <tableColumn id="8" name="7" dataDxfId="1431"/>
    <tableColumn id="9" name="8" dataDxfId="1430"/>
    <tableColumn id="10" name="9" dataDxfId="1429"/>
    <tableColumn id="11" name="10" dataDxfId="1428"/>
    <tableColumn id="12" name="11" dataDxfId="1427"/>
    <tableColumn id="13" name="12" dataDxfId="1426"/>
    <tableColumn id="14" name="13" dataDxfId="1425"/>
    <tableColumn id="15" name="14" dataDxfId="1424"/>
    <tableColumn id="16" name="15" dataDxfId="1423"/>
    <tableColumn id="17" name="16" dataDxfId="1422"/>
    <tableColumn id="18" name="17" dataDxfId="1421"/>
    <tableColumn id="19" name="18" dataDxfId="1420"/>
    <tableColumn id="20" name="19" dataDxfId="1419"/>
    <tableColumn id="21" name="20" dataDxfId="1418"/>
    <tableColumn id="22" name="21" dataDxfId="1417"/>
    <tableColumn id="23" name="22" dataDxfId="1416"/>
    <tableColumn id="24" name="23" dataDxfId="1415"/>
    <tableColumn id="25" name="24" dataDxfId="1414"/>
    <tableColumn id="26" name="25" dataDxfId="1413"/>
    <tableColumn id="27" name="26" dataDxfId="1412"/>
    <tableColumn id="28" name="27" dataDxfId="1411"/>
    <tableColumn id="29" name="28" dataDxfId="1410"/>
    <tableColumn id="30" name="29" dataDxfId="1409"/>
    <tableColumn id="31" name="30" dataDxfId="1408"/>
  </tableColumns>
  <tableStyleInfo name="TableStyleMedium2" showFirstColumn="0" showLastColumn="0" showRowStripes="0" showColumnStripes="1"/>
</table>
</file>

<file path=xl/tables/table19.xml><?xml version="1.0" encoding="utf-8"?>
<table xmlns="http://schemas.openxmlformats.org/spreadsheetml/2006/main" id="75" name="ОктябрьПосещ" displayName="ОктябрьПосещ" ref="F89:AK92" totalsRowShown="0" headerRowDxfId="1407" dataDxfId="1406">
  <autoFilter ref="F89:AK9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№ посещ." dataDxfId="1405"/>
    <tableColumn id="2" name="1" dataDxfId="1404"/>
    <tableColumn id="3" name="2" dataDxfId="1403"/>
    <tableColumn id="4" name="3" dataDxfId="1402"/>
    <tableColumn id="5" name="4" dataDxfId="1401"/>
    <tableColumn id="6" name="5" dataDxfId="1400"/>
    <tableColumn id="7" name="6" dataDxfId="1399"/>
    <tableColumn id="8" name="7" dataDxfId="1398"/>
    <tableColumn id="9" name="8" dataDxfId="1397"/>
    <tableColumn id="10" name="9" dataDxfId="1396"/>
    <tableColumn id="11" name="10" dataDxfId="1395"/>
    <tableColumn id="12" name="11" dataDxfId="1394"/>
    <tableColumn id="13" name="12" dataDxfId="1393"/>
    <tableColumn id="14" name="13" dataDxfId="1392"/>
    <tableColumn id="15" name="14" dataDxfId="1391"/>
    <tableColumn id="16" name="15" dataDxfId="1390"/>
    <tableColumn id="17" name="16" dataDxfId="1389"/>
    <tableColumn id="18" name="17" dataDxfId="1388"/>
    <tableColumn id="19" name="18" dataDxfId="1387"/>
    <tableColumn id="20" name="19" dataDxfId="1386"/>
    <tableColumn id="21" name="20" dataDxfId="1385"/>
    <tableColumn id="22" name="21" dataDxfId="1384"/>
    <tableColumn id="23" name="22" dataDxfId="1383"/>
    <tableColumn id="24" name="23" dataDxfId="1382"/>
    <tableColumn id="25" name="24" dataDxfId="1381"/>
    <tableColumn id="26" name="25" dataDxfId="1380"/>
    <tableColumn id="27" name="26" dataDxfId="1379"/>
    <tableColumn id="28" name="27" dataDxfId="1378"/>
    <tableColumn id="29" name="28" dataDxfId="1377"/>
    <tableColumn id="30" name="29" dataDxfId="1376"/>
    <tableColumn id="31" name="30" dataDxfId="1375"/>
    <tableColumn id="32" name="31" dataDxfId="1374"/>
  </tableColumns>
  <tableStyleInfo name="TableStyleMedium2" showFirstColumn="0" showLastColumn="0" showRowStripes="0" showColumnStripes="1"/>
</table>
</file>

<file path=xl/tables/table20.xml><?xml version="1.0" encoding="utf-8"?>
<table xmlns="http://schemas.openxmlformats.org/spreadsheetml/2006/main" id="76" name="НоябрьПосещ" displayName="НоябрьПосещ" ref="F95:AJ98" totalsRowShown="0" headerRowDxfId="1373" dataDxfId="1372">
  <autoFilter ref="F95:AJ9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name="№ посещ." dataDxfId="1371"/>
    <tableColumn id="2" name="1" dataDxfId="1370"/>
    <tableColumn id="3" name="2" dataDxfId="1369"/>
    <tableColumn id="4" name="3" dataDxfId="1368"/>
    <tableColumn id="5" name="4" dataDxfId="1367"/>
    <tableColumn id="6" name="5" dataDxfId="1366"/>
    <tableColumn id="7" name="6" dataDxfId="1365"/>
    <tableColumn id="8" name="7" dataDxfId="1364"/>
    <tableColumn id="9" name="8" dataDxfId="1363"/>
    <tableColumn id="10" name="9" dataDxfId="1362"/>
    <tableColumn id="11" name="10" dataDxfId="1361"/>
    <tableColumn id="12" name="11" dataDxfId="1360"/>
    <tableColumn id="13" name="12" dataDxfId="1359"/>
    <tableColumn id="14" name="13" dataDxfId="1358"/>
    <tableColumn id="15" name="14" dataDxfId="1357"/>
    <tableColumn id="16" name="15" dataDxfId="1356"/>
    <tableColumn id="17" name="16" dataDxfId="1355"/>
    <tableColumn id="18" name="17" dataDxfId="1354"/>
    <tableColumn id="19" name="18" dataDxfId="1353"/>
    <tableColumn id="20" name="19" dataDxfId="1352"/>
    <tableColumn id="21" name="20" dataDxfId="1351"/>
    <tableColumn id="22" name="21" dataDxfId="1350"/>
    <tableColumn id="23" name="22" dataDxfId="1349"/>
    <tableColumn id="24" name="23" dataDxfId="1348"/>
    <tableColumn id="25" name="24" dataDxfId="1347"/>
    <tableColumn id="26" name="25" dataDxfId="1346"/>
    <tableColumn id="27" name="26" dataDxfId="1345"/>
    <tableColumn id="28" name="27" dataDxfId="1344"/>
    <tableColumn id="29" name="28" dataDxfId="1343"/>
    <tableColumn id="30" name="29" dataDxfId="1342"/>
    <tableColumn id="31" name="30" dataDxfId="1341"/>
  </tableColumns>
  <tableStyleInfo name="TableStyleMedium2" showFirstColumn="0" showLastColumn="0" showRowStripes="0" showColumnStripes="1"/>
</table>
</file>

<file path=xl/tables/table21.xml><?xml version="1.0" encoding="utf-8"?>
<table xmlns="http://schemas.openxmlformats.org/spreadsheetml/2006/main" id="77" name="ДекабрьПосещ" displayName="ДекабрьПосещ" ref="F101:AK104" totalsRowShown="0" headerRowDxfId="1340" dataDxfId="1339">
  <autoFilter ref="F101:AK10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</autoFilter>
  <tableColumns count="32">
    <tableColumn id="1" name="№ посещ." dataDxfId="1338"/>
    <tableColumn id="2" name="1" dataDxfId="1337"/>
    <tableColumn id="3" name="2" dataDxfId="1336"/>
    <tableColumn id="4" name="3" dataDxfId="1335"/>
    <tableColumn id="5" name="4" dataDxfId="1334"/>
    <tableColumn id="6" name="5" dataDxfId="1333"/>
    <tableColumn id="7" name="6" dataDxfId="1332"/>
    <tableColumn id="8" name="7" dataDxfId="1331"/>
    <tableColumn id="9" name="8" dataDxfId="1330"/>
    <tableColumn id="10" name="9" dataDxfId="1329"/>
    <tableColumn id="11" name="10" dataDxfId="1328"/>
    <tableColumn id="12" name="11" dataDxfId="1327"/>
    <tableColumn id="13" name="12" dataDxfId="1326"/>
    <tableColumn id="14" name="13" dataDxfId="1325"/>
    <tableColumn id="15" name="14" dataDxfId="1324"/>
    <tableColumn id="16" name="15" dataDxfId="1323"/>
    <tableColumn id="17" name="16" dataDxfId="1322"/>
    <tableColumn id="18" name="17" dataDxfId="1321"/>
    <tableColumn id="19" name="18" dataDxfId="1320"/>
    <tableColumn id="20" name="19" dataDxfId="1319"/>
    <tableColumn id="21" name="20" dataDxfId="1318"/>
    <tableColumn id="22" name="21" dataDxfId="1317"/>
    <tableColumn id="23" name="22" dataDxfId="1316"/>
    <tableColumn id="24" name="23" dataDxfId="1315"/>
    <tableColumn id="25" name="24" dataDxfId="1314"/>
    <tableColumn id="26" name="25" dataDxfId="1313"/>
    <tableColumn id="27" name="26" dataDxfId="1312"/>
    <tableColumn id="28" name="27" dataDxfId="1311"/>
    <tableColumn id="29" name="28" dataDxfId="1310"/>
    <tableColumn id="30" name="29" dataDxfId="1309"/>
    <tableColumn id="31" name="30" dataDxfId="1308"/>
    <tableColumn id="32" name="31" dataDxfId="1307"/>
  </tableColumns>
  <tableStyleInfo name="TableStyleMedium2" showFirstColumn="0" showLastColumn="0" showRowStripes="0" showColumnStripes="1"/>
</table>
</file>

<file path=xl/tables/table22.xml><?xml version="1.0" encoding="utf-8"?>
<table xmlns="http://schemas.openxmlformats.org/spreadsheetml/2006/main" id="65" name="СписокУслуг" displayName="СписокУслуг" ref="A1:A2" totalsRowShown="0">
  <autoFilter ref="A1:A2"/>
  <sortState ref="A2:A51">
    <sortCondition ref="A2:A3"/>
  </sortState>
  <tableColumns count="1">
    <tableColumn id="1" name="Список услуг получателя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9" name="Январь" displayName="Январь" ref="A25:AK28" headerRowDxfId="1304" dataDxfId="1303" totalsRowDxfId="1302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1301"/>
    <tableColumn id="2" name="Периодичность" dataDxfId="1300" totalsRowDxfId="1299">
      <calculatedColumnFormula>IF(Январь[[#This Row],[№]]=1,INDEX(Услуги[],MATCH(Январь[[#This Row],[Услуга]],Услуги[Кратко],0),4),"")</calculatedColumnFormula>
    </tableColumn>
    <tableColumn id="3" name="Объем" dataDxfId="1298" totalsRowDxfId="1297">
      <calculatedColumnFormula>IF(Январь[[#This Row],[№]]=1,INDEX(Услуги[],MATCH(Январь[[#This Row],[Услуга]],Услуги[Кратко],0),3),"")</calculatedColumnFormula>
    </tableColumn>
    <tableColumn id="4" name="№" dataDxfId="1296" totalsRowDxfId="1295"/>
    <tableColumn id="7" name="1"/>
    <tableColumn id="8" name="2"/>
    <tableColumn id="9" name="3"/>
    <tableColumn id="10" name="4" totalsRowDxfId="1294"/>
    <tableColumn id="11" name="5" totalsRowDxfId="1293"/>
    <tableColumn id="12" name="6" totalsRowDxfId="1292"/>
    <tableColumn id="13" name="7"/>
    <tableColumn id="14" name="8"/>
    <tableColumn id="15" name="9"/>
    <tableColumn id="16" name="10"/>
    <tableColumn id="17" name="11" totalsRowDxfId="1291"/>
    <tableColumn id="18" name="12" totalsRowDxfId="1290"/>
    <tableColumn id="19" name="13" totalsRowDxfId="1289"/>
    <tableColumn id="20" name="14"/>
    <tableColumn id="21" name="15"/>
    <tableColumn id="22" name="16"/>
    <tableColumn id="23" name="17"/>
    <tableColumn id="24" name="18" totalsRowDxfId="1288"/>
    <tableColumn id="25" name="19" totalsRowDxfId="1287"/>
    <tableColumn id="26" name="20" totalsRowDxfId="1286"/>
    <tableColumn id="27" name="21"/>
    <tableColumn id="28" name="22"/>
    <tableColumn id="29" name="23"/>
    <tableColumn id="30" name="24"/>
    <tableColumn id="31" name="25" totalsRowDxfId="1285"/>
    <tableColumn id="32" name="26" totalsRowDxfId="1284"/>
    <tableColumn id="33" name="27" totalsRowDxfId="1283"/>
    <tableColumn id="34" name="28"/>
    <tableColumn id="35" name="29"/>
    <tableColumn id="36" name="30"/>
    <tableColumn id="5" name="31"/>
    <tableColumn id="38" name="УСЛУГ" totalsRowFunction="sum" dataDxfId="1282" totalsRowDxfId="1281">
      <calculatedColumnFormula>IF(Январь[[#This Row],[№]]=1,SUM(Январь[[#This Row],[1]:[31]])+SUM(OFFSET(Январь[[#This Row],[1]:[31]],1,0))+SUM(OFFSET(Январь[[#This Row],[1]:[31]],2,0)),"")</calculatedColumnFormula>
    </tableColumn>
    <tableColumn id="39" name="МИНУТ" totalsRowFunction="sum" dataDxfId="1280" totalsRowDxfId="1279">
      <calculatedColumnFormula>IF(Январь[[#This Row],[УСЛУГ]]&lt;&gt;"",Январь[[#This Row],[УСЛУГ]]*Январь[[#This Row],[Объем]],"")</calculatedColumnFormula>
    </tableColumn>
  </tableColumns>
  <tableStyleInfo name="TableStyleLight15" showFirstColumn="0" showLastColumn="0" showRowStripes="1" showColumnStripes="0"/>
</table>
</file>

<file path=xl/tables/table24.xml><?xml version="1.0" encoding="utf-8"?>
<table xmlns="http://schemas.openxmlformats.org/spreadsheetml/2006/main" id="20" name="ЯнварьИтоги" displayName="ЯнварьИтоги" ref="A12:AK18" totalsRowShown="0" headerRowDxfId="1278" dataDxfId="1277" tableBorderDxfId="1276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1275"/>
    <tableColumn id="2" name="за неделю" dataDxfId="1274">
      <calculatedColumnFormula>SUMPRODUCT((#REF!=1)*E16:AI16)</calculatedColumnFormula>
    </tableColumn>
    <tableColumn id="3" name="всего минут" dataDxfId="1273">
      <calculatedColumnFormula>ЯнварьИтоги[[#This Row],[№]]*60</calculatedColumnFormula>
    </tableColumn>
    <tableColumn id="4" name="№" dataDxfId="1272"/>
    <tableColumn id="5" name="1" dataDxfId="1271">
      <calculatedColumnFormula>SUM(E10:E15)</calculatedColumnFormula>
    </tableColumn>
    <tableColumn id="6" name="2" dataDxfId="1270"/>
    <tableColumn id="7" name="3" dataDxfId="1269"/>
    <tableColumn id="8" name="4" dataDxfId="1268"/>
    <tableColumn id="9" name="5" dataDxfId="1267"/>
    <tableColumn id="10" name="6" dataDxfId="1266"/>
    <tableColumn id="11" name="7" dataDxfId="1265"/>
    <tableColumn id="12" name="8" dataDxfId="1264"/>
    <tableColumn id="13" name="9" dataDxfId="1263"/>
    <tableColumn id="14" name="10" dataDxfId="1262"/>
    <tableColumn id="15" name="11" dataDxfId="1261"/>
    <tableColumn id="16" name="12" dataDxfId="1260"/>
    <tableColumn id="17" name="13" dataDxfId="1259"/>
    <tableColumn id="18" name="14" dataDxfId="1258"/>
    <tableColumn id="19" name="15" dataDxfId="1257"/>
    <tableColumn id="20" name="16" dataDxfId="1256"/>
    <tableColumn id="21" name="17" dataDxfId="1255"/>
    <tableColumn id="22" name="18" dataDxfId="1254"/>
    <tableColumn id="23" name="19" dataDxfId="1253"/>
    <tableColumn id="24" name="20" dataDxfId="1252"/>
    <tableColumn id="25" name="21" dataDxfId="1251"/>
    <tableColumn id="26" name="22" dataDxfId="1250"/>
    <tableColumn id="27" name="23" dataDxfId="1249"/>
    <tableColumn id="28" name="24" dataDxfId="1248"/>
    <tableColumn id="29" name="25" dataDxfId="1247"/>
    <tableColumn id="30" name="26" dataDxfId="1246"/>
    <tableColumn id="31" name="27" dataDxfId="1245"/>
    <tableColumn id="32" name="28" dataDxfId="1244"/>
    <tableColumn id="33" name="29" dataDxfId="1243"/>
    <tableColumn id="34" name="30" dataDxfId="1242"/>
    <tableColumn id="37" name="31" dataDxfId="1241">
      <calculatedColumnFormula>SUMPRODUCT((Август[№]=1)*Август[31],Август[Объем])</calculatedColumnFormula>
    </tableColumn>
    <tableColumn id="35" name="УСЛУГ" dataDxfId="1240">
      <calculatedColumnFormula>SUM(Сентябрь[УСЛУГ])</calculatedColumnFormula>
    </tableColumn>
    <tableColumn id="36" name="МИНУТ" dataDxfId="1239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25.xml><?xml version="1.0" encoding="utf-8"?>
<table xmlns="http://schemas.openxmlformats.org/spreadsheetml/2006/main" id="32" name="ЯнвГраф1" displayName="ЯнвГраф1" ref="A13:P16" totalsRowShown="0" headerRowDxfId="1235" dataDxfId="1234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233">
      <calculatedColumnFormula>IF(Настройки!J2&lt;&gt;"",TEXT(MIN(Настройки!G36:AK36,Настройки!J2),"ч:мм")&amp;"-"&amp;TEXT(MAX(Настройки!G36:AK36,Настройки!J2)+TIME(0,MAX(Январь!E13:AI13),0),"ч:мм"),"")</calculatedColumnFormula>
    </tableColumn>
    <tableColumn id="2" name="1" dataDxfId="1232">
      <calculatedColumnFormula>IF(TEXT(IF(Настройки!G36="",TEXT(Настройки!$J2,"ч:мм"),TEXT(Настройки!G36,"ч:мм"))+TIME(0,Январь!E13,0),"ч::мм")=TEXT(IF(Настройки!G36="",TEXT(Настройки!$J2,"ч:мм"),TEXT(Настройки!G36,"ч:мм")),"ч:мм"),"",TEXT(IF(Настройки!G36="",TEXT(Настройки!$J2,"ч:мм"),TEXT(Настройки!G36,"ч:мм")),"ч:мм")&amp;"-"&amp;TEXT(IF(Настройки!G36="",TEXT(Настройки!$J2,"ч:мм"),TEXT(Настройки!G36,"ч:мм"))+TIME(0,Январь!E13,0),"ч::мм"))</calculatedColumnFormula>
    </tableColumn>
    <tableColumn id="3" name="2" dataDxfId="1231">
      <calculatedColumnFormula>IF(TEXT(IF(Настройки!H36="",TEXT(Настройки!$J2,"ч:мм"),TEXT(Настройки!H36,"ч:мм"))+TIME(0,Январь!F13,0),"ч::мм")=TEXT(IF(Настройки!H36="",TEXT(Настройки!$J2,"ч:мм"),TEXT(Настройки!H36,"ч:мм")),"ч:мм"),"",TEXT(IF(Настройки!H36="",TEXT(Настройки!$J2,"ч:мм"),TEXT(Настройки!H36,"ч:мм")),"ч:мм")&amp;"-"&amp;TEXT(IF(Настройки!H36="",TEXT(Настройки!$J2,"ч:мм"),TEXT(Настройки!H36,"ч:мм"))+TIME(0,Январь!F13,0),"ч::мм"))</calculatedColumnFormula>
    </tableColumn>
    <tableColumn id="4" name="3" dataDxfId="1230">
      <calculatedColumnFormula>IF(TEXT(IF(Настройки!I36="",TEXT(Настройки!$J2,"ч:мм"),TEXT(Настройки!I36,"ч:мм"))+TIME(0,Январь!G13,0),"ч::мм")=TEXT(IF(Настройки!I36="",TEXT(Настройки!$J2,"ч:мм"),TEXT(Настройки!I36,"ч:мм")),"ч:мм"),"",TEXT(IF(Настройки!I36="",TEXT(Настройки!$J2,"ч:мм"),TEXT(Настройки!I36,"ч:мм")),"ч:мм")&amp;"-"&amp;TEXT(IF(Настройки!I36="",TEXT(Настройки!$J2,"ч:мм"),TEXT(Настройки!I36,"ч:мм"))+TIME(0,Январь!G13,0),"ч::мм"))</calculatedColumnFormula>
    </tableColumn>
    <tableColumn id="5" name="4" dataDxfId="1229">
      <calculatedColumnFormula>IF(TEXT(IF(Настройки!J36="",TEXT(Настройки!$J2,"ч:мм"),TEXT(Настройки!J36,"ч:мм"))+TIME(0,Январь!H13,0),"ч::мм")=TEXT(IF(Настройки!J36="",TEXT(Настройки!$J2,"ч:мм"),TEXT(Настройки!J36,"ч:мм")),"ч:мм"),"",TEXT(IF(Настройки!J36="",TEXT(Настройки!$J2,"ч:мм"),TEXT(Настройки!J36,"ч:мм")),"ч:мм")&amp;"-"&amp;TEXT(IF(Настройки!J36="",TEXT(Настройки!$J2,"ч:мм"),TEXT(Настройки!J36,"ч:мм"))+TIME(0,Январь!H13,0),"ч::мм"))</calculatedColumnFormula>
    </tableColumn>
    <tableColumn id="6" name="5" dataDxfId="1228">
      <calculatedColumnFormula>IF(TEXT(IF(Настройки!K36="",TEXT(Настройки!$J2,"ч:мм"),TEXT(Настройки!K36,"ч:мм"))+TIME(0,Январь!I13,0),"ч::мм")=TEXT(IF(Настройки!K36="",TEXT(Настройки!$J2,"ч:мм"),TEXT(Настройки!K36,"ч:мм")),"ч:мм"),"",TEXT(IF(Настройки!K36="",TEXT(Настройки!$J2,"ч:мм"),TEXT(Настройки!K36,"ч:мм")),"ч:мм")&amp;"-"&amp;TEXT(IF(Настройки!K36="",TEXT(Настройки!$J2,"ч:мм"),TEXT(Настройки!K36,"ч:мм"))+TIME(0,Январь!I13,0),"ч::мм"))</calculatedColumnFormula>
    </tableColumn>
    <tableColumn id="7" name="6" dataDxfId="1227">
      <calculatedColumnFormula>IF(TEXT(IF(Настройки!L36="",TEXT(Настройки!$J2,"ч:мм"),TEXT(Настройки!L36,"ч:мм"))+TIME(0,Январь!J13,0),"ч::мм")=TEXT(IF(Настройки!L36="",TEXT(Настройки!$J2,"ч:мм"),TEXT(Настройки!L36,"ч:мм")),"ч:мм"),"",TEXT(IF(Настройки!L36="",TEXT(Настройки!$J2,"ч:мм"),TEXT(Настройки!L36,"ч:мм")),"ч:мм")&amp;"-"&amp;TEXT(IF(Настройки!L36="",TEXT(Настройки!$J2,"ч:мм"),TEXT(Настройки!L36,"ч:мм"))+TIME(0,Январь!J13,0),"ч::мм"))</calculatedColumnFormula>
    </tableColumn>
    <tableColumn id="8" name="7" dataDxfId="1226">
      <calculatedColumnFormula>IF(TEXT(IF(Настройки!M36="",TEXT(Настройки!$J2,"ч:мм"),TEXT(Настройки!M36,"ч:мм"))+TIME(0,Январь!K13,0),"ч::мм")=TEXT(IF(Настройки!M36="",TEXT(Настройки!$J2,"ч:мм"),TEXT(Настройки!M36,"ч:мм")),"ч:мм"),"",TEXT(IF(Настройки!M36="",TEXT(Настройки!$J2,"ч:мм"),TEXT(Настройки!M36,"ч:мм")),"ч:мм")&amp;"-"&amp;TEXT(IF(Настройки!M36="",TEXT(Настройки!$J2,"ч:мм"),TEXT(Настройки!M36,"ч:мм"))+TIME(0,Январь!K13,0),"ч::мм"))</calculatedColumnFormula>
    </tableColumn>
    <tableColumn id="9" name="8" dataDxfId="1225">
      <calculatedColumnFormula>IF(TEXT(IF(Настройки!N36="",TEXT(Настройки!$J2,"ч:мм"),TEXT(Настройки!N36,"ч:мм"))+TIME(0,Январь!L13,0),"ч::мм")=TEXT(IF(Настройки!N36="",TEXT(Настройки!$J2,"ч:мм"),TEXT(Настройки!N36,"ч:мм")),"ч:мм"),"",TEXT(IF(Настройки!N36="",TEXT(Настройки!$J2,"ч:мм"),TEXT(Настройки!N36,"ч:мм")),"ч:мм")&amp;"-"&amp;TEXT(IF(Настройки!N36="",TEXT(Настройки!$J2,"ч:мм"),TEXT(Настройки!N36,"ч:мм"))+TIME(0,Январь!L13,0),"ч::мм"))</calculatedColumnFormula>
    </tableColumn>
    <tableColumn id="10" name="9" dataDxfId="1224">
      <calculatedColumnFormula>IF(TEXT(IF(Настройки!O36="",TEXT(Настройки!$J2,"ч:мм"),TEXT(Настройки!O36,"ч:мм"))+TIME(0,Январь!M13,0),"ч::мм")=TEXT(IF(Настройки!O36="",TEXT(Настройки!$J2,"ч:мм"),TEXT(Настройки!O36,"ч:мм")),"ч:мм"),"",TEXT(IF(Настройки!O36="",TEXT(Настройки!$J2,"ч:мм"),TEXT(Настройки!O36,"ч:мм")),"ч:мм")&amp;"-"&amp;TEXT(IF(Настройки!O36="",TEXT(Настройки!$J2,"ч:мм"),TEXT(Настройки!O36,"ч:мм"))+TIME(0,Январь!M13,0),"ч::мм"))</calculatedColumnFormula>
    </tableColumn>
    <tableColumn id="11" name="10" dataDxfId="1223">
      <calculatedColumnFormula>IF(TEXT(IF(Настройки!P36="",TEXT(Настройки!$J2,"ч:мм"),TEXT(Настройки!P36,"ч:мм"))+TIME(0,Январь!N13,0),"ч::мм")=TEXT(IF(Настройки!P36="",TEXT(Настройки!$J2,"ч:мм"),TEXT(Настройки!P36,"ч:мм")),"ч:мм"),"",TEXT(IF(Настройки!P36="",TEXT(Настройки!$J2,"ч:мм"),TEXT(Настройки!P36,"ч:мм")),"ч:мм")&amp;"-"&amp;TEXT(IF(Настройки!P36="",TEXT(Настройки!$J2,"ч:мм"),TEXT(Настройки!P36,"ч:мм"))+TIME(0,Январь!N13,0),"ч::мм"))</calculatedColumnFormula>
    </tableColumn>
    <tableColumn id="12" name="11" dataDxfId="1222">
      <calculatedColumnFormula>IF(TEXT(IF(Настройки!Q36="",TEXT(Настройки!$J2,"ч:мм"),TEXT(Настройки!Q36,"ч:мм"))+TIME(0,Январь!O13,0),"ч::мм")=TEXT(IF(Настройки!Q36="",TEXT(Настройки!$J2,"ч:мм"),TEXT(Настройки!Q36,"ч:мм")),"ч:мм"),"",TEXT(IF(Настройки!Q36="",TEXT(Настройки!$J2,"ч:мм"),TEXT(Настройки!Q36,"ч:мм")),"ч:мм")&amp;"-"&amp;TEXT(IF(Настройки!Q36="",TEXT(Настройки!$J2,"ч:мм"),TEXT(Настройки!Q36,"ч:мм"))+TIME(0,Январь!O13,0),"ч::мм"))</calculatedColumnFormula>
    </tableColumn>
    <tableColumn id="13" name="12" dataDxfId="1221">
      <calculatedColumnFormula>IF(TEXT(IF(Настройки!R36="",TEXT(Настройки!$J2,"ч:мм"),TEXT(Настройки!R36,"ч:мм"))+TIME(0,Январь!P13,0),"ч::мм")=TEXT(IF(Настройки!R36="",TEXT(Настройки!$J2,"ч:мм"),TEXT(Настройки!R36,"ч:мм")),"ч:мм"),"",TEXT(IF(Настройки!R36="",TEXT(Настройки!$J2,"ч:мм"),TEXT(Настройки!R36,"ч:мм")),"ч:мм")&amp;"-"&amp;TEXT(IF(Настройки!R36="",TEXT(Настройки!$J2,"ч:мм"),TEXT(Настройки!R36,"ч:мм"))+TIME(0,Январь!P13,0),"ч::мм"))</calculatedColumnFormula>
    </tableColumn>
    <tableColumn id="14" name="13" dataDxfId="1220">
      <calculatedColumnFormula>IF(TEXT(IF(Настройки!S36="",TEXT(Настройки!$J2,"ч:мм"),TEXT(Настройки!S36,"ч:мм"))+TIME(0,Январь!Q13,0),"ч::мм")=TEXT(IF(Настройки!S36="",TEXT(Настройки!$J2,"ч:мм"),TEXT(Настройки!S36,"ч:мм")),"ч:мм"),"",TEXT(IF(Настройки!S36="",TEXT(Настройки!$J2,"ч:мм"),TEXT(Настройки!S36,"ч:мм")),"ч:мм")&amp;"-"&amp;TEXT(IF(Настройки!S36="",TEXT(Настройки!$J2,"ч:мм"),TEXT(Настройки!S36,"ч:мм"))+TIME(0,Январь!Q13,0),"ч::мм"))</calculatedColumnFormula>
    </tableColumn>
    <tableColumn id="15" name="14" dataDxfId="1219">
      <calculatedColumnFormula>IF(TEXT(IF(Настройки!T36="",TEXT(Настройки!$J2,"ч:мм"),TEXT(Настройки!T36,"ч:мм"))+TIME(0,Январь!R13,0),"ч::мм")=TEXT(IF(Настройки!T36="",TEXT(Настройки!$J2,"ч:мм"),TEXT(Настройки!T36,"ч:мм")),"ч:мм"),"",TEXT(IF(Настройки!T36="",TEXT(Настройки!$J2,"ч:мм"),TEXT(Настройки!T36,"ч:мм")),"ч:мм")&amp;"-"&amp;TEXT(IF(Настройки!T36="",TEXT(Настройки!$J2,"ч:мм"),TEXT(Настройки!T36,"ч:мм"))+TIME(0,Январь!R13,0),"ч::мм"))</calculatedColumnFormula>
    </tableColumn>
    <tableColumn id="16" name="15" dataDxfId="1218">
      <calculatedColumnFormula>IF(TEXT(IF(Настройки!U36="",TEXT(Настройки!$J2,"ч:мм"),TEXT(Настройки!U36,"ч:мм"))+TIME(0,Январь!S13,0),"ч::мм")=TEXT(IF(Настройки!U36="",TEXT(Настройки!$J2,"ч:мм"),TEXT(Настройки!U36,"ч:мм")),"ч:мм"),"",TEXT(IF(Настройки!U36="",TEXT(Настройки!$J2,"ч:мм"),TEXT(Настройки!U36,"ч:мм")),"ч:мм")&amp;"-"&amp;TEXT(IF(Настройки!U36="",TEXT(Настройки!$J2,"ч:мм"),TEXT(Настройки!U36,"ч:мм"))+TIME(0,Январь!S13,0),"ч::мм"))</calculatedColumnFormula>
    </tableColumn>
  </tableColumns>
  <tableStyleInfo name="TableStyleLight15" showFirstColumn="0" showLastColumn="0" showRowStripes="0" showColumnStripes="1"/>
</table>
</file>

<file path=xl/tables/table26.xml><?xml version="1.0" encoding="utf-8"?>
<table xmlns="http://schemas.openxmlformats.org/spreadsheetml/2006/main" id="34" name="ЯнвГраф2" displayName="ЯнвГраф2" ref="A23:P26" totalsRowShown="0" headerRowDxfId="1217" dataDxfId="1216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215">
      <calculatedColumnFormula>A14</calculatedColumnFormula>
    </tableColumn>
    <tableColumn id="2" name="16" dataDxfId="1214">
      <calculatedColumnFormula>IF(TEXT(IF(Настройки!V36="",TEXT(Настройки!$J2,"ч:мм"),TEXT(Настройки!V36,"ч:мм"))+TIME(0,Январь!T13,0),"ч::мм")=TEXT(IF(Настройки!V36="",TEXT(Настройки!$J2,"ч:мм"),TEXT(Настройки!V36,"ч:мм")),"ч:мм"),"",TEXT(IF(Настройки!V36="",TEXT(Настройки!$J2,"ч:мм"),TEXT(Настройки!V36,"ч:мм")),"ч:мм")&amp;"-"&amp;TEXT(IF(Настройки!V36="",TEXT(Настройки!$J2,"ч:мм"),TEXT(Настройки!V36,"ч:мм"))+TIME(0,Январь!T13,0),"ч::мм"))</calculatedColumnFormula>
    </tableColumn>
    <tableColumn id="3" name="17" dataDxfId="1213">
      <calculatedColumnFormula>IF(TEXT(IF(Настройки!W36="",TEXT(Настройки!$J2,"ч:мм"),TEXT(Настройки!W36,"ч:мм"))+TIME(0,Январь!U13,0),"ч::мм")=TEXT(IF(Настройки!W36="",TEXT(Настройки!$J2,"ч:мм"),TEXT(Настройки!W36,"ч:мм")),"ч:мм"),"",TEXT(IF(Настройки!W36="",TEXT(Настройки!$J2,"ч:мм"),TEXT(Настройки!W36,"ч:мм")),"ч:мм")&amp;"-"&amp;TEXT(IF(Настройки!W36="",TEXT(Настройки!$J2,"ч:мм"),TEXT(Настройки!W36,"ч:мм"))+TIME(0,Январь!U13,0),"ч::мм"))</calculatedColumnFormula>
    </tableColumn>
    <tableColumn id="4" name="18" dataDxfId="1212">
      <calculatedColumnFormula>IF(TEXT(IF(Настройки!X36="",TEXT(Настройки!$J2,"ч:мм"),TEXT(Настройки!X36,"ч:мм"))+TIME(0,Январь!V13,0),"ч::мм")=TEXT(IF(Настройки!X36="",TEXT(Настройки!$J2,"ч:мм"),TEXT(Настройки!X36,"ч:мм")),"ч:мм"),"",TEXT(IF(Настройки!X36="",TEXT(Настройки!$J2,"ч:мм"),TEXT(Настройки!X36,"ч:мм")),"ч:мм")&amp;"-"&amp;TEXT(IF(Настройки!X36="",TEXT(Настройки!$J2,"ч:мм"),TEXT(Настройки!X36,"ч:мм"))+TIME(0,Январь!V13,0),"ч::мм"))</calculatedColumnFormula>
    </tableColumn>
    <tableColumn id="5" name="19" dataDxfId="1211">
      <calculatedColumnFormula>IF(TEXT(IF(Настройки!Y36="",TEXT(Настройки!$J2,"ч:мм"),TEXT(Настройки!Y36,"ч:мм"))+TIME(0,Январь!W13,0),"ч::мм")=TEXT(IF(Настройки!Y36="",TEXT(Настройки!$J2,"ч:мм"),TEXT(Настройки!Y36,"ч:мм")),"ч:мм"),"",TEXT(IF(Настройки!Y36="",TEXT(Настройки!$J2,"ч:мм"),TEXT(Настройки!Y36,"ч:мм")),"ч:мм")&amp;"-"&amp;TEXT(IF(Настройки!Y36="",TEXT(Настройки!$J2,"ч:мм"),TEXT(Настройки!Y36,"ч:мм"))+TIME(0,Январь!W13,0),"ч::мм"))</calculatedColumnFormula>
    </tableColumn>
    <tableColumn id="6" name="20" dataDxfId="1210">
      <calculatedColumnFormula>IF(TEXT(IF(Настройки!Z36="",TEXT(Настройки!$J2,"ч:мм"),TEXT(Настройки!Z36,"ч:мм"))+TIME(0,Январь!X13,0),"ч::мм")=TEXT(IF(Настройки!Z36="",TEXT(Настройки!$J2,"ч:мм"),TEXT(Настройки!Z36,"ч:мм")),"ч:мм"),"",TEXT(IF(Настройки!Z36="",TEXT(Настройки!$J2,"ч:мм"),TEXT(Настройки!Z36,"ч:мм")),"ч:мм")&amp;"-"&amp;TEXT(IF(Настройки!Z36="",TEXT(Настройки!$J2,"ч:мм"),TEXT(Настройки!Z36,"ч:мм"))+TIME(0,Январь!X13,0),"ч::мм"))</calculatedColumnFormula>
    </tableColumn>
    <tableColumn id="7" name="21" dataDxfId="1209">
      <calculatedColumnFormula>IF(TEXT(IF(Настройки!AA36="",TEXT(Настройки!$J2,"ч:мм"),TEXT(Настройки!AA36,"ч:мм"))+TIME(0,Январь!Y13,0),"ч::мм")=TEXT(IF(Настройки!AA36="",TEXT(Настройки!$J2,"ч:мм"),TEXT(Настройки!AA36,"ч:мм")),"ч:мм"),"",TEXT(IF(Настройки!AA36="",TEXT(Настройки!$J2,"ч:мм"),TEXT(Настройки!AA36,"ч:мм")),"ч:мм")&amp;"-"&amp;TEXT(IF(Настройки!AA36="",TEXT(Настройки!$J2,"ч:мм"),TEXT(Настройки!AA36,"ч:мм"))+TIME(0,Январь!Y13,0),"ч::мм"))</calculatedColumnFormula>
    </tableColumn>
    <tableColumn id="8" name="22" dataDxfId="1208">
      <calculatedColumnFormula>IF(TEXT(IF(Настройки!AB36="",TEXT(Настройки!$J2,"ч:мм"),TEXT(Настройки!AB36,"ч:мм"))+TIME(0,Январь!Z13,0),"ч::мм")=TEXT(IF(Настройки!AB36="",TEXT(Настройки!$J2,"ч:мм"),TEXT(Настройки!AB36,"ч:мм")),"ч:мм"),"",TEXT(IF(Настройки!AB36="",TEXT(Настройки!$J2,"ч:мм"),TEXT(Настройки!AB36,"ч:мм")),"ч:мм")&amp;"-"&amp;TEXT(IF(Настройки!AB36="",TEXT(Настройки!$J2,"ч:мм"),TEXT(Настройки!AB36,"ч:мм"))+TIME(0,Январь!Z13,0),"ч::мм"))</calculatedColumnFormula>
    </tableColumn>
    <tableColumn id="9" name="23" dataDxfId="1207">
      <calculatedColumnFormula>IF(TEXT(IF(Настройки!AC36="",TEXT(Настройки!$J2,"ч:мм"),TEXT(Настройки!AC36,"ч:мм"))+TIME(0,Январь!AA13,0),"ч::мм")=TEXT(IF(Настройки!AC36="",TEXT(Настройки!$J2,"ч:мм"),TEXT(Настройки!AC36,"ч:мм")),"ч:мм"),"",TEXT(IF(Настройки!AC36="",TEXT(Настройки!$J2,"ч:мм"),TEXT(Настройки!AC36,"ч:мм")),"ч:мм")&amp;"-"&amp;TEXT(IF(Настройки!AC36="",TEXT(Настройки!$J2,"ч:мм"),TEXT(Настройки!AC36,"ч:мм"))+TIME(0,Январь!AA13,0),"ч::мм"))</calculatedColumnFormula>
    </tableColumn>
    <tableColumn id="10" name="24" dataDxfId="1206">
      <calculatedColumnFormula>IF(TEXT(IF(Настройки!AD36="",TEXT(Настройки!$J2,"ч:мм"),TEXT(Настройки!AD36,"ч:мм"))+TIME(0,Январь!AB13,0),"ч::мм")=TEXT(IF(Настройки!AD36="",TEXT(Настройки!$J2,"ч:мм"),TEXT(Настройки!AD36,"ч:мм")),"ч:мм"),"",TEXT(IF(Настройки!AD36="",TEXT(Настройки!$J2,"ч:мм"),TEXT(Настройки!AD36,"ч:мм")),"ч:мм")&amp;"-"&amp;TEXT(IF(Настройки!AD36="",TEXT(Настройки!$J2,"ч:мм"),TEXT(Настройки!AD36,"ч:мм"))+TIME(0,Январь!AB13,0),"ч::мм"))</calculatedColumnFormula>
    </tableColumn>
    <tableColumn id="11" name="25" dataDxfId="1205">
      <calculatedColumnFormula>IF(TEXT(IF(Настройки!AE36="",TEXT(Настройки!$J2,"ч:мм"),TEXT(Настройки!AE36,"ч:мм"))+TIME(0,Январь!AC13,0),"ч::мм")=TEXT(IF(Настройки!AE36="",TEXT(Настройки!$J2,"ч:мм"),TEXT(Настройки!AE36,"ч:мм")),"ч:мм"),"",TEXT(IF(Настройки!AE36="",TEXT(Настройки!$J2,"ч:мм"),TEXT(Настройки!AE36,"ч:мм")),"ч:мм")&amp;"-"&amp;TEXT(IF(Настройки!AE36="",TEXT(Настройки!$J2,"ч:мм"),TEXT(Настройки!AE36,"ч:мм"))+TIME(0,Январь!AC13,0),"ч::мм"))</calculatedColumnFormula>
    </tableColumn>
    <tableColumn id="12" name="26" dataDxfId="1204">
      <calculatedColumnFormula>IF(TEXT(IF(Настройки!AF36="",TEXT(Настройки!$J2,"ч:мм"),TEXT(Настройки!AF36,"ч:мм"))+TIME(0,Январь!AD13,0),"ч::мм")=TEXT(IF(Настройки!AF36="",TEXT(Настройки!$J2,"ч:мм"),TEXT(Настройки!AF36,"ч:мм")),"ч:мм"),"",TEXT(IF(Настройки!AF36="",TEXT(Настройки!$J2,"ч:мм"),TEXT(Настройки!AF36,"ч:мм")),"ч:мм")&amp;"-"&amp;TEXT(IF(Настройки!AF36="",TEXT(Настройки!$J2,"ч:мм"),TEXT(Настройки!AF36,"ч:мм"))+TIME(0,Январь!AD13,0),"ч::мм"))</calculatedColumnFormula>
    </tableColumn>
    <tableColumn id="13" name="27" dataDxfId="1203">
      <calculatedColumnFormula>IF(TEXT(IF(Настройки!AG36="",TEXT(Настройки!$J2,"ч:мм"),TEXT(Настройки!AG36,"ч:мм"))+TIME(0,Январь!AE13,0),"ч::мм")=TEXT(IF(Настройки!AG36="",TEXT(Настройки!$J2,"ч:мм"),TEXT(Настройки!AG36,"ч:мм")),"ч:мм"),"",TEXT(IF(Настройки!AG36="",TEXT(Настройки!$J2,"ч:мм"),TEXT(Настройки!AG36,"ч:мм")),"ч:мм")&amp;"-"&amp;TEXT(IF(Настройки!AG36="",TEXT(Настройки!$J2,"ч:мм"),TEXT(Настройки!AG36,"ч:мм"))+TIME(0,Январь!AE13,0),"ч::мм"))</calculatedColumnFormula>
    </tableColumn>
    <tableColumn id="14" name="28" dataDxfId="1202">
      <calculatedColumnFormula>IF(TEXT(IF(Настройки!AH36="",TEXT(Настройки!$J2,"ч:мм"),TEXT(Настройки!AH36,"ч:мм"))+TIME(0,Январь!AF13,0),"ч::мм")=TEXT(IF(Настройки!AH36="",TEXT(Настройки!$J2,"ч:мм"),TEXT(Настройки!AH36,"ч:мм")),"ч:мм"),"",TEXT(IF(Настройки!AH36="",TEXT(Настройки!$J2,"ч:мм"),TEXT(Настройки!AH36,"ч:мм")),"ч:мм")&amp;"-"&amp;TEXT(IF(Настройки!AH36="",TEXT(Настройки!$J2,"ч:мм"),TEXT(Настройки!AH36,"ч:мм"))+TIME(0,Январь!AF13,0),"ч::мм"))</calculatedColumnFormula>
    </tableColumn>
    <tableColumn id="15" name="29" dataDxfId="1201">
      <calculatedColumnFormula>IF(TEXT(IF(Настройки!AI36="",TEXT(Настройки!$J2,"ч:мм"),TEXT(Настройки!AI36,"ч:мм"))+TIME(0,Январь!AG13,0),"ч::мм")=TEXT(IF(Настройки!AI36="",TEXT(Настройки!$J2,"ч:мм"),TEXT(Настройки!AI36,"ч:мм")),"ч:мм"),"",TEXT(IF(Настройки!AI36="",TEXT(Настройки!$J2,"ч:мм"),TEXT(Настройки!AI36,"ч:мм")),"ч:мм")&amp;"-"&amp;TEXT(IF(Настройки!AI36="",TEXT(Настройки!$J2,"ч:мм"),TEXT(Настройки!AI36,"ч:мм"))+TIME(0,Январь!AG13,0),"ч::мм"))</calculatedColumnFormula>
    </tableColumn>
    <tableColumn id="16" name="30" dataDxfId="1200">
      <calculatedColumnFormula>IF(TEXT(IF(Настройки!AJ36="",TEXT(Настройки!$J2,"ч:мм"),TEXT(Настройки!AJ36,"ч:мм"))+TIME(0,Январь!AH13,0),"ч::мм")=TEXT(IF(Настройки!AJ36="",TEXT(Настройки!$J2,"ч:мм"),TEXT(Настройки!AJ36,"ч:мм")),"ч:мм"),"",TEXT(IF(Настройки!AJ36="",TEXT(Настройки!$J2,"ч:мм"),TEXT(Настройки!AJ36,"ч:мм")),"ч:мм")&amp;"-"&amp;TEXT(IF(Настройки!AJ36="",TEXT(Настройки!$J2,"ч:мм"),TEXT(Настройки!AJ36,"ч:мм"))+TIME(0,Январь!AH13,0),"ч::мм"))</calculatedColumnFormula>
    </tableColumn>
  </tableColumns>
  <tableStyleInfo name="TableStyleLight15" showFirstColumn="0" showLastColumn="0" showRowStripes="0" showColumnStripes="1"/>
</table>
</file>

<file path=xl/tables/table27.xml><?xml version="1.0" encoding="utf-8"?>
<table xmlns="http://schemas.openxmlformats.org/spreadsheetml/2006/main" id="35" name="ЯнвГраф3" displayName="ЯнвГраф3" ref="A33:B36" totalsRowShown="0" headerRowDxfId="1199" dataDxfId="1198" tableBorderDxfId="1197">
  <autoFilter ref="A33:B36">
    <filterColumn colId="0" hiddenButton="1"/>
    <filterColumn colId="1" hiddenButton="1"/>
  </autoFilter>
  <tableColumns count="2">
    <tableColumn id="1" name="Посещение" dataDxfId="1196">
      <calculatedColumnFormula>A14</calculatedColumnFormula>
    </tableColumn>
    <tableColumn id="2" name="31" dataDxfId="1195">
      <calculatedColumnFormula>IF(TEXT(IF(Настройки!AK36="",TEXT(Настройки!$J2,"ч:мм"),TEXT(Настройки!AK36,"ч:мм"))+TIME(0,Январь!AI13,0),"ч::мм")=TEXT(IF(Настройки!AK36="",TEXT(Настройки!$J2,"ч:мм"),TEXT(Настройки!AK36,"ч:мм")),"ч:мм"),"",TEXT(IF(Настройки!AK36="",TEXT(Настройки!$J2,"ч:мм"),TEXT(Настройки!AK36,"ч:мм")),"ч:мм")&amp;"-"&amp;TEXT(IF(Настройки!AK36="",TEXT(Настройки!$J2,"ч:мм"),TEXT(Настройки!AK36,"ч:мм"))+TIME(0,Январь!AI13,0),"ч::мм"))</calculatedColumnFormula>
    </tableColumn>
  </tableColumns>
  <tableStyleInfo name="TableStyleLight15" showFirstColumn="0" showLastColumn="0" showRowStripes="0" showColumnStripes="1"/>
</table>
</file>

<file path=xl/tables/table28.xml><?xml version="1.0" encoding="utf-8"?>
<table xmlns="http://schemas.openxmlformats.org/spreadsheetml/2006/main" id="17" name="Февраль" displayName="Февраль" ref="A25:AI28" headerRowDxfId="1192" dataDxfId="1191" totalsRowDxfId="1190">
  <autoFilter ref="A25:AI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</autoFilter>
  <tableColumns count="35">
    <tableColumn id="1" name="Услуга" totalsRowLabel="Итог" dataDxfId="1189"/>
    <tableColumn id="2" name="Периодичность" dataDxfId="1188" totalsRowDxfId="1187">
      <calculatedColumnFormula>IF(Январь[[#This Row],[Периодичность]]&lt;&gt;"",Январь[[#This Row],[Периодичность]],"")</calculatedColumnFormula>
    </tableColumn>
    <tableColumn id="3" name="Объем" dataDxfId="1186" totalsRowDxfId="1185">
      <calculatedColumnFormula>IF(Январь[[#This Row],[Объем]]&lt;&gt;"",Январь[[#This Row],[Объем]],"")</calculatedColumnFormula>
    </tableColumn>
    <tableColumn id="4" name="№" dataDxfId="1184" totalsRowDxfId="1183"/>
    <tableColumn id="7" name="1"/>
    <tableColumn id="8" name="2"/>
    <tableColumn id="9" name="3"/>
    <tableColumn id="10" name="4" totalsRowDxfId="1182"/>
    <tableColumn id="11" name="5" totalsRowDxfId="1181"/>
    <tableColumn id="12" name="6" totalsRowDxfId="1180"/>
    <tableColumn id="13" name="7"/>
    <tableColumn id="14" name="8"/>
    <tableColumn id="15" name="9"/>
    <tableColumn id="16" name="10"/>
    <tableColumn id="17" name="11" totalsRowDxfId="1179"/>
    <tableColumn id="18" name="12" totalsRowDxfId="1178"/>
    <tableColumn id="19" name="13" totalsRowDxfId="1177"/>
    <tableColumn id="20" name="14"/>
    <tableColumn id="21" name="15"/>
    <tableColumn id="22" name="16"/>
    <tableColumn id="23" name="17"/>
    <tableColumn id="24" name="18" totalsRowDxfId="1176"/>
    <tableColumn id="25" name="19" totalsRowDxfId="1175"/>
    <tableColumn id="26" name="20" totalsRowDxfId="1174"/>
    <tableColumn id="27" name="21"/>
    <tableColumn id="28" name="22"/>
    <tableColumn id="29" name="23"/>
    <tableColumn id="30" name="24"/>
    <tableColumn id="31" name="25" totalsRowDxfId="1173"/>
    <tableColumn id="32" name="26" totalsRowDxfId="1172"/>
    <tableColumn id="33" name="27" totalsRowDxfId="1171"/>
    <tableColumn id="34" name="28"/>
    <tableColumn id="35" name="29"/>
    <tableColumn id="38" name="УСЛУГ" totalsRowFunction="sum" dataDxfId="1170" totalsRowDxfId="1169">
      <calculatedColumnFormula>IF(Февраль[[#This Row],[№]]=1,SUM(Февраль[[#This Row],[1]:[29]])+SUM(OFFSET(Февраль[[#This Row],[1]:[29]],1,0))+SUM(OFFSET(Февраль[[#This Row],[1]:[29]],2,0)),"")</calculatedColumnFormula>
    </tableColumn>
    <tableColumn id="39" name="МИНУТ" totalsRowFunction="sum" dataDxfId="1168" totalsRowDxfId="1167">
      <calculatedColumnFormula>IF(Февраль[[#This Row],[УСЛУГ]]&lt;&gt;"",Февраль[[#This Row],[УСЛУГ]]*Февраль[[#This Row],[Объем]],"")</calculatedColumnFormula>
    </tableColumn>
  </tableColumns>
  <tableStyleInfo name="TableStyleLight15" showFirstColumn="0" showLastColumn="0" showRowStripes="1" showColumnStripes="0"/>
</table>
</file>

<file path=xl/tables/table29.xml><?xml version="1.0" encoding="utf-8"?>
<table xmlns="http://schemas.openxmlformats.org/spreadsheetml/2006/main" id="18" name="ФевральИтоги" displayName="ФевральИтоги" ref="A12:AI18" totalsRowShown="0" headerRowDxfId="1166" dataDxfId="1165" tableBorderDxfId="1164">
  <autoFilter ref="A12:AI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</autoFilter>
  <tableColumns count="35">
    <tableColumn id="1" name="периодичность" dataDxfId="1163"/>
    <tableColumn id="2" name="за неделю" dataDxfId="1162">
      <calculatedColumnFormula>SUM(H24:L24)</calculatedColumnFormula>
    </tableColumn>
    <tableColumn id="3" name="всего минут" dataDxfId="1161">
      <calculatedColumnFormula>ФевральИтоги[[#This Row],[№]]*60</calculatedColumnFormula>
    </tableColumn>
    <tableColumn id="4" name="№" dataDxfId="1160"/>
    <tableColumn id="5" name="1" dataDxfId="1159">
      <calculatedColumnFormula>SUM(E10:E20)</calculatedColumnFormula>
    </tableColumn>
    <tableColumn id="6" name="2" dataDxfId="1158"/>
    <tableColumn id="7" name="3" dataDxfId="1157"/>
    <tableColumn id="8" name="4" dataDxfId="1156"/>
    <tableColumn id="9" name="5" dataDxfId="1155"/>
    <tableColumn id="10" name="6" dataDxfId="1154"/>
    <tableColumn id="11" name="7" dataDxfId="1153"/>
    <tableColumn id="12" name="8" dataDxfId="1152"/>
    <tableColumn id="13" name="9" dataDxfId="1151"/>
    <tableColumn id="14" name="10" dataDxfId="1150"/>
    <tableColumn id="15" name="11" dataDxfId="1149"/>
    <tableColumn id="16" name="12" dataDxfId="1148"/>
    <tableColumn id="17" name="13" dataDxfId="1147"/>
    <tableColumn id="18" name="14" dataDxfId="1146"/>
    <tableColumn id="19" name="15" dataDxfId="1145"/>
    <tableColumn id="20" name="16" dataDxfId="1144"/>
    <tableColumn id="21" name="17" dataDxfId="1143"/>
    <tableColumn id="22" name="18" dataDxfId="1142"/>
    <tableColumn id="23" name="19" dataDxfId="1141"/>
    <tableColumn id="24" name="20" dataDxfId="1140"/>
    <tableColumn id="25" name="21" dataDxfId="1139"/>
    <tableColumn id="26" name="22" dataDxfId="1138"/>
    <tableColumn id="27" name="23" dataDxfId="1137"/>
    <tableColumn id="28" name="24" dataDxfId="1136"/>
    <tableColumn id="29" name="25" dataDxfId="1135"/>
    <tableColumn id="30" name="26" dataDxfId="1134"/>
    <tableColumn id="31" name="27" dataDxfId="1133"/>
    <tableColumn id="32" name="28" dataDxfId="1132"/>
    <tableColumn id="33" name="29" dataDxfId="1131"/>
    <tableColumn id="35" name="УСЛУГ" dataDxfId="1130">
      <calculatedColumnFormula>SUM(Сентябрь[УСЛУГ])</calculatedColumnFormula>
    </tableColumn>
    <tableColumn id="36" name="МИНУТ" dataDxfId="1129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30.xml><?xml version="1.0" encoding="utf-8"?>
<table xmlns="http://schemas.openxmlformats.org/spreadsheetml/2006/main" id="36" name="ФевГраф1" displayName="ФевГраф1" ref="A13:P16" totalsRowShown="0" headerRowDxfId="1126" dataDxfId="1125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124">
      <calculatedColumnFormula>IF(Настройки!J2&lt;&gt;"",TEXT(MIN(Настройки!G42:AI42,Настройки!J2),"ч:мм")&amp;"-"&amp;TEXT(MAX(Настройки!G42:AI42,Настройки!J2)+TIME(0,MAX(Февраль!E13:AG13),0),"ч:мм"),"")</calculatedColumnFormula>
    </tableColumn>
    <tableColumn id="2" name="1" dataDxfId="1123">
      <calculatedColumnFormula>IF(TEXT(IF(Настройки!G42="",TEXT(Настройки!$J2,"ч:мм"),TEXT(Настройки!G42,"ч:мм"))+TIME(0,Февраль!E13,0),"ч::мм")=TEXT(IF(Настройки!G42="",TEXT(Настройки!$J2,"ч:мм"),TEXT(Настройки!G42,"ч:мм")),"ч:мм"),"",TEXT(IF(Настройки!G42="",TEXT(Настройки!$J2,"ч:мм"),TEXT(Настройки!G42,"ч:мм")),"ч:мм")&amp;"-"&amp;TEXT(IF(Настройки!G42="",TEXT(Настройки!$J2,"ч:мм"),TEXT(Настройки!G42,"ч:мм"))+TIME(0,Февраль!E13,0),"ч::мм"))</calculatedColumnFormula>
    </tableColumn>
    <tableColumn id="3" name="2" dataDxfId="1122">
      <calculatedColumnFormula>IF(TEXT(IF(Настройки!H42="",TEXT(Настройки!$J2,"ч:мм"),TEXT(Настройки!H42,"ч:мм"))+TIME(0,Февраль!F13,0),"ч::мм")=TEXT(IF(Настройки!H42="",TEXT(Настройки!$J2,"ч:мм"),TEXT(Настройки!H42,"ч:мм")),"ч:мм"),"",TEXT(IF(Настройки!H42="",TEXT(Настройки!$J2,"ч:мм"),TEXT(Настройки!H42,"ч:мм")),"ч:мм")&amp;"-"&amp;TEXT(IF(Настройки!H42="",TEXT(Настройки!$J2,"ч:мм"),TEXT(Настройки!H42,"ч:мм"))+TIME(0,Февраль!F13,0),"ч::мм"))</calculatedColumnFormula>
    </tableColumn>
    <tableColumn id="4" name="3" dataDxfId="1121">
      <calculatedColumnFormula>IF(TEXT(IF(Настройки!I42="",TEXT(Настройки!$J2,"ч:мм"),TEXT(Настройки!I42,"ч:мм"))+TIME(0,Февраль!G13,0),"ч::мм")=TEXT(IF(Настройки!I42="",TEXT(Настройки!$J2,"ч:мм"),TEXT(Настройки!I42,"ч:мм")),"ч:мм"),"",TEXT(IF(Настройки!I42="",TEXT(Настройки!$J2,"ч:мм"),TEXT(Настройки!I42,"ч:мм")),"ч:мм")&amp;"-"&amp;TEXT(IF(Настройки!I42="",TEXT(Настройки!$J2,"ч:мм"),TEXT(Настройки!I42,"ч:мм"))+TIME(0,Февраль!G13,0),"ч::мм"))</calculatedColumnFormula>
    </tableColumn>
    <tableColumn id="5" name="4" dataDxfId="1120">
      <calculatedColumnFormula>IF(TEXT(IF(Настройки!J42="",TEXT(Настройки!$J2,"ч:мм"),TEXT(Настройки!J42,"ч:мм"))+TIME(0,Февраль!H13,0),"ч::мм")=TEXT(IF(Настройки!J42="",TEXT(Настройки!$J2,"ч:мм"),TEXT(Настройки!J42,"ч:мм")),"ч:мм"),"",TEXT(IF(Настройки!J42="",TEXT(Настройки!$J2,"ч:мм"),TEXT(Настройки!J42,"ч:мм")),"ч:мм")&amp;"-"&amp;TEXT(IF(Настройки!J42="",TEXT(Настройки!$J2,"ч:мм"),TEXT(Настройки!J42,"ч:мм"))+TIME(0,Февраль!H13,0),"ч::мм"))</calculatedColumnFormula>
    </tableColumn>
    <tableColumn id="6" name="5" dataDxfId="1119">
      <calculatedColumnFormula>IF(TEXT(IF(Настройки!K42="",TEXT(Настройки!$J2,"ч:мм"),TEXT(Настройки!K42,"ч:мм"))+TIME(0,Февраль!I13,0),"ч::мм")=TEXT(IF(Настройки!K42="",TEXT(Настройки!$J2,"ч:мм"),TEXT(Настройки!K42,"ч:мм")),"ч:мм"),"",TEXT(IF(Настройки!K42="",TEXT(Настройки!$J2,"ч:мм"),TEXT(Настройки!K42,"ч:мм")),"ч:мм")&amp;"-"&amp;TEXT(IF(Настройки!K42="",TEXT(Настройки!$J2,"ч:мм"),TEXT(Настройки!K42,"ч:мм"))+TIME(0,Февраль!I13,0),"ч::мм"))</calculatedColumnFormula>
    </tableColumn>
    <tableColumn id="7" name="6" dataDxfId="1118">
      <calculatedColumnFormula>IF(TEXT(IF(Настройки!L42="",TEXT(Настройки!$J2,"ч:мм"),TEXT(Настройки!L42,"ч:мм"))+TIME(0,Февраль!J13,0),"ч::мм")=TEXT(IF(Настройки!L42="",TEXT(Настройки!$J2,"ч:мм"),TEXT(Настройки!L42,"ч:мм")),"ч:мм"),"",TEXT(IF(Настройки!L42="",TEXT(Настройки!$J2,"ч:мм"),TEXT(Настройки!L42,"ч:мм")),"ч:мм")&amp;"-"&amp;TEXT(IF(Настройки!L42="",TEXT(Настройки!$J2,"ч:мм"),TEXT(Настройки!L42,"ч:мм"))+TIME(0,Февраль!J13,0),"ч::мм"))</calculatedColumnFormula>
    </tableColumn>
    <tableColumn id="8" name="7" dataDxfId="1117">
      <calculatedColumnFormula>IF(TEXT(IF(Настройки!M42="",TEXT(Настройки!$J2,"ч:мм"),TEXT(Настройки!M42,"ч:мм"))+TIME(0,Февраль!K13,0),"ч::мм")=TEXT(IF(Настройки!M42="",TEXT(Настройки!$J2,"ч:мм"),TEXT(Настройки!M42,"ч:мм")),"ч:мм"),"",TEXT(IF(Настройки!M42="",TEXT(Настройки!$J2,"ч:мм"),TEXT(Настройки!M42,"ч:мм")),"ч:мм")&amp;"-"&amp;TEXT(IF(Настройки!M42="",TEXT(Настройки!$J2,"ч:мм"),TEXT(Настройки!M42,"ч:мм"))+TIME(0,Февраль!K13,0),"ч::мм"))</calculatedColumnFormula>
    </tableColumn>
    <tableColumn id="9" name="8" dataDxfId="1116">
      <calculatedColumnFormula>IF(TEXT(IF(Настройки!N42="",TEXT(Настройки!$J2,"ч:мм"),TEXT(Настройки!N42,"ч:мм"))+TIME(0,Февраль!L13,0),"ч::мм")=TEXT(IF(Настройки!N42="",TEXT(Настройки!$J2,"ч:мм"),TEXT(Настройки!N42,"ч:мм")),"ч:мм"),"",TEXT(IF(Настройки!N42="",TEXT(Настройки!$J2,"ч:мм"),TEXT(Настройки!N42,"ч:мм")),"ч:мм")&amp;"-"&amp;TEXT(IF(Настройки!N42="",TEXT(Настройки!$J2,"ч:мм"),TEXT(Настройки!N42,"ч:мм"))+TIME(0,Февраль!L13,0),"ч::мм"))</calculatedColumnFormula>
    </tableColumn>
    <tableColumn id="10" name="9" dataDxfId="1115">
      <calculatedColumnFormula>IF(TEXT(IF(Настройки!O42="",TEXT(Настройки!$J2,"ч:мм"),TEXT(Настройки!O42,"ч:мм"))+TIME(0,Февраль!M13,0),"ч::мм")=TEXT(IF(Настройки!O42="",TEXT(Настройки!$J2,"ч:мм"),TEXT(Настройки!O42,"ч:мм")),"ч:мм"),"",TEXT(IF(Настройки!O42="",TEXT(Настройки!$J2,"ч:мм"),TEXT(Настройки!O42,"ч:мм")),"ч:мм")&amp;"-"&amp;TEXT(IF(Настройки!O42="",TEXT(Настройки!$J2,"ч:мм"),TEXT(Настройки!O42,"ч:мм"))+TIME(0,Февраль!M13,0),"ч::мм"))</calculatedColumnFormula>
    </tableColumn>
    <tableColumn id="11" name="10" dataDxfId="1114">
      <calculatedColumnFormula>IF(TEXT(IF(Настройки!P42="",TEXT(Настройки!$J2,"ч:мм"),TEXT(Настройки!P42,"ч:мм"))+TIME(0,Февраль!N13,0),"ч::мм")=TEXT(IF(Настройки!P42="",TEXT(Настройки!$J2,"ч:мм"),TEXT(Настройки!P42,"ч:мм")),"ч:мм"),"",TEXT(IF(Настройки!P42="",TEXT(Настройки!$J2,"ч:мм"),TEXT(Настройки!P42,"ч:мм")),"ч:мм")&amp;"-"&amp;TEXT(IF(Настройки!P42="",TEXT(Настройки!$J2,"ч:мм"),TEXT(Настройки!P42,"ч:мм"))+TIME(0,Февраль!N13,0),"ч::мм"))</calculatedColumnFormula>
    </tableColumn>
    <tableColumn id="12" name="11" dataDxfId="1113">
      <calculatedColumnFormula>IF(TEXT(IF(Настройки!Q42="",TEXT(Настройки!$J2,"ч:мм"),TEXT(Настройки!Q42,"ч:мм"))+TIME(0,Февраль!O13,0),"ч::мм")=TEXT(IF(Настройки!Q42="",TEXT(Настройки!$J2,"ч:мм"),TEXT(Настройки!Q42,"ч:мм")),"ч:мм"),"",TEXT(IF(Настройки!Q42="",TEXT(Настройки!$J2,"ч:мм"),TEXT(Настройки!Q42,"ч:мм")),"ч:мм")&amp;"-"&amp;TEXT(IF(Настройки!Q42="",TEXT(Настройки!$J2,"ч:мм"),TEXT(Настройки!Q42,"ч:мм"))+TIME(0,Февраль!O13,0),"ч::мм"))</calculatedColumnFormula>
    </tableColumn>
    <tableColumn id="13" name="12" dataDxfId="1112">
      <calculatedColumnFormula>IF(TEXT(IF(Настройки!R42="",TEXT(Настройки!$J2,"ч:мм"),TEXT(Настройки!R42,"ч:мм"))+TIME(0,Февраль!P13,0),"ч::мм")=TEXT(IF(Настройки!R42="",TEXT(Настройки!$J2,"ч:мм"),TEXT(Настройки!R42,"ч:мм")),"ч:мм"),"",TEXT(IF(Настройки!R42="",TEXT(Настройки!$J2,"ч:мм"),TEXT(Настройки!R42,"ч:мм")),"ч:мм")&amp;"-"&amp;TEXT(IF(Настройки!R42="",TEXT(Настройки!$J2,"ч:мм"),TEXT(Настройки!R42,"ч:мм"))+TIME(0,Февраль!P13,0),"ч::мм"))</calculatedColumnFormula>
    </tableColumn>
    <tableColumn id="14" name="13" dataDxfId="1111">
      <calculatedColumnFormula>IF(TEXT(IF(Настройки!S42="",TEXT(Настройки!$J2,"ч:мм"),TEXT(Настройки!S42,"ч:мм"))+TIME(0,Февраль!Q13,0),"ч::мм")=TEXT(IF(Настройки!S42="",TEXT(Настройки!$J2,"ч:мм"),TEXT(Настройки!S42,"ч:мм")),"ч:мм"),"",TEXT(IF(Настройки!S42="",TEXT(Настройки!$J2,"ч:мм"),TEXT(Настройки!S42,"ч:мм")),"ч:мм")&amp;"-"&amp;TEXT(IF(Настройки!S42="",TEXT(Настройки!$J2,"ч:мм"),TEXT(Настройки!S42,"ч:мм"))+TIME(0,Февраль!Q13,0),"ч::мм"))</calculatedColumnFormula>
    </tableColumn>
    <tableColumn id="15" name="14" dataDxfId="1110">
      <calculatedColumnFormula>IF(TEXT(IF(Настройки!T42="",TEXT(Настройки!$J2,"ч:мм"),TEXT(Настройки!T42,"ч:мм"))+TIME(0,Февраль!R13,0),"ч::мм")=TEXT(IF(Настройки!T42="",TEXT(Настройки!$J2,"ч:мм"),TEXT(Настройки!T42,"ч:мм")),"ч:мм"),"",TEXT(IF(Настройки!T42="",TEXT(Настройки!$J2,"ч:мм"),TEXT(Настройки!T42,"ч:мм")),"ч:мм")&amp;"-"&amp;TEXT(IF(Настройки!T42="",TEXT(Настройки!$J2,"ч:мм"),TEXT(Настройки!T42,"ч:мм"))+TIME(0,Февраль!R13,0),"ч::мм"))</calculatedColumnFormula>
    </tableColumn>
    <tableColumn id="16" name="15" dataDxfId="1109">
      <calculatedColumnFormula>IF(TEXT(IF(Настройки!U42="",TEXT(Настройки!$J2,"ч:мм"),TEXT(Настройки!U42,"ч:мм"))+TIME(0,Февраль!S13,0),"ч::мм")=TEXT(IF(Настройки!U42="",TEXT(Настройки!$J2,"ч:мм"),TEXT(Настройки!U42,"ч:мм")),"ч:мм"),"",TEXT(IF(Настройки!U42="",TEXT(Настройки!$J2,"ч:мм"),TEXT(Настройки!U42,"ч:мм")),"ч:мм")&amp;"-"&amp;TEXT(IF(Настройки!U42="",TEXT(Настройки!$J2,"ч:мм"),TEXT(Настройки!U42,"ч:мм"))+TIME(0,Февраль!S13,0),"ч::мм"))</calculatedColumnFormula>
    </tableColumn>
  </tableColumns>
  <tableStyleInfo name="TableStyleLight15" showFirstColumn="0" showLastColumn="0" showRowStripes="0" showColumnStripes="1"/>
</table>
</file>

<file path=xl/tables/table31.xml><?xml version="1.0" encoding="utf-8"?>
<table xmlns="http://schemas.openxmlformats.org/spreadsheetml/2006/main" id="37" name="ФевГраф2" displayName="ФевГраф2" ref="A23:O26" totalsRowShown="0" headerRowDxfId="1108" dataDxfId="1107">
  <autoFilter ref="A23:O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Посещение" dataDxfId="1106">
      <calculatedColumnFormula>A14</calculatedColumnFormula>
    </tableColumn>
    <tableColumn id="2" name="16" dataDxfId="1105">
      <calculatedColumnFormula>IF(TEXT(IF(Настройки!V42="",TEXT(Настройки!$J2,"ч:мм"),TEXT(Настройки!V42,"ч:мм"))+TIME(0,Февраль!T13,0),"ч::мм")=TEXT(IF(Настройки!V42="",TEXT(Настройки!$J2,"ч:мм"),TEXT(Настройки!V42,"ч:мм")),"ч:мм"),"",TEXT(IF(Настройки!V42="",TEXT(Настройки!$J2,"ч:мм"),TEXT(Настройки!V42,"ч:мм")),"ч:мм")&amp;"-"&amp;TEXT(IF(Настройки!V42="",TEXT(Настройки!$J2,"ч:мм"),TEXT(Настройки!V42,"ч:мм"))+TIME(0,Февраль!T13,0),"ч::мм"))</calculatedColumnFormula>
    </tableColumn>
    <tableColumn id="3" name="17" dataDxfId="1104">
      <calculatedColumnFormula>IF(TEXT(IF(Настройки!W42="",TEXT(Настройки!$J2,"ч:мм"),TEXT(Настройки!W42,"ч:мм"))+TIME(0,Февраль!U13,0),"ч::мм")=TEXT(IF(Настройки!W42="",TEXT(Настройки!$J2,"ч:мм"),TEXT(Настройки!W42,"ч:мм")),"ч:мм"),"",TEXT(IF(Настройки!W42="",TEXT(Настройки!$J2,"ч:мм"),TEXT(Настройки!W42,"ч:мм")),"ч:мм")&amp;"-"&amp;TEXT(IF(Настройки!W42="",TEXT(Настройки!$J2,"ч:мм"),TEXT(Настройки!W42,"ч:мм"))+TIME(0,Февраль!U13,0),"ч::мм"))</calculatedColumnFormula>
    </tableColumn>
    <tableColumn id="4" name="18" dataDxfId="1103">
      <calculatedColumnFormula>IF(TEXT(IF(Настройки!X42="",TEXT(Настройки!$J2,"ч:мм"),TEXT(Настройки!X42,"ч:мм"))+TIME(0,Февраль!V13,0),"ч::мм")=TEXT(IF(Настройки!X42="",TEXT(Настройки!$J2,"ч:мм"),TEXT(Настройки!X42,"ч:мм")),"ч:мм"),"",TEXT(IF(Настройки!X42="",TEXT(Настройки!$J2,"ч:мм"),TEXT(Настройки!X42,"ч:мм")),"ч:мм")&amp;"-"&amp;TEXT(IF(Настройки!X42="",TEXT(Настройки!$J2,"ч:мм"),TEXT(Настройки!X42,"ч:мм"))+TIME(0,Февраль!V13,0),"ч::мм"))</calculatedColumnFormula>
    </tableColumn>
    <tableColumn id="5" name="19" dataDxfId="1102">
      <calculatedColumnFormula>IF(TEXT(IF(Настройки!Y42="",TEXT(Настройки!$J2,"ч:мм"),TEXT(Настройки!Y42,"ч:мм"))+TIME(0,Февраль!W13,0),"ч::мм")=TEXT(IF(Настройки!Y42="",TEXT(Настройки!$J2,"ч:мм"),TEXT(Настройки!Y42,"ч:мм")),"ч:мм"),"",TEXT(IF(Настройки!Y42="",TEXT(Настройки!$J2,"ч:мм"),TEXT(Настройки!Y42,"ч:мм")),"ч:мм")&amp;"-"&amp;TEXT(IF(Настройки!Y42="",TEXT(Настройки!$J2,"ч:мм"),TEXT(Настройки!Y42,"ч:мм"))+TIME(0,Февраль!W13,0),"ч::мм"))</calculatedColumnFormula>
    </tableColumn>
    <tableColumn id="6" name="20" dataDxfId="1101">
      <calculatedColumnFormula>IF(TEXT(IF(Настройки!Z42="",TEXT(Настройки!$J2,"ч:мм"),TEXT(Настройки!Z42,"ч:мм"))+TIME(0,Февраль!X13,0),"ч::мм")=TEXT(IF(Настройки!Z42="",TEXT(Настройки!$J2,"ч:мм"),TEXT(Настройки!Z42,"ч:мм")),"ч:мм"),"",TEXT(IF(Настройки!Z42="",TEXT(Настройки!$J2,"ч:мм"),TEXT(Настройки!Z42,"ч:мм")),"ч:мм")&amp;"-"&amp;TEXT(IF(Настройки!Z42="",TEXT(Настройки!$J2,"ч:мм"),TEXT(Настройки!Z42,"ч:мм"))+TIME(0,Февраль!X13,0),"ч::мм"))</calculatedColumnFormula>
    </tableColumn>
    <tableColumn id="7" name="21" dataDxfId="1100">
      <calculatedColumnFormula>IF(TEXT(IF(Настройки!AA42="",TEXT(Настройки!$J2,"ч:мм"),TEXT(Настройки!AA42,"ч:мм"))+TIME(0,Февраль!Y13,0),"ч::мм")=TEXT(IF(Настройки!AA42="",TEXT(Настройки!$J2,"ч:мм"),TEXT(Настройки!AA42,"ч:мм")),"ч:мм"),"",TEXT(IF(Настройки!AA42="",TEXT(Настройки!$J2,"ч:мм"),TEXT(Настройки!AA42,"ч:мм")),"ч:мм")&amp;"-"&amp;TEXT(IF(Настройки!AA42="",TEXT(Настройки!$J2,"ч:мм"),TEXT(Настройки!AA42,"ч:мм"))+TIME(0,Февраль!Y13,0),"ч::мм"))</calculatedColumnFormula>
    </tableColumn>
    <tableColumn id="8" name="22" dataDxfId="1099">
      <calculatedColumnFormula>IF(TEXT(IF(Настройки!AB42="",TEXT(Настройки!$J2,"ч:мм"),TEXT(Настройки!AB42,"ч:мм"))+TIME(0,Февраль!Z13,0),"ч::мм")=TEXT(IF(Настройки!AB42="",TEXT(Настройки!$J2,"ч:мм"),TEXT(Настройки!AB42,"ч:мм")),"ч:мм"),"",TEXT(IF(Настройки!AB42="",TEXT(Настройки!$J2,"ч:мм"),TEXT(Настройки!AB42,"ч:мм")),"ч:мм")&amp;"-"&amp;TEXT(IF(Настройки!AB42="",TEXT(Настройки!$J2,"ч:мм"),TEXT(Настройки!AB42,"ч:мм"))+TIME(0,Февраль!Z13,0),"ч::мм"))</calculatedColumnFormula>
    </tableColumn>
    <tableColumn id="9" name="23" dataDxfId="1098">
      <calculatedColumnFormula>IF(TEXT(IF(Настройки!AC42="",TEXT(Настройки!$J2,"ч:мм"),TEXT(Настройки!AC42,"ч:мм"))+TIME(0,Февраль!AA13,0),"ч::мм")=TEXT(IF(Настройки!AC42="",TEXT(Настройки!$J2,"ч:мм"),TEXT(Настройки!AC42,"ч:мм")),"ч:мм"),"",TEXT(IF(Настройки!AC42="",TEXT(Настройки!$J2,"ч:мм"),TEXT(Настройки!AC42,"ч:мм")),"ч:мм")&amp;"-"&amp;TEXT(IF(Настройки!AC42="",TEXT(Настройки!$J2,"ч:мм"),TEXT(Настройки!AC42,"ч:мм"))+TIME(0,Февраль!AA13,0),"ч::мм"))</calculatedColumnFormula>
    </tableColumn>
    <tableColumn id="10" name="24" dataDxfId="1097">
      <calculatedColumnFormula>IF(TEXT(IF(Настройки!AD42="",TEXT(Настройки!$J2,"ч:мм"),TEXT(Настройки!AD42,"ч:мм"))+TIME(0,Февраль!AB13,0),"ч::мм")=TEXT(IF(Настройки!AD42="",TEXT(Настройки!$J2,"ч:мм"),TEXT(Настройки!AD42,"ч:мм")),"ч:мм"),"",TEXT(IF(Настройки!AD42="",TEXT(Настройки!$J2,"ч:мм"),TEXT(Настройки!AD42,"ч:мм")),"ч:мм")&amp;"-"&amp;TEXT(IF(Настройки!AD42="",TEXT(Настройки!$J2,"ч:мм"),TEXT(Настройки!AD42,"ч:мм"))+TIME(0,Февраль!AB13,0),"ч::мм"))</calculatedColumnFormula>
    </tableColumn>
    <tableColumn id="11" name="25" dataDxfId="1096">
      <calculatedColumnFormula>IF(TEXT(IF(Настройки!AE42="",TEXT(Настройки!$J2,"ч:мм"),TEXT(Настройки!AE42,"ч:мм"))+TIME(0,Февраль!AC13,0),"ч::мм")=TEXT(IF(Настройки!AE42="",TEXT(Настройки!$J2,"ч:мм"),TEXT(Настройки!AE42,"ч:мм")),"ч:мм"),"",TEXT(IF(Настройки!AE42="",TEXT(Настройки!$J2,"ч:мм"),TEXT(Настройки!AE42,"ч:мм")),"ч:мм")&amp;"-"&amp;TEXT(IF(Настройки!AE42="",TEXT(Настройки!$J2,"ч:мм"),TEXT(Настройки!AE42,"ч:мм"))+TIME(0,Февраль!AC13,0),"ч::мм"))</calculatedColumnFormula>
    </tableColumn>
    <tableColumn id="12" name="26" dataDxfId="1095">
      <calculatedColumnFormula>IF(TEXT(IF(Настройки!AF42="",TEXT(Настройки!$J2,"ч:мм"),TEXT(Настройки!AF42,"ч:мм"))+TIME(0,Февраль!AD13,0),"ч::мм")=TEXT(IF(Настройки!AF42="",TEXT(Настройки!$J2,"ч:мм"),TEXT(Настройки!AF42,"ч:мм")),"ч:мм"),"",TEXT(IF(Настройки!AF42="",TEXT(Настройки!$J2,"ч:мм"),TEXT(Настройки!AF42,"ч:мм")),"ч:мм")&amp;"-"&amp;TEXT(IF(Настройки!AF42="",TEXT(Настройки!$J2,"ч:мм"),TEXT(Настройки!AF42,"ч:мм"))+TIME(0,Февраль!AD13,0),"ч::мм"))</calculatedColumnFormula>
    </tableColumn>
    <tableColumn id="13" name="27" dataDxfId="1094">
      <calculatedColumnFormula>IF(TEXT(IF(Настройки!AG42="",TEXT(Настройки!$J2,"ч:мм"),TEXT(Настройки!AG42,"ч:мм"))+TIME(0,Февраль!AE13,0),"ч::мм")=TEXT(IF(Настройки!AG42="",TEXT(Настройки!$J2,"ч:мм"),TEXT(Настройки!AG42,"ч:мм")),"ч:мм"),"",TEXT(IF(Настройки!AG42="",TEXT(Настройки!$J2,"ч:мм"),TEXT(Настройки!AG42,"ч:мм")),"ч:мм")&amp;"-"&amp;TEXT(IF(Настройки!AG42="",TEXT(Настройки!$J2,"ч:мм"),TEXT(Настройки!AG42,"ч:мм"))+TIME(0,Февраль!AE13,0),"ч::мм"))</calculatedColumnFormula>
    </tableColumn>
    <tableColumn id="14" name="28" dataDxfId="1093">
      <calculatedColumnFormula>IF(TEXT(IF(Настройки!AH42="",TEXT(Настройки!$J2,"ч:мм"),TEXT(Настройки!AH42,"ч:мм"))+TIME(0,Февраль!AF13,0),"ч::мм")=TEXT(IF(Настройки!AH42="",TEXT(Настройки!$J2,"ч:мм"),TEXT(Настройки!AH42,"ч:мм")),"ч:мм"),"",TEXT(IF(Настройки!AH42="",TEXT(Настройки!$J2,"ч:мм"),TEXT(Настройки!AH42,"ч:мм")),"ч:мм")&amp;"-"&amp;TEXT(IF(Настройки!AH42="",TEXT(Настройки!$J2,"ч:мм"),TEXT(Настройки!AH42,"ч:мм"))+TIME(0,Февраль!AF13,0),"ч::мм"))</calculatedColumnFormula>
    </tableColumn>
    <tableColumn id="15" name="29" dataDxfId="1092">
      <calculatedColumnFormula>IF(TEXT(IF(Настройки!AI42="",TEXT(Настройки!$J2,"ч:мм"),TEXT(Настройки!AI42,"ч:мм"))+TIME(0,Февраль!AG13,0),"ч::мм")=TEXT(IF(Настройки!AI42="",TEXT(Настройки!$J2,"ч:мм"),TEXT(Настройки!AI42,"ч:мм")),"ч:мм"),"",TEXT(IF(Настройки!AI42="",TEXT(Настройки!$J2,"ч:мм"),TEXT(Настройки!AI42,"ч:мм")),"ч:мм")&amp;"-"&amp;TEXT(IF(Настройки!AI42="",TEXT(Настройки!$J2,"ч:мм"),TEXT(Настройки!AI42,"ч:мм"))+TIME(0,Февраль!AG13,0),"ч::мм"))</calculatedColumnFormula>
    </tableColumn>
  </tableColumns>
  <tableStyleInfo name="TableStyleLight15" showFirstColumn="0" showLastColumn="0" showRowStripes="0" showColumnStripes="1"/>
</table>
</file>

<file path=xl/tables/table32.xml><?xml version="1.0" encoding="utf-8"?>
<table xmlns="http://schemas.openxmlformats.org/spreadsheetml/2006/main" id="15" name="Март" displayName="Март" ref="A25:AK28" headerRowDxfId="1089" dataDxfId="1088" totalsRowDxfId="1087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1086"/>
    <tableColumn id="2" name="Периодичность" dataDxfId="1085" totalsRowDxfId="1084">
      <calculatedColumnFormula>IF(Январь[[#This Row],[Периодичность]]&lt;&gt;"",Январь[[#This Row],[Периодичность]],"")</calculatedColumnFormula>
    </tableColumn>
    <tableColumn id="3" name="Объем" dataDxfId="1083" totalsRowDxfId="1082">
      <calculatedColumnFormula>IF(Январь[[#This Row],[Объем]]&lt;&gt;"",Январь[[#This Row],[Объем]],"")</calculatedColumnFormula>
    </tableColumn>
    <tableColumn id="4" name="№" dataDxfId="1081" totalsRowDxfId="1080"/>
    <tableColumn id="7" name="1"/>
    <tableColumn id="8" name="2"/>
    <tableColumn id="9" name="3"/>
    <tableColumn id="10" name="4" totalsRowDxfId="1079"/>
    <tableColumn id="11" name="5" totalsRowDxfId="1078"/>
    <tableColumn id="12" name="6" totalsRowDxfId="1077"/>
    <tableColumn id="13" name="7"/>
    <tableColumn id="14" name="8"/>
    <tableColumn id="15" name="9"/>
    <tableColumn id="16" name="10"/>
    <tableColumn id="17" name="11" totalsRowDxfId="1076"/>
    <tableColumn id="18" name="12" totalsRowDxfId="1075"/>
    <tableColumn id="19" name="13" totalsRowDxfId="1074"/>
    <tableColumn id="20" name="14"/>
    <tableColumn id="21" name="15"/>
    <tableColumn id="22" name="16"/>
    <tableColumn id="23" name="17"/>
    <tableColumn id="24" name="18" totalsRowDxfId="1073"/>
    <tableColumn id="25" name="19" totalsRowDxfId="1072"/>
    <tableColumn id="26" name="20" totalsRowDxfId="1071"/>
    <tableColumn id="27" name="21"/>
    <tableColumn id="28" name="22"/>
    <tableColumn id="29" name="23"/>
    <tableColumn id="30" name="24"/>
    <tableColumn id="31" name="25" totalsRowDxfId="1070"/>
    <tableColumn id="32" name="26" totalsRowDxfId="1069"/>
    <tableColumn id="33" name="27" totalsRowDxfId="1068"/>
    <tableColumn id="34" name="28"/>
    <tableColumn id="35" name="29"/>
    <tableColumn id="36" name="30"/>
    <tableColumn id="5" name="31"/>
    <tableColumn id="38" name="УСЛУГ" totalsRowFunction="sum" dataDxfId="1067" totalsRowDxfId="1066">
      <calculatedColumnFormula>IF(Март[[#This Row],[№]]=1,SUM(Март[[#This Row],[1]:[31]])+SUM(OFFSET(Март[[#This Row],[1]:[31]],1,0))+SUM(OFFSET(Март[[#This Row],[1]:[31]],2,0)),"")</calculatedColumnFormula>
    </tableColumn>
    <tableColumn id="39" name="МИНУТ" totalsRowFunction="sum" dataDxfId="1065" totalsRowDxfId="1064">
      <calculatedColumnFormula>IF(Март[[#This Row],[УСЛУГ]]&lt;&gt;"",Март[[#This Row],[УСЛУГ]]*Март[[#This Row],[Объем]],"")</calculatedColumnFormula>
    </tableColumn>
  </tableColumns>
  <tableStyleInfo name="TableStyleLight15" showFirstColumn="0" showLastColumn="0" showRowStripes="1" showColumnStripes="0"/>
</table>
</file>

<file path=xl/tables/table33.xml><?xml version="1.0" encoding="utf-8"?>
<table xmlns="http://schemas.openxmlformats.org/spreadsheetml/2006/main" id="16" name="МартИтоги" displayName="МартИтоги" ref="A12:AK18" totalsRowShown="0" headerRowDxfId="1063" dataDxfId="1062" tableBorderDxfId="1061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1060"/>
    <tableColumn id="2" name="за неделю" dataDxfId="1059">
      <calculatedColumnFormula>SUMPRODUCT((#REF!=1)*E16:AI16)</calculatedColumnFormula>
    </tableColumn>
    <tableColumn id="3" name="всего минут" dataDxfId="1058">
      <calculatedColumnFormula>МартИтоги[[#This Row],[№]]*60</calculatedColumnFormula>
    </tableColumn>
    <tableColumn id="4" name="№" dataDxfId="1057"/>
    <tableColumn id="5" name="1" dataDxfId="1056">
      <calculatedColumnFormula>SUM(E10:E15)</calculatedColumnFormula>
    </tableColumn>
    <tableColumn id="6" name="2" dataDxfId="1055"/>
    <tableColumn id="7" name="3" dataDxfId="1054"/>
    <tableColumn id="8" name="4" dataDxfId="1053"/>
    <tableColumn id="9" name="5" dataDxfId="1052"/>
    <tableColumn id="10" name="6" dataDxfId="1051"/>
    <tableColumn id="11" name="7" dataDxfId="1050"/>
    <tableColumn id="12" name="8" dataDxfId="1049"/>
    <tableColumn id="13" name="9" dataDxfId="1048"/>
    <tableColumn id="14" name="10" dataDxfId="1047"/>
    <tableColumn id="15" name="11" dataDxfId="1046"/>
    <tableColumn id="16" name="12" dataDxfId="1045"/>
    <tableColumn id="17" name="13" dataDxfId="1044"/>
    <tableColumn id="18" name="14" dataDxfId="1043"/>
    <tableColumn id="19" name="15" dataDxfId="1042"/>
    <tableColumn id="20" name="16" dataDxfId="1041"/>
    <tableColumn id="21" name="17" dataDxfId="1040"/>
    <tableColumn id="22" name="18" dataDxfId="1039"/>
    <tableColumn id="23" name="19" dataDxfId="1038"/>
    <tableColumn id="24" name="20" dataDxfId="1037"/>
    <tableColumn id="25" name="21" dataDxfId="1036"/>
    <tableColumn id="26" name="22" dataDxfId="1035"/>
    <tableColumn id="27" name="23" dataDxfId="1034"/>
    <tableColumn id="28" name="24" dataDxfId="1033"/>
    <tableColumn id="29" name="25" dataDxfId="1032"/>
    <tableColumn id="30" name="26" dataDxfId="1031"/>
    <tableColumn id="31" name="27" dataDxfId="1030"/>
    <tableColumn id="32" name="28" dataDxfId="1029"/>
    <tableColumn id="33" name="29" dataDxfId="1028"/>
    <tableColumn id="34" name="30" dataDxfId="1027"/>
    <tableColumn id="37" name="31" dataDxfId="1026">
      <calculatedColumnFormula>SUMPRODUCT((Август[№]=1)*Август[31],Август[Объем])</calculatedColumnFormula>
    </tableColumn>
    <tableColumn id="35" name="УСЛУГ" dataDxfId="1025">
      <calculatedColumnFormula>SUM(Сентябрь[УСЛУГ])</calculatedColumnFormula>
    </tableColumn>
    <tableColumn id="36" name="МИНУТ" dataDxfId="1024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34.xml><?xml version="1.0" encoding="utf-8"?>
<table xmlns="http://schemas.openxmlformats.org/spreadsheetml/2006/main" id="38" name="МартГраф1" displayName="МартГраф1" ref="A13:P16" totalsRowShown="0" headerRowDxfId="1020" dataDxfId="1019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018">
      <calculatedColumnFormula>IF(Настройки!J2&lt;&gt;"",TEXT(MIN(Настройки!G48:AK48,Настройки!J2),"ч:мм")&amp;"-"&amp;TEXT(MAX(Настройки!G48:AK48,Настройки!J2)+TIME(0,MAX(Март!E13:AI13),0),"ч:мм"),"")</calculatedColumnFormula>
    </tableColumn>
    <tableColumn id="2" name="1" dataDxfId="1017">
      <calculatedColumnFormula>IF(TEXT(IF(Настройки!G48="",TEXT(Настройки!$J2,"ч:мм"),TEXT(Настройки!G48,"ч:мм"))+TIME(0,Март!E13,0),"ч::мм")=TEXT(IF(Настройки!G48="",TEXT(Настройки!$J2,"ч:мм"),TEXT(Настройки!G48,"ч:мм")),"ч:мм"),"",TEXT(IF(Настройки!G48="",TEXT(Настройки!$J2,"ч:мм"),TEXT(Настройки!G48,"ч:мм")),"ч:мм")&amp;"-"&amp;TEXT(IF(Настройки!G48="",TEXT(Настройки!$J2,"ч:мм"),TEXT(Настройки!G48,"ч:мм"))+TIME(0,Март!E13,0),"ч::мм"))</calculatedColumnFormula>
    </tableColumn>
    <tableColumn id="3" name="2" dataDxfId="1016">
      <calculatedColumnFormula>IF(TEXT(IF(Настройки!H48="",TEXT(Настройки!$J2,"ч:мм"),TEXT(Настройки!H48,"ч:мм"))+TIME(0,Март!F13,0),"ч::мм")=TEXT(IF(Настройки!H48="",TEXT(Настройки!$J2,"ч:мм"),TEXT(Настройки!H48,"ч:мм")),"ч:мм"),"",TEXT(IF(Настройки!H48="",TEXT(Настройки!$J2,"ч:мм"),TEXT(Настройки!H48,"ч:мм")),"ч:мм")&amp;"-"&amp;TEXT(IF(Настройки!H48="",TEXT(Настройки!$J2,"ч:мм"),TEXT(Настройки!H48,"ч:мм"))+TIME(0,Март!F13,0),"ч::мм"))</calculatedColumnFormula>
    </tableColumn>
    <tableColumn id="4" name="3" dataDxfId="1015">
      <calculatedColumnFormula>IF(TEXT(IF(Настройки!I48="",TEXT(Настройки!$J2,"ч:мм"),TEXT(Настройки!I48,"ч:мм"))+TIME(0,Март!G13,0),"ч::мм")=TEXT(IF(Настройки!I48="",TEXT(Настройки!$J2,"ч:мм"),TEXT(Настройки!I48,"ч:мм")),"ч:мм"),"",TEXT(IF(Настройки!I48="",TEXT(Настройки!$J2,"ч:мм"),TEXT(Настройки!I48,"ч:мм")),"ч:мм")&amp;"-"&amp;TEXT(IF(Настройки!I48="",TEXT(Настройки!$J2,"ч:мм"),TEXT(Настройки!I48,"ч:мм"))+TIME(0,Март!G13,0),"ч::мм"))</calculatedColumnFormula>
    </tableColumn>
    <tableColumn id="5" name="4" dataDxfId="1014">
      <calculatedColumnFormula>IF(TEXT(IF(Настройки!J48="",TEXT(Настройки!$J2,"ч:мм"),TEXT(Настройки!J48,"ч:мм"))+TIME(0,Март!H13,0),"ч::мм")=TEXT(IF(Настройки!J48="",TEXT(Настройки!$J2,"ч:мм"),TEXT(Настройки!J48,"ч:мм")),"ч:мм"),"",TEXT(IF(Настройки!J48="",TEXT(Настройки!$J2,"ч:мм"),TEXT(Настройки!J48,"ч:мм")),"ч:мм")&amp;"-"&amp;TEXT(IF(Настройки!J48="",TEXT(Настройки!$J2,"ч:мм"),TEXT(Настройки!J48,"ч:мм"))+TIME(0,Март!H13,0),"ч::мм"))</calculatedColumnFormula>
    </tableColumn>
    <tableColumn id="6" name="5" dataDxfId="1013">
      <calculatedColumnFormula>IF(TEXT(IF(Настройки!K48="",TEXT(Настройки!$J2,"ч:мм"),TEXT(Настройки!K48,"ч:мм"))+TIME(0,Март!I13,0),"ч::мм")=TEXT(IF(Настройки!K48="",TEXT(Настройки!$J2,"ч:мм"),TEXT(Настройки!K48,"ч:мм")),"ч:мм"),"",TEXT(IF(Настройки!K48="",TEXT(Настройки!$J2,"ч:мм"),TEXT(Настройки!K48,"ч:мм")),"ч:мм")&amp;"-"&amp;TEXT(IF(Настройки!K48="",TEXT(Настройки!$J2,"ч:мм"),TEXT(Настройки!K48,"ч:мм"))+TIME(0,Март!I13,0),"ч::мм"))</calculatedColumnFormula>
    </tableColumn>
    <tableColumn id="7" name="6" dataDxfId="1012">
      <calculatedColumnFormula>IF(TEXT(IF(Настройки!L48="",TEXT(Настройки!$J2,"ч:мм"),TEXT(Настройки!L48,"ч:мм"))+TIME(0,Март!J13,0),"ч::мм")=TEXT(IF(Настройки!L48="",TEXT(Настройки!$J2,"ч:мм"),TEXT(Настройки!L48,"ч:мм")),"ч:мм"),"",TEXT(IF(Настройки!L48="",TEXT(Настройки!$J2,"ч:мм"),TEXT(Настройки!L48,"ч:мм")),"ч:мм")&amp;"-"&amp;TEXT(IF(Настройки!L48="",TEXT(Настройки!$J2,"ч:мм"),TEXT(Настройки!L48,"ч:мм"))+TIME(0,Март!J13,0),"ч::мм"))</calculatedColumnFormula>
    </tableColumn>
    <tableColumn id="8" name="7" dataDxfId="1011">
      <calculatedColumnFormula>IF(TEXT(IF(Настройки!M48="",TEXT(Настройки!$J2,"ч:мм"),TEXT(Настройки!M48,"ч:мм"))+TIME(0,Март!K13,0),"ч::мм")=TEXT(IF(Настройки!M48="",TEXT(Настройки!$J2,"ч:мм"),TEXT(Настройки!M48,"ч:мм")),"ч:мм"),"",TEXT(IF(Настройки!M48="",TEXT(Настройки!$J2,"ч:мм"),TEXT(Настройки!M48,"ч:мм")),"ч:мм")&amp;"-"&amp;TEXT(IF(Настройки!M48="",TEXT(Настройки!$J2,"ч:мм"),TEXT(Настройки!M48,"ч:мм"))+TIME(0,Март!K13,0),"ч::мм"))</calculatedColumnFormula>
    </tableColumn>
    <tableColumn id="9" name="8" dataDxfId="1010">
      <calculatedColumnFormula>IF(TEXT(IF(Настройки!N48="",TEXT(Настройки!$J2,"ч:мм"),TEXT(Настройки!N48,"ч:мм"))+TIME(0,Март!L13,0),"ч::мм")=TEXT(IF(Настройки!N48="",TEXT(Настройки!$J2,"ч:мм"),TEXT(Настройки!N48,"ч:мм")),"ч:мм"),"",TEXT(IF(Настройки!N48="",TEXT(Настройки!$J2,"ч:мм"),TEXT(Настройки!N48,"ч:мм")),"ч:мм")&amp;"-"&amp;TEXT(IF(Настройки!N48="",TEXT(Настройки!$J2,"ч:мм"),TEXT(Настройки!N48,"ч:мм"))+TIME(0,Март!L13,0),"ч::мм"))</calculatedColumnFormula>
    </tableColumn>
    <tableColumn id="10" name="9" dataDxfId="1009">
      <calculatedColumnFormula>IF(TEXT(IF(Настройки!O48="",TEXT(Настройки!$J2,"ч:мм"),TEXT(Настройки!O48,"ч:мм"))+TIME(0,Март!M13,0),"ч::мм")=TEXT(IF(Настройки!O48="",TEXT(Настройки!$J2,"ч:мм"),TEXT(Настройки!O48,"ч:мм")),"ч:мм"),"",TEXT(IF(Настройки!O48="",TEXT(Настройки!$J2,"ч:мм"),TEXT(Настройки!O48,"ч:мм")),"ч:мм")&amp;"-"&amp;TEXT(IF(Настройки!O48="",TEXT(Настройки!$J2,"ч:мм"),TEXT(Настройки!O48,"ч:мм"))+TIME(0,Март!M13,0),"ч::мм"))</calculatedColumnFormula>
    </tableColumn>
    <tableColumn id="11" name="10" dataDxfId="1008">
      <calculatedColumnFormula>IF(TEXT(IF(Настройки!P48="",TEXT(Настройки!$J2,"ч:мм"),TEXT(Настройки!P48,"ч:мм"))+TIME(0,Март!N13,0),"ч::мм")=TEXT(IF(Настройки!P48="",TEXT(Настройки!$J2,"ч:мм"),TEXT(Настройки!P48,"ч:мм")),"ч:мм"),"",TEXT(IF(Настройки!P48="",TEXT(Настройки!$J2,"ч:мм"),TEXT(Настройки!P48,"ч:мм")),"ч:мм")&amp;"-"&amp;TEXT(IF(Настройки!P48="",TEXT(Настройки!$J2,"ч:мм"),TEXT(Настройки!P48,"ч:мм"))+TIME(0,Март!N13,0),"ч::мм"))</calculatedColumnFormula>
    </tableColumn>
    <tableColumn id="12" name="11" dataDxfId="1007">
      <calculatedColumnFormula>IF(TEXT(IF(Настройки!Q48="",TEXT(Настройки!$J2,"ч:мм"),TEXT(Настройки!Q48,"ч:мм"))+TIME(0,Март!O13,0),"ч::мм")=TEXT(IF(Настройки!Q48="",TEXT(Настройки!$J2,"ч:мм"),TEXT(Настройки!Q48,"ч:мм")),"ч:мм"),"",TEXT(IF(Настройки!Q48="",TEXT(Настройки!$J2,"ч:мм"),TEXT(Настройки!Q48,"ч:мм")),"ч:мм")&amp;"-"&amp;TEXT(IF(Настройки!Q48="",TEXT(Настройки!$J2,"ч:мм"),TEXT(Настройки!Q48,"ч:мм"))+TIME(0,Март!O13,0),"ч::мм"))</calculatedColumnFormula>
    </tableColumn>
    <tableColumn id="13" name="12" dataDxfId="1006">
      <calculatedColumnFormula>IF(TEXT(IF(Настройки!R48="",TEXT(Настройки!$J2,"ч:мм"),TEXT(Настройки!R48,"ч:мм"))+TIME(0,Март!P13,0),"ч::мм")=TEXT(IF(Настройки!R48="",TEXT(Настройки!$J2,"ч:мм"),TEXT(Настройки!R48,"ч:мм")),"ч:мм"),"",TEXT(IF(Настройки!R48="",TEXT(Настройки!$J2,"ч:мм"),TEXT(Настройки!R48,"ч:мм")),"ч:мм")&amp;"-"&amp;TEXT(IF(Настройки!R48="",TEXT(Настройки!$J2,"ч:мм"),TEXT(Настройки!R48,"ч:мм"))+TIME(0,Март!P13,0),"ч::мм"))</calculatedColumnFormula>
    </tableColumn>
    <tableColumn id="14" name="13" dataDxfId="1005">
      <calculatedColumnFormula>IF(TEXT(IF(Настройки!S48="",TEXT(Настройки!$J2,"ч:мм"),TEXT(Настройки!S48,"ч:мм"))+TIME(0,Март!Q13,0),"ч::мм")=TEXT(IF(Настройки!S48="",TEXT(Настройки!$J2,"ч:мм"),TEXT(Настройки!S48,"ч:мм")),"ч:мм"),"",TEXT(IF(Настройки!S48="",TEXT(Настройки!$J2,"ч:мм"),TEXT(Настройки!S48,"ч:мм")),"ч:мм")&amp;"-"&amp;TEXT(IF(Настройки!S48="",TEXT(Настройки!$J2,"ч:мм"),TEXT(Настройки!S48,"ч:мм"))+TIME(0,Март!Q13,0),"ч::мм"))</calculatedColumnFormula>
    </tableColumn>
    <tableColumn id="15" name="14" dataDxfId="1004">
      <calculatedColumnFormula>IF(TEXT(IF(Настройки!T48="",TEXT(Настройки!$J2,"ч:мм"),TEXT(Настройки!T48,"ч:мм"))+TIME(0,Март!R13,0),"ч::мм")=TEXT(IF(Настройки!T48="",TEXT(Настройки!$J2,"ч:мм"),TEXT(Настройки!T48,"ч:мм")),"ч:мм"),"",TEXT(IF(Настройки!T48="",TEXT(Настройки!$J2,"ч:мм"),TEXT(Настройки!T48,"ч:мм")),"ч:мм")&amp;"-"&amp;TEXT(IF(Настройки!T48="",TEXT(Настройки!$J2,"ч:мм"),TEXT(Настройки!T48,"ч:мм"))+TIME(0,Март!R13,0),"ч::мм"))</calculatedColumnFormula>
    </tableColumn>
    <tableColumn id="16" name="15" dataDxfId="1003">
      <calculatedColumnFormula>IF(TEXT(IF(Настройки!U48="",TEXT(Настройки!$J2,"ч:мм"),TEXT(Настройки!U48,"ч:мм"))+TIME(0,Март!S13,0),"ч::мм")=TEXT(IF(Настройки!U48="",TEXT(Настройки!$J2,"ч:мм"),TEXT(Настройки!U48,"ч:мм")),"ч:мм"),"",TEXT(IF(Настройки!U48="",TEXT(Настройки!$J2,"ч:мм"),TEXT(Настройки!U48,"ч:мм")),"ч:мм")&amp;"-"&amp;TEXT(IF(Настройки!U48="",TEXT(Настройки!$J2,"ч:мм"),TEXT(Настройки!U48,"ч:мм"))+TIME(0,Март!S13,0),"ч::мм"))</calculatedColumnFormula>
    </tableColumn>
  </tableColumns>
  <tableStyleInfo name="TableStyleLight15" showFirstColumn="0" showLastColumn="0" showRowStripes="0" showColumnStripes="1"/>
</table>
</file>

<file path=xl/tables/table35.xml><?xml version="1.0" encoding="utf-8"?>
<table xmlns="http://schemas.openxmlformats.org/spreadsheetml/2006/main" id="39" name="МартГраф2" displayName="МартГраф2" ref="A23:P26" totalsRowShown="0" headerRowDxfId="1002" dataDxfId="1001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000">
      <calculatedColumnFormula>A14</calculatedColumnFormula>
    </tableColumn>
    <tableColumn id="2" name="16" dataDxfId="999">
      <calculatedColumnFormula>IF(TEXT(IF(Настройки!V48="",TEXT(Настройки!$J2,"ч:мм"),TEXT(Настройки!V48,"ч:мм"))+TIME(0,Март!T13,0),"ч::мм")=TEXT(IF(Настройки!V48="",TEXT(Настройки!$J2,"ч:мм"),TEXT(Настройки!V48,"ч:мм")),"ч:мм"),"",TEXT(IF(Настройки!V48="",TEXT(Настройки!$J2,"ч:мм"),TEXT(Настройки!V48,"ч:мм")),"ч:мм")&amp;"-"&amp;TEXT(IF(Настройки!V48="",TEXT(Настройки!$J2,"ч:мм"),TEXT(Настройки!V48,"ч:мм"))+TIME(0,Март!T13,0),"ч::мм"))</calculatedColumnFormula>
    </tableColumn>
    <tableColumn id="3" name="17" dataDxfId="998">
      <calculatedColumnFormula>IF(TEXT(IF(Настройки!W48="",TEXT(Настройки!$J2,"ч:мм"),TEXT(Настройки!W48,"ч:мм"))+TIME(0,Март!U13,0),"ч::мм")=TEXT(IF(Настройки!W48="",TEXT(Настройки!$J2,"ч:мм"),TEXT(Настройки!W48,"ч:мм")),"ч:мм"),"",TEXT(IF(Настройки!W48="",TEXT(Настройки!$J2,"ч:мм"),TEXT(Настройки!W48,"ч:мм")),"ч:мм")&amp;"-"&amp;TEXT(IF(Настройки!W48="",TEXT(Настройки!$J2,"ч:мм"),TEXT(Настройки!W48,"ч:мм"))+TIME(0,Март!U13,0),"ч::мм"))</calculatedColumnFormula>
    </tableColumn>
    <tableColumn id="4" name="18" dataDxfId="997">
      <calculatedColumnFormula>IF(TEXT(IF(Настройки!X48="",TEXT(Настройки!$J2,"ч:мм"),TEXT(Настройки!X48,"ч:мм"))+TIME(0,Март!V13,0),"ч::мм")=TEXT(IF(Настройки!X48="",TEXT(Настройки!$J2,"ч:мм"),TEXT(Настройки!X48,"ч:мм")),"ч:мм"),"",TEXT(IF(Настройки!X48="",TEXT(Настройки!$J2,"ч:мм"),TEXT(Настройки!X48,"ч:мм")),"ч:мм")&amp;"-"&amp;TEXT(IF(Настройки!X48="",TEXT(Настройки!$J2,"ч:мм"),TEXT(Настройки!X48,"ч:мм"))+TIME(0,Март!V13,0),"ч::мм"))</calculatedColumnFormula>
    </tableColumn>
    <tableColumn id="5" name="19" dataDxfId="996">
      <calculatedColumnFormula>IF(TEXT(IF(Настройки!Y48="",TEXT(Настройки!$J2,"ч:мм"),TEXT(Настройки!Y48,"ч:мм"))+TIME(0,Март!W13,0),"ч::мм")=TEXT(IF(Настройки!Y48="",TEXT(Настройки!$J2,"ч:мм"),TEXT(Настройки!Y48,"ч:мм")),"ч:мм"),"",TEXT(IF(Настройки!Y48="",TEXT(Настройки!$J2,"ч:мм"),TEXT(Настройки!Y48,"ч:мм")),"ч:мм")&amp;"-"&amp;TEXT(IF(Настройки!Y48="",TEXT(Настройки!$J2,"ч:мм"),TEXT(Настройки!Y48,"ч:мм"))+TIME(0,Март!W13,0),"ч::мм"))</calculatedColumnFormula>
    </tableColumn>
    <tableColumn id="6" name="20" dataDxfId="995">
      <calculatedColumnFormula>IF(TEXT(IF(Настройки!Z48="",TEXT(Настройки!$J2,"ч:мм"),TEXT(Настройки!Z48,"ч:мм"))+TIME(0,Март!X13,0),"ч::мм")=TEXT(IF(Настройки!Z48="",TEXT(Настройки!$J2,"ч:мм"),TEXT(Настройки!Z48,"ч:мм")),"ч:мм"),"",TEXT(IF(Настройки!Z48="",TEXT(Настройки!$J2,"ч:мм"),TEXT(Настройки!Z48,"ч:мм")),"ч:мм")&amp;"-"&amp;TEXT(IF(Настройки!Z48="",TEXT(Настройки!$J2,"ч:мм"),TEXT(Настройки!Z48,"ч:мм"))+TIME(0,Март!X13,0),"ч::мм"))</calculatedColumnFormula>
    </tableColumn>
    <tableColumn id="7" name="21" dataDxfId="994">
      <calculatedColumnFormula>IF(TEXT(IF(Настройки!AA48="",TEXT(Настройки!$J2,"ч:мм"),TEXT(Настройки!AA48,"ч:мм"))+TIME(0,Март!Y13,0),"ч::мм")=TEXT(IF(Настройки!AA48="",TEXT(Настройки!$J2,"ч:мм"),TEXT(Настройки!AA48,"ч:мм")),"ч:мм"),"",TEXT(IF(Настройки!AA48="",TEXT(Настройки!$J2,"ч:мм"),TEXT(Настройки!AA48,"ч:мм")),"ч:мм")&amp;"-"&amp;TEXT(IF(Настройки!AA48="",TEXT(Настройки!$J2,"ч:мм"),TEXT(Настройки!AA48,"ч:мм"))+TIME(0,Март!Y13,0),"ч::мм"))</calculatedColumnFormula>
    </tableColumn>
    <tableColumn id="8" name="22" dataDxfId="993">
      <calculatedColumnFormula>IF(TEXT(IF(Настройки!AB48="",TEXT(Настройки!$J2,"ч:мм"),TEXT(Настройки!AB48,"ч:мм"))+TIME(0,Март!Z13,0),"ч::мм")=TEXT(IF(Настройки!AB48="",TEXT(Настройки!$J2,"ч:мм"),TEXT(Настройки!AB48,"ч:мм")),"ч:мм"),"",TEXT(IF(Настройки!AB48="",TEXT(Настройки!$J2,"ч:мм"),TEXT(Настройки!AB48,"ч:мм")),"ч:мм")&amp;"-"&amp;TEXT(IF(Настройки!AB48="",TEXT(Настройки!$J2,"ч:мм"),TEXT(Настройки!AB48,"ч:мм"))+TIME(0,Март!Z13,0),"ч::мм"))</calculatedColumnFormula>
    </tableColumn>
    <tableColumn id="9" name="23" dataDxfId="992">
      <calculatedColumnFormula>IF(TEXT(IF(Настройки!AC48="",TEXT(Настройки!$J2,"ч:мм"),TEXT(Настройки!AC48,"ч:мм"))+TIME(0,Март!AA13,0),"ч::мм")=TEXT(IF(Настройки!AC48="",TEXT(Настройки!$J2,"ч:мм"),TEXT(Настройки!AC48,"ч:мм")),"ч:мм"),"",TEXT(IF(Настройки!AC48="",TEXT(Настройки!$J2,"ч:мм"),TEXT(Настройки!AC48,"ч:мм")),"ч:мм")&amp;"-"&amp;TEXT(IF(Настройки!AC48="",TEXT(Настройки!$J2,"ч:мм"),TEXT(Настройки!AC48,"ч:мм"))+TIME(0,Март!AA13,0),"ч::мм"))</calculatedColumnFormula>
    </tableColumn>
    <tableColumn id="10" name="24" dataDxfId="991">
      <calculatedColumnFormula>IF(TEXT(IF(Настройки!AD48="",TEXT(Настройки!$J2,"ч:мм"),TEXT(Настройки!AD48,"ч:мм"))+TIME(0,Март!AB13,0),"ч::мм")=TEXT(IF(Настройки!AD48="",TEXT(Настройки!$J2,"ч:мм"),TEXT(Настройки!AD48,"ч:мм")),"ч:мм"),"",TEXT(IF(Настройки!AD48="",TEXT(Настройки!$J2,"ч:мм"),TEXT(Настройки!AD48,"ч:мм")),"ч:мм")&amp;"-"&amp;TEXT(IF(Настройки!AD48="",TEXT(Настройки!$J2,"ч:мм"),TEXT(Настройки!AD48,"ч:мм"))+TIME(0,Март!AB13,0),"ч::мм"))</calculatedColumnFormula>
    </tableColumn>
    <tableColumn id="11" name="25" dataDxfId="990">
      <calculatedColumnFormula>IF(TEXT(IF(Настройки!AE48="",TEXT(Настройки!$J2,"ч:мм"),TEXT(Настройки!AE48,"ч:мм"))+TIME(0,Март!AC13,0),"ч::мм")=TEXT(IF(Настройки!AE48="",TEXT(Настройки!$J2,"ч:мм"),TEXT(Настройки!AE48,"ч:мм")),"ч:мм"),"",TEXT(IF(Настройки!AE48="",TEXT(Настройки!$J2,"ч:мм"),TEXT(Настройки!AE48,"ч:мм")),"ч:мм")&amp;"-"&amp;TEXT(IF(Настройки!AE48="",TEXT(Настройки!$J2,"ч:мм"),TEXT(Настройки!AE48,"ч:мм"))+TIME(0,Март!AC13,0),"ч::мм"))</calculatedColumnFormula>
    </tableColumn>
    <tableColumn id="12" name="26" dataDxfId="989">
      <calculatedColumnFormula>IF(TEXT(IF(Настройки!AF48="",TEXT(Настройки!$J2,"ч:мм"),TEXT(Настройки!AF48,"ч:мм"))+TIME(0,Март!AD13,0),"ч::мм")=TEXT(IF(Настройки!AF48="",TEXT(Настройки!$J2,"ч:мм"),TEXT(Настройки!AF48,"ч:мм")),"ч:мм"),"",TEXT(IF(Настройки!AF48="",TEXT(Настройки!$J2,"ч:мм"),TEXT(Настройки!AF48,"ч:мм")),"ч:мм")&amp;"-"&amp;TEXT(IF(Настройки!AF48="",TEXT(Настройки!$J2,"ч:мм"),TEXT(Настройки!AF48,"ч:мм"))+TIME(0,Март!AD13,0),"ч::мм"))</calculatedColumnFormula>
    </tableColumn>
    <tableColumn id="13" name="27" dataDxfId="988">
      <calculatedColumnFormula>IF(TEXT(IF(Настройки!AG48="",TEXT(Настройки!$J2,"ч:мм"),TEXT(Настройки!AG48,"ч:мм"))+TIME(0,Март!AE13,0),"ч::мм")=TEXT(IF(Настройки!AG48="",TEXT(Настройки!$J2,"ч:мм"),TEXT(Настройки!AG48,"ч:мм")),"ч:мм"),"",TEXT(IF(Настройки!AG48="",TEXT(Настройки!$J2,"ч:мм"),TEXT(Настройки!AG48,"ч:мм")),"ч:мм")&amp;"-"&amp;TEXT(IF(Настройки!AG48="",TEXT(Настройки!$J2,"ч:мм"),TEXT(Настройки!AG48,"ч:мм"))+TIME(0,Март!AE13,0),"ч::мм"))</calculatedColumnFormula>
    </tableColumn>
    <tableColumn id="14" name="28" dataDxfId="987">
      <calculatedColumnFormula>IF(TEXT(IF(Настройки!AH48="",TEXT(Настройки!$J2,"ч:мм"),TEXT(Настройки!AH48,"ч:мм"))+TIME(0,Март!AF13,0),"ч::мм")=TEXT(IF(Настройки!AH48="",TEXT(Настройки!$J2,"ч:мм"),TEXT(Настройки!AH48,"ч:мм")),"ч:мм"),"",TEXT(IF(Настройки!AH48="",TEXT(Настройки!$J2,"ч:мм"),TEXT(Настройки!AH48,"ч:мм")),"ч:мм")&amp;"-"&amp;TEXT(IF(Настройки!AH48="",TEXT(Настройки!$J2,"ч:мм"),TEXT(Настройки!AH48,"ч:мм"))+TIME(0,Март!AF13,0),"ч::мм"))</calculatedColumnFormula>
    </tableColumn>
    <tableColumn id="15" name="29" dataDxfId="986">
      <calculatedColumnFormula>IF(TEXT(IF(Настройки!AI48="",TEXT(Настройки!$J2,"ч:мм"),TEXT(Настройки!AI48,"ч:мм"))+TIME(0,Март!AG13,0),"ч::мм")=TEXT(IF(Настройки!AI48="",TEXT(Настройки!$J2,"ч:мм"),TEXT(Настройки!AI48,"ч:мм")),"ч:мм"),"",TEXT(IF(Настройки!AI48="",TEXT(Настройки!$J2,"ч:мм"),TEXT(Настройки!AI48,"ч:мм")),"ч:мм")&amp;"-"&amp;TEXT(IF(Настройки!AI48="",TEXT(Настройки!$J2,"ч:мм"),TEXT(Настройки!AI48,"ч:мм"))+TIME(0,Март!AG13,0),"ч::мм"))</calculatedColumnFormula>
    </tableColumn>
    <tableColumn id="16" name="30" dataDxfId="985">
      <calculatedColumnFormula>IF(TEXT(IF(Настройки!AJ48="",TEXT(Настройки!$J2,"ч:мм"),TEXT(Настройки!AJ48,"ч:мм"))+TIME(0,Март!AH13,0),"ч::мм")=TEXT(IF(Настройки!AJ48="",TEXT(Настройки!$J2,"ч:мм"),TEXT(Настройки!AJ48,"ч:мм")),"ч:мм"),"",TEXT(IF(Настройки!AJ48="",TEXT(Настройки!$J2,"ч:мм"),TEXT(Настройки!AJ48,"ч:мм")),"ч:мм")&amp;"-"&amp;TEXT(IF(Настройки!AJ48="",TEXT(Настройки!$J2,"ч:мм"),TEXT(Настройки!AJ48,"ч:мм"))+TIME(0,Март!AH13,0),"ч::мм"))</calculatedColumnFormula>
    </tableColumn>
  </tableColumns>
  <tableStyleInfo name="TableStyleLight15" showFirstColumn="0" showLastColumn="0" showRowStripes="0" showColumnStripes="1"/>
</table>
</file>

<file path=xl/tables/table36.xml><?xml version="1.0" encoding="utf-8"?>
<table xmlns="http://schemas.openxmlformats.org/spreadsheetml/2006/main" id="40" name="МартГраф3" displayName="МартГраф3" ref="A33:B36" totalsRowShown="0" headerRowDxfId="984" dataDxfId="983" tableBorderDxfId="982">
  <autoFilter ref="A33:B36">
    <filterColumn colId="0" hiddenButton="1"/>
    <filterColumn colId="1" hiddenButton="1"/>
  </autoFilter>
  <tableColumns count="2">
    <tableColumn id="1" name="Посещение" dataDxfId="981">
      <calculatedColumnFormula>A14</calculatedColumnFormula>
    </tableColumn>
    <tableColumn id="2" name="31" dataDxfId="980">
      <calculatedColumnFormula>IF(TEXT(IF(Настройки!AK48="",TEXT(Настройки!$J2,"ч:мм"),TEXT(Настройки!AK48,"ч:мм"))+TIME(0,Март!AI13,0),"ч::мм")=TEXT(IF(Настройки!AK48="",TEXT(Настройки!$J2,"ч:мм"),TEXT(Настройки!AK48,"ч:мм")),"ч:мм"),"",TEXT(IF(Настройки!AK48="",TEXT(Настройки!$J2,"ч:мм"),TEXT(Настройки!AK48,"ч:мм")),"ч:мм")&amp;"-"&amp;TEXT(IF(Настройки!AK48="",TEXT(Настройки!$J2,"ч:мм"),TEXT(Настройки!AK48,"ч:мм"))+TIME(0,Март!AI13,0),"ч::мм"))</calculatedColumnFormula>
    </tableColumn>
  </tableColumns>
  <tableStyleInfo name="TableStyleLight15" showFirstColumn="0" showLastColumn="0" showRowStripes="0" showColumnStripes="1"/>
</table>
</file>

<file path=xl/tables/table37.xml><?xml version="1.0" encoding="utf-8"?>
<table xmlns="http://schemas.openxmlformats.org/spreadsheetml/2006/main" id="13" name="Апрель" displayName="Апрель" ref="A25:AJ28" headerRowDxfId="977" dataDxfId="976" totalsRowDxfId="975">
  <autoFilter ref="A25:AJ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Услуга" totalsRowLabel="Итог" dataDxfId="974"/>
    <tableColumn id="2" name="Периодичность" dataDxfId="973" totalsRowDxfId="972">
      <calculatedColumnFormula>IF(Январь[[#This Row],[Периодичность]]&lt;&gt;"",Январь[[#This Row],[Периодичность]],"")</calculatedColumnFormula>
    </tableColumn>
    <tableColumn id="3" name="Объем" dataDxfId="971" totalsRowDxfId="970">
      <calculatedColumnFormula>IF(Январь[[#This Row],[Объем]]&lt;&gt;"",Январь[[#This Row],[Объем]],"")</calculatedColumnFormula>
    </tableColumn>
    <tableColumn id="4" name="№" dataDxfId="969" totalsRowDxfId="968"/>
    <tableColumn id="7" name="1"/>
    <tableColumn id="8" name="2"/>
    <tableColumn id="9" name="3"/>
    <tableColumn id="10" name="4" totalsRowDxfId="967"/>
    <tableColumn id="11" name="5" totalsRowDxfId="966"/>
    <tableColumn id="12" name="6" totalsRowDxfId="965"/>
    <tableColumn id="13" name="7"/>
    <tableColumn id="14" name="8"/>
    <tableColumn id="15" name="9"/>
    <tableColumn id="16" name="10"/>
    <tableColumn id="17" name="11" totalsRowDxfId="964"/>
    <tableColumn id="18" name="12" totalsRowDxfId="963"/>
    <tableColumn id="19" name="13" totalsRowDxfId="962"/>
    <tableColumn id="20" name="14"/>
    <tableColumn id="21" name="15"/>
    <tableColumn id="22" name="16"/>
    <tableColumn id="23" name="17"/>
    <tableColumn id="24" name="18" totalsRowDxfId="961"/>
    <tableColumn id="25" name="19" totalsRowDxfId="960"/>
    <tableColumn id="26" name="20" totalsRowDxfId="959"/>
    <tableColumn id="27" name="21"/>
    <tableColumn id="28" name="22"/>
    <tableColumn id="29" name="23"/>
    <tableColumn id="30" name="24"/>
    <tableColumn id="31" name="25" totalsRowDxfId="958"/>
    <tableColumn id="32" name="26" totalsRowDxfId="957"/>
    <tableColumn id="33" name="27" totalsRowDxfId="956"/>
    <tableColumn id="34" name="28"/>
    <tableColumn id="35" name="29"/>
    <tableColumn id="36" name="30"/>
    <tableColumn id="38" name="УСЛУГ" totalsRowFunction="sum" dataDxfId="955" totalsRowDxfId="954">
      <calculatedColumnFormula>IF(Апрель[[#This Row],[№]]=1,SUM(Апрель[[#This Row],[1]:[30]])+SUM(OFFSET(Апрель[[#This Row],[1]:[30]],1,0))+SUM(OFFSET(Апрель[[#This Row],[1]:[30]],2,0)),"")</calculatedColumnFormula>
    </tableColumn>
    <tableColumn id="39" name="МИНУТ" totalsRowFunction="sum" dataDxfId="953" totalsRowDxfId="952">
      <calculatedColumnFormula>IF(Апрель[[#This Row],[УСЛУГ]]&lt;&gt;"",Апрель[[#This Row],[УСЛУГ]]*Апрель[[#This Row],[Объем]],"")</calculatedColumnFormula>
    </tableColumn>
  </tableColumns>
  <tableStyleInfo name="TableStyleLight15" showFirstColumn="0" showLastColumn="0" showRowStripes="1" showColumnStripes="0"/>
</table>
</file>

<file path=xl/tables/table38.xml><?xml version="1.0" encoding="utf-8"?>
<table xmlns="http://schemas.openxmlformats.org/spreadsheetml/2006/main" id="14" name="АпрельИтоги" displayName="АпрельИтоги" ref="A12:AJ18" totalsRowShown="0" headerRowDxfId="951" dataDxfId="950" tableBorderDxfId="949">
  <autoFilter ref="A12:AJ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периодичность" dataDxfId="948"/>
    <tableColumn id="2" name="за неделю" dataDxfId="947">
      <calculatedColumnFormula>SUM(H24:L24)</calculatedColumnFormula>
    </tableColumn>
    <tableColumn id="3" name="всего минут" dataDxfId="946">
      <calculatedColumnFormula>АпрельИтоги[[#This Row],[№]]*60</calculatedColumnFormula>
    </tableColumn>
    <tableColumn id="4" name="№" dataDxfId="945"/>
    <tableColumn id="5" name="1" dataDxfId="944">
      <calculatedColumnFormula>SUM(E10:E20)</calculatedColumnFormula>
    </tableColumn>
    <tableColumn id="6" name="2" dataDxfId="943"/>
    <tableColumn id="7" name="3" dataDxfId="942"/>
    <tableColumn id="8" name="4" dataDxfId="941"/>
    <tableColumn id="9" name="5" dataDxfId="940"/>
    <tableColumn id="10" name="6" dataDxfId="939"/>
    <tableColumn id="11" name="7" dataDxfId="938"/>
    <tableColumn id="12" name="8" dataDxfId="937"/>
    <tableColumn id="13" name="9" dataDxfId="936"/>
    <tableColumn id="14" name="10" dataDxfId="935"/>
    <tableColumn id="15" name="11" dataDxfId="934"/>
    <tableColumn id="16" name="12" dataDxfId="933"/>
    <tableColumn id="17" name="13" dataDxfId="932"/>
    <tableColumn id="18" name="14" dataDxfId="931"/>
    <tableColumn id="19" name="15" dataDxfId="930"/>
    <tableColumn id="20" name="16" dataDxfId="929"/>
    <tableColumn id="21" name="17" dataDxfId="928"/>
    <tableColumn id="22" name="18" dataDxfId="927"/>
    <tableColumn id="23" name="19" dataDxfId="926"/>
    <tableColumn id="24" name="20" dataDxfId="925"/>
    <tableColumn id="25" name="21" dataDxfId="924"/>
    <tableColumn id="26" name="22" dataDxfId="923"/>
    <tableColumn id="27" name="23" dataDxfId="922"/>
    <tableColumn id="28" name="24" dataDxfId="921"/>
    <tableColumn id="29" name="25" dataDxfId="920"/>
    <tableColumn id="30" name="26" dataDxfId="919"/>
    <tableColumn id="31" name="27" dataDxfId="918"/>
    <tableColumn id="32" name="28" dataDxfId="917"/>
    <tableColumn id="33" name="29" dataDxfId="916"/>
    <tableColumn id="34" name="30" dataDxfId="915"/>
    <tableColumn id="35" name="УСЛУГ" dataDxfId="914">
      <calculatedColumnFormula>SUM(Сентябрь[УСЛУГ])</calculatedColumnFormula>
    </tableColumn>
    <tableColumn id="36" name="МИНУТ" dataDxfId="913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39.xml><?xml version="1.0" encoding="utf-8"?>
<table xmlns="http://schemas.openxmlformats.org/spreadsheetml/2006/main" id="41" name="АпрельГраф1" displayName="АпрельГраф1" ref="A13:P16" totalsRowShown="0" headerRowDxfId="910" dataDxfId="909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908">
      <calculatedColumnFormula>IF(Настройки!J2&lt;&gt;"",TEXT(MIN(Настройки!G54:AJ54,Настройки!J2),"ч:мм")&amp;"-"&amp;TEXT(MAX(Настройки!G54:AJ54,Настройки!J2)+TIME(0,MAX(Апрель!E13:AH13),0),"ч:мм"),"")</calculatedColumnFormula>
    </tableColumn>
    <tableColumn id="2" name="1" dataDxfId="907">
      <calculatedColumnFormula>IF(TEXT(IF(Настройки!G54="",TEXT(Настройки!$J2,"ч:мм"),TEXT(Настройки!G54,"ч:мм"))+TIME(0,Апрель!E13,0),"ч::мм")=TEXT(IF(Настройки!G54="",TEXT(Настройки!$J2,"ч:мм"),TEXT(Настройки!G54,"ч:мм")),"ч:мм"),"",TEXT(IF(Настройки!G54="",TEXT(Настройки!$J2,"ч:мм"),TEXT(Настройки!G54,"ч:мм")),"ч:мм")&amp;"-"&amp;TEXT(IF(Настройки!G54="",TEXT(Настройки!$J2,"ч:мм"),TEXT(Настройки!G54,"ч:мм"))+TIME(0,Апрель!E13,0),"ч::мм"))</calculatedColumnFormula>
    </tableColumn>
    <tableColumn id="3" name="2" dataDxfId="906">
      <calculatedColumnFormula>IF(TEXT(IF(Настройки!H54="",TEXT(Настройки!$J2,"ч:мм"),TEXT(Настройки!H54,"ч:мм"))+TIME(0,Апрель!F13,0),"ч::мм")=TEXT(IF(Настройки!H54="",TEXT(Настройки!$J2,"ч:мм"),TEXT(Настройки!H54,"ч:мм")),"ч:мм"),"",TEXT(IF(Настройки!H54="",TEXT(Настройки!$J2,"ч:мм"),TEXT(Настройки!H54,"ч:мм")),"ч:мм")&amp;"-"&amp;TEXT(IF(Настройки!H54="",TEXT(Настройки!$J2,"ч:мм"),TEXT(Настройки!H54,"ч:мм"))+TIME(0,Апрель!F13,0),"ч::мм"))</calculatedColumnFormula>
    </tableColumn>
    <tableColumn id="4" name="3" dataDxfId="905">
      <calculatedColumnFormula>IF(TEXT(IF(Настройки!I54="",TEXT(Настройки!$J2,"ч:мм"),TEXT(Настройки!I54,"ч:мм"))+TIME(0,Апрель!G13,0),"ч::мм")=TEXT(IF(Настройки!I54="",TEXT(Настройки!$J2,"ч:мм"),TEXT(Настройки!I54,"ч:мм")),"ч:мм"),"",TEXT(IF(Настройки!I54="",TEXT(Настройки!$J2,"ч:мм"),TEXT(Настройки!I54,"ч:мм")),"ч:мм")&amp;"-"&amp;TEXT(IF(Настройки!I54="",TEXT(Настройки!$J2,"ч:мм"),TEXT(Настройки!I54,"ч:мм"))+TIME(0,Апрель!G13,0),"ч::мм"))</calculatedColumnFormula>
    </tableColumn>
    <tableColumn id="5" name="4" dataDxfId="904">
      <calculatedColumnFormula>IF(TEXT(IF(Настройки!J54="",TEXT(Настройки!$J2,"ч:мм"),TEXT(Настройки!J54,"ч:мм"))+TIME(0,Апрель!H13,0),"ч::мм")=TEXT(IF(Настройки!J54="",TEXT(Настройки!$J2,"ч:мм"),TEXT(Настройки!J54,"ч:мм")),"ч:мм"),"",TEXT(IF(Настройки!J54="",TEXT(Настройки!$J2,"ч:мм"),TEXT(Настройки!J54,"ч:мм")),"ч:мм")&amp;"-"&amp;TEXT(IF(Настройки!J54="",TEXT(Настройки!$J2,"ч:мм"),TEXT(Настройки!J54,"ч:мм"))+TIME(0,Апрель!H13,0),"ч::мм"))</calculatedColumnFormula>
    </tableColumn>
    <tableColumn id="6" name="5" dataDxfId="903">
      <calculatedColumnFormula>IF(TEXT(IF(Настройки!K54="",TEXT(Настройки!$J2,"ч:мм"),TEXT(Настройки!K54,"ч:мм"))+TIME(0,Апрель!I13,0),"ч::мм")=TEXT(IF(Настройки!K54="",TEXT(Настройки!$J2,"ч:мм"),TEXT(Настройки!K54,"ч:мм")),"ч:мм"),"",TEXT(IF(Настройки!K54="",TEXT(Настройки!$J2,"ч:мм"),TEXT(Настройки!K54,"ч:мм")),"ч:мм")&amp;"-"&amp;TEXT(IF(Настройки!K54="",TEXT(Настройки!$J2,"ч:мм"),TEXT(Настройки!K54,"ч:мм"))+TIME(0,Апрель!I13,0),"ч::мм"))</calculatedColumnFormula>
    </tableColumn>
    <tableColumn id="7" name="6" dataDxfId="902">
      <calculatedColumnFormula>IF(TEXT(IF(Настройки!L54="",TEXT(Настройки!$J2,"ч:мм"),TEXT(Настройки!L54,"ч:мм"))+TIME(0,Апрель!J13,0),"ч::мм")=TEXT(IF(Настройки!L54="",TEXT(Настройки!$J2,"ч:мм"),TEXT(Настройки!L54,"ч:мм")),"ч:мм"),"",TEXT(IF(Настройки!L54="",TEXT(Настройки!$J2,"ч:мм"),TEXT(Настройки!L54,"ч:мм")),"ч:мм")&amp;"-"&amp;TEXT(IF(Настройки!L54="",TEXT(Настройки!$J2,"ч:мм"),TEXT(Настройки!L54,"ч:мм"))+TIME(0,Апрель!J13,0),"ч::мм"))</calculatedColumnFormula>
    </tableColumn>
    <tableColumn id="8" name="7" dataDxfId="901">
      <calculatedColumnFormula>IF(TEXT(IF(Настройки!M54="",TEXT(Настройки!$J2,"ч:мм"),TEXT(Настройки!M54,"ч:мм"))+TIME(0,Апрель!K13,0),"ч::мм")=TEXT(IF(Настройки!M54="",TEXT(Настройки!$J2,"ч:мм"),TEXT(Настройки!M54,"ч:мм")),"ч:мм"),"",TEXT(IF(Настройки!M54="",TEXT(Настройки!$J2,"ч:мм"),TEXT(Настройки!M54,"ч:мм")),"ч:мм")&amp;"-"&amp;TEXT(IF(Настройки!M54="",TEXT(Настройки!$J2,"ч:мм"),TEXT(Настройки!M54,"ч:мм"))+TIME(0,Апрель!K13,0),"ч::мм"))</calculatedColumnFormula>
    </tableColumn>
    <tableColumn id="9" name="8" dataDxfId="900">
      <calculatedColumnFormula>IF(TEXT(IF(Настройки!N54="",TEXT(Настройки!$J2,"ч:мм"),TEXT(Настройки!N54,"ч:мм"))+TIME(0,Апрель!L13,0),"ч::мм")=TEXT(IF(Настройки!N54="",TEXT(Настройки!$J2,"ч:мм"),TEXT(Настройки!N54,"ч:мм")),"ч:мм"),"",TEXT(IF(Настройки!N54="",TEXT(Настройки!$J2,"ч:мм"),TEXT(Настройки!N54,"ч:мм")),"ч:мм")&amp;"-"&amp;TEXT(IF(Настройки!N54="",TEXT(Настройки!$J2,"ч:мм"),TEXT(Настройки!N54,"ч:мм"))+TIME(0,Апрель!L13,0),"ч::мм"))</calculatedColumnFormula>
    </tableColumn>
    <tableColumn id="10" name="9" dataDxfId="899">
      <calculatedColumnFormula>IF(TEXT(IF(Настройки!O54="",TEXT(Настройки!$J2,"ч:мм"),TEXT(Настройки!O54,"ч:мм"))+TIME(0,Апрель!M13,0),"ч::мм")=TEXT(IF(Настройки!O54="",TEXT(Настройки!$J2,"ч:мм"),TEXT(Настройки!O54,"ч:мм")),"ч:мм"),"",TEXT(IF(Настройки!O54="",TEXT(Настройки!$J2,"ч:мм"),TEXT(Настройки!O54,"ч:мм")),"ч:мм")&amp;"-"&amp;TEXT(IF(Настройки!O54="",TEXT(Настройки!$J2,"ч:мм"),TEXT(Настройки!O54,"ч:мм"))+TIME(0,Апрель!M13,0),"ч::мм"))</calculatedColumnFormula>
    </tableColumn>
    <tableColumn id="11" name="10" dataDxfId="898">
      <calculatedColumnFormula>IF(TEXT(IF(Настройки!P54="",TEXT(Настройки!$J2,"ч:мм"),TEXT(Настройки!P54,"ч:мм"))+TIME(0,Апрель!N13,0),"ч::мм")=TEXT(IF(Настройки!P54="",TEXT(Настройки!$J2,"ч:мм"),TEXT(Настройки!P54,"ч:мм")),"ч:мм"),"",TEXT(IF(Настройки!P54="",TEXT(Настройки!$J2,"ч:мм"),TEXT(Настройки!P54,"ч:мм")),"ч:мм")&amp;"-"&amp;TEXT(IF(Настройки!P54="",TEXT(Настройки!$J2,"ч:мм"),TEXT(Настройки!P54,"ч:мм"))+TIME(0,Апрель!N13,0),"ч::мм"))</calculatedColumnFormula>
    </tableColumn>
    <tableColumn id="12" name="11" dataDxfId="897">
      <calculatedColumnFormula>IF(TEXT(IF(Настройки!Q54="",TEXT(Настройки!$J2,"ч:мм"),TEXT(Настройки!Q54,"ч:мм"))+TIME(0,Апрель!O13,0),"ч::мм")=TEXT(IF(Настройки!Q54="",TEXT(Настройки!$J2,"ч:мм"),TEXT(Настройки!Q54,"ч:мм")),"ч:мм"),"",TEXT(IF(Настройки!Q54="",TEXT(Настройки!$J2,"ч:мм"),TEXT(Настройки!Q54,"ч:мм")),"ч:мм")&amp;"-"&amp;TEXT(IF(Настройки!Q54="",TEXT(Настройки!$J2,"ч:мм"),TEXT(Настройки!Q54,"ч:мм"))+TIME(0,Апрель!O13,0),"ч::мм"))</calculatedColumnFormula>
    </tableColumn>
    <tableColumn id="13" name="12" dataDxfId="896">
      <calculatedColumnFormula>IF(TEXT(IF(Настройки!R54="",TEXT(Настройки!$J2,"ч:мм"),TEXT(Настройки!R54,"ч:мм"))+TIME(0,Апрель!P13,0),"ч::мм")=TEXT(IF(Настройки!R54="",TEXT(Настройки!$J2,"ч:мм"),TEXT(Настройки!R54,"ч:мм")),"ч:мм"),"",TEXT(IF(Настройки!R54="",TEXT(Настройки!$J2,"ч:мм"),TEXT(Настройки!R54,"ч:мм")),"ч:мм")&amp;"-"&amp;TEXT(IF(Настройки!R54="",TEXT(Настройки!$J2,"ч:мм"),TEXT(Настройки!R54,"ч:мм"))+TIME(0,Апрель!P13,0),"ч::мм"))</calculatedColumnFormula>
    </tableColumn>
    <tableColumn id="14" name="13" dataDxfId="895">
      <calculatedColumnFormula>IF(TEXT(IF(Настройки!S54="",TEXT(Настройки!$J2,"ч:мм"),TEXT(Настройки!S54,"ч:мм"))+TIME(0,Апрель!Q13,0),"ч::мм")=TEXT(IF(Настройки!S54="",TEXT(Настройки!$J2,"ч:мм"),TEXT(Настройки!S54,"ч:мм")),"ч:мм"),"",TEXT(IF(Настройки!S54="",TEXT(Настройки!$J2,"ч:мм"),TEXT(Настройки!S54,"ч:мм")),"ч:мм")&amp;"-"&amp;TEXT(IF(Настройки!S54="",TEXT(Настройки!$J2,"ч:мм"),TEXT(Настройки!S54,"ч:мм"))+TIME(0,Апрель!Q13,0),"ч::мм"))</calculatedColumnFormula>
    </tableColumn>
    <tableColumn id="15" name="14" dataDxfId="894">
      <calculatedColumnFormula>IF(TEXT(IF(Настройки!T54="",TEXT(Настройки!$J2,"ч:мм"),TEXT(Настройки!T54,"ч:мм"))+TIME(0,Апрель!R13,0),"ч::мм")=TEXT(IF(Настройки!T54="",TEXT(Настройки!$J2,"ч:мм"),TEXT(Настройки!T54,"ч:мм")),"ч:мм"),"",TEXT(IF(Настройки!T54="",TEXT(Настройки!$J2,"ч:мм"),TEXT(Настройки!T54,"ч:мм")),"ч:мм")&amp;"-"&amp;TEXT(IF(Настройки!T54="",TEXT(Настройки!$J2,"ч:мм"),TEXT(Настройки!T54,"ч:мм"))+TIME(0,Апрель!R13,0),"ч::мм"))</calculatedColumnFormula>
    </tableColumn>
    <tableColumn id="16" name="15" dataDxfId="893">
      <calculatedColumnFormula>IF(TEXT(IF(Настройки!U54="",TEXT(Настройки!$J2,"ч:мм"),TEXT(Настройки!U54,"ч:мм"))+TIME(0,Апрель!S13,0),"ч::мм")=TEXT(IF(Настройки!U54="",TEXT(Настройки!$J2,"ч:мм"),TEXT(Настройки!U54,"ч:мм")),"ч:мм"),"",TEXT(IF(Настройки!U54="",TEXT(Настройки!$J2,"ч:мм"),TEXT(Настройки!U54,"ч:мм")),"ч:мм")&amp;"-"&amp;TEXT(IF(Настройки!U54="",TEXT(Настройки!$J2,"ч:мм"),TEXT(Настройки!U54,"ч:мм"))+TIME(0,Апрель!S13,0),"ч::мм"))</calculatedColumnFormula>
    </tableColumn>
  </tableColumns>
  <tableStyleInfo name="TableStyleLight15" showFirstColumn="0" showLastColumn="0" showRowStripes="0" showColumnStripes="1"/>
</table>
</file>

<file path=xl/tables/table40.xml><?xml version="1.0" encoding="utf-8"?>
<table xmlns="http://schemas.openxmlformats.org/spreadsheetml/2006/main" id="42" name="АпрельГраф2" displayName="АпрельГраф2" ref="A23:P26" totalsRowShown="0" headerRowDxfId="892" dataDxfId="891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890">
      <calculatedColumnFormula>A14</calculatedColumnFormula>
    </tableColumn>
    <tableColumn id="2" name="16" dataDxfId="889">
      <calculatedColumnFormula>IF(TEXT(IF(Настройки!V54="",TEXT(Настройки!$J2,"ч:мм"),TEXT(Настройки!V54,"ч:мм"))+TIME(0,Апрель!T13,0),"ч::мм")=TEXT(IF(Настройки!V54="",TEXT(Настройки!$J2,"ч:мм"),TEXT(Настройки!V54,"ч:мм")),"ч:мм"),"",TEXT(IF(Настройки!V54="",TEXT(Настройки!$J2,"ч:мм"),TEXT(Настройки!V54,"ч:мм")),"ч:мм")&amp;"-"&amp;TEXT(IF(Настройки!V54="",TEXT(Настройки!$J2,"ч:мм"),TEXT(Настройки!V54,"ч:мм"))+TIME(0,Апрель!T13,0),"ч::мм"))</calculatedColumnFormula>
    </tableColumn>
    <tableColumn id="3" name="17" dataDxfId="888">
      <calculatedColumnFormula>IF(TEXT(IF(Настройки!W54="",TEXT(Настройки!$J2,"ч:мм"),TEXT(Настройки!W54,"ч:мм"))+TIME(0,Апрель!U13,0),"ч::мм")=TEXT(IF(Настройки!W54="",TEXT(Настройки!$J2,"ч:мм"),TEXT(Настройки!W54,"ч:мм")),"ч:мм"),"",TEXT(IF(Настройки!W54="",TEXT(Настройки!$J2,"ч:мм"),TEXT(Настройки!W54,"ч:мм")),"ч:мм")&amp;"-"&amp;TEXT(IF(Настройки!W54="",TEXT(Настройки!$J2,"ч:мм"),TEXT(Настройки!W54,"ч:мм"))+TIME(0,Апрель!U13,0),"ч::мм"))</calculatedColumnFormula>
    </tableColumn>
    <tableColumn id="4" name="18" dataDxfId="887">
      <calculatedColumnFormula>IF(TEXT(IF(Настройки!X54="",TEXT(Настройки!$J2,"ч:мм"),TEXT(Настройки!X54,"ч:мм"))+TIME(0,Апрель!V13,0),"ч::мм")=TEXT(IF(Настройки!X54="",TEXT(Настройки!$J2,"ч:мм"),TEXT(Настройки!X54,"ч:мм")),"ч:мм"),"",TEXT(IF(Настройки!X54="",TEXT(Настройки!$J2,"ч:мм"),TEXT(Настройки!X54,"ч:мм")),"ч:мм")&amp;"-"&amp;TEXT(IF(Настройки!X54="",TEXT(Настройки!$J2,"ч:мм"),TEXT(Настройки!X54,"ч:мм"))+TIME(0,Апрель!V13,0),"ч::мм"))</calculatedColumnFormula>
    </tableColumn>
    <tableColumn id="5" name="19" dataDxfId="886">
      <calculatedColumnFormula>IF(TEXT(IF(Настройки!Y54="",TEXT(Настройки!$J2,"ч:мм"),TEXT(Настройки!Y54,"ч:мм"))+TIME(0,Апрель!W13,0),"ч::мм")=TEXT(IF(Настройки!Y54="",TEXT(Настройки!$J2,"ч:мм"),TEXT(Настройки!Y54,"ч:мм")),"ч:мм"),"",TEXT(IF(Настройки!Y54="",TEXT(Настройки!$J2,"ч:мм"),TEXT(Настройки!Y54,"ч:мм")),"ч:мм")&amp;"-"&amp;TEXT(IF(Настройки!Y54="",TEXT(Настройки!$J2,"ч:мм"),TEXT(Настройки!Y54,"ч:мм"))+TIME(0,Апрель!W13,0),"ч::мм"))</calculatedColumnFormula>
    </tableColumn>
    <tableColumn id="6" name="20" dataDxfId="885">
      <calculatedColumnFormula>IF(TEXT(IF(Настройки!Z54="",TEXT(Настройки!$J2,"ч:мм"),TEXT(Настройки!Z54,"ч:мм"))+TIME(0,Апрель!X13,0),"ч::мм")=TEXT(IF(Настройки!Z54="",TEXT(Настройки!$J2,"ч:мм"),TEXT(Настройки!Z54,"ч:мм")),"ч:мм"),"",TEXT(IF(Настройки!Z54="",TEXT(Настройки!$J2,"ч:мм"),TEXT(Настройки!Z54,"ч:мм")),"ч:мм")&amp;"-"&amp;TEXT(IF(Настройки!Z54="",TEXT(Настройки!$J2,"ч:мм"),TEXT(Настройки!Z54,"ч:мм"))+TIME(0,Апрель!X13,0),"ч::мм"))</calculatedColumnFormula>
    </tableColumn>
    <tableColumn id="7" name="21" dataDxfId="884">
      <calculatedColumnFormula>IF(TEXT(IF(Настройки!AA54="",TEXT(Настройки!$J2,"ч:мм"),TEXT(Настройки!AA54,"ч:мм"))+TIME(0,Апрель!Y13,0),"ч::мм")=TEXT(IF(Настройки!AA54="",TEXT(Настройки!$J2,"ч:мм"),TEXT(Настройки!AA54,"ч:мм")),"ч:мм"),"",TEXT(IF(Настройки!AA54="",TEXT(Настройки!$J2,"ч:мм"),TEXT(Настройки!AA54,"ч:мм")),"ч:мм")&amp;"-"&amp;TEXT(IF(Настройки!AA54="",TEXT(Настройки!$J2,"ч:мм"),TEXT(Настройки!AA54,"ч:мм"))+TIME(0,Апрель!Y13,0),"ч::мм"))</calculatedColumnFormula>
    </tableColumn>
    <tableColumn id="8" name="22" dataDxfId="883">
      <calculatedColumnFormula>IF(TEXT(IF(Настройки!AB54="",TEXT(Настройки!$J2,"ч:мм"),TEXT(Настройки!AB54,"ч:мм"))+TIME(0,Апрель!Z13,0),"ч::мм")=TEXT(IF(Настройки!AB54="",TEXT(Настройки!$J2,"ч:мм"),TEXT(Настройки!AB54,"ч:мм")),"ч:мм"),"",TEXT(IF(Настройки!AB54="",TEXT(Настройки!$J2,"ч:мм"),TEXT(Настройки!AB54,"ч:мм")),"ч:мм")&amp;"-"&amp;TEXT(IF(Настройки!AB54="",TEXT(Настройки!$J2,"ч:мм"),TEXT(Настройки!AB54,"ч:мм"))+TIME(0,Апрель!Z13,0),"ч::мм"))</calculatedColumnFormula>
    </tableColumn>
    <tableColumn id="9" name="23" dataDxfId="882">
      <calculatedColumnFormula>IF(TEXT(IF(Настройки!AC54="",TEXT(Настройки!$J2,"ч:мм"),TEXT(Настройки!AC54,"ч:мм"))+TIME(0,Апрель!AA13,0),"ч::мм")=TEXT(IF(Настройки!AC54="",TEXT(Настройки!$J2,"ч:мм"),TEXT(Настройки!AC54,"ч:мм")),"ч:мм"),"",TEXT(IF(Настройки!AC54="",TEXT(Настройки!$J2,"ч:мм"),TEXT(Настройки!AC54,"ч:мм")),"ч:мм")&amp;"-"&amp;TEXT(IF(Настройки!AC54="",TEXT(Настройки!$J2,"ч:мм"),TEXT(Настройки!AC54,"ч:мм"))+TIME(0,Апрель!AA13,0),"ч::мм"))</calculatedColumnFormula>
    </tableColumn>
    <tableColumn id="10" name="24" dataDxfId="881">
      <calculatedColumnFormula>IF(TEXT(IF(Настройки!AD54="",TEXT(Настройки!$J2,"ч:мм"),TEXT(Настройки!AD54,"ч:мм"))+TIME(0,Апрель!AB13,0),"ч::мм")=TEXT(IF(Настройки!AD54="",TEXT(Настройки!$J2,"ч:мм"),TEXT(Настройки!AD54,"ч:мм")),"ч:мм"),"",TEXT(IF(Настройки!AD54="",TEXT(Настройки!$J2,"ч:мм"),TEXT(Настройки!AD54,"ч:мм")),"ч:мм")&amp;"-"&amp;TEXT(IF(Настройки!AD54="",TEXT(Настройки!$J2,"ч:мм"),TEXT(Настройки!AD54,"ч:мм"))+TIME(0,Апрель!AB13,0),"ч::мм"))</calculatedColumnFormula>
    </tableColumn>
    <tableColumn id="11" name="25" dataDxfId="880">
      <calculatedColumnFormula>IF(TEXT(IF(Настройки!AE54="",TEXT(Настройки!$J2,"ч:мм"),TEXT(Настройки!AE54,"ч:мм"))+TIME(0,Апрель!AC13,0),"ч::мм")=TEXT(IF(Настройки!AE54="",TEXT(Настройки!$J2,"ч:мм"),TEXT(Настройки!AE54,"ч:мм")),"ч:мм"),"",TEXT(IF(Настройки!AE54="",TEXT(Настройки!$J2,"ч:мм"),TEXT(Настройки!AE54,"ч:мм")),"ч:мм")&amp;"-"&amp;TEXT(IF(Настройки!AE54="",TEXT(Настройки!$J2,"ч:мм"),TEXT(Настройки!AE54,"ч:мм"))+TIME(0,Апрель!AC13,0),"ч::мм"))</calculatedColumnFormula>
    </tableColumn>
    <tableColumn id="12" name="26" dataDxfId="879">
      <calculatedColumnFormula>IF(TEXT(IF(Настройки!AF54="",TEXT(Настройки!$J2,"ч:мм"),TEXT(Настройки!AF54,"ч:мм"))+TIME(0,Апрель!AD13,0),"ч::мм")=TEXT(IF(Настройки!AF54="",TEXT(Настройки!$J2,"ч:мм"),TEXT(Настройки!AF54,"ч:мм")),"ч:мм"),"",TEXT(IF(Настройки!AF54="",TEXT(Настройки!$J2,"ч:мм"),TEXT(Настройки!AF54,"ч:мм")),"ч:мм")&amp;"-"&amp;TEXT(IF(Настройки!AF54="",TEXT(Настройки!$J2,"ч:мм"),TEXT(Настройки!AF54,"ч:мм"))+TIME(0,Апрель!AD13,0),"ч::мм"))</calculatedColumnFormula>
    </tableColumn>
    <tableColumn id="13" name="27" dataDxfId="878">
      <calculatedColumnFormula>IF(TEXT(IF(Настройки!AG54="",TEXT(Настройки!$J2,"ч:мм"),TEXT(Настройки!AG54,"ч:мм"))+TIME(0,Апрель!AE13,0),"ч::мм")=TEXT(IF(Настройки!AG54="",TEXT(Настройки!$J2,"ч:мм"),TEXT(Настройки!AG54,"ч:мм")),"ч:мм"),"",TEXT(IF(Настройки!AG54="",TEXT(Настройки!$J2,"ч:мм"),TEXT(Настройки!AG54,"ч:мм")),"ч:мм")&amp;"-"&amp;TEXT(IF(Настройки!AG54="",TEXT(Настройки!$J2,"ч:мм"),TEXT(Настройки!AG54,"ч:мм"))+TIME(0,Апрель!AE13,0),"ч::мм"))</calculatedColumnFormula>
    </tableColumn>
    <tableColumn id="14" name="28" dataDxfId="877">
      <calculatedColumnFormula>IF(TEXT(IF(Настройки!AH54="",TEXT(Настройки!$J2,"ч:мм"),TEXT(Настройки!AH54,"ч:мм"))+TIME(0,Апрель!AF13,0),"ч::мм")=TEXT(IF(Настройки!AH54="",TEXT(Настройки!$J2,"ч:мм"),TEXT(Настройки!AH54,"ч:мм")),"ч:мм"),"",TEXT(IF(Настройки!AH54="",TEXT(Настройки!$J2,"ч:мм"),TEXT(Настройки!AH54,"ч:мм")),"ч:мм")&amp;"-"&amp;TEXT(IF(Настройки!AH54="",TEXT(Настройки!$J2,"ч:мм"),TEXT(Настройки!AH54,"ч:мм"))+TIME(0,Апрель!AF13,0),"ч::мм"))</calculatedColumnFormula>
    </tableColumn>
    <tableColumn id="15" name="29" dataDxfId="876">
      <calculatedColumnFormula>IF(TEXT(IF(Настройки!AI54="",TEXT(Настройки!$J2,"ч:мм"),TEXT(Настройки!AI54,"ч:мм"))+TIME(0,Апрель!AG13,0),"ч::мм")=TEXT(IF(Настройки!AI54="",TEXT(Настройки!$J2,"ч:мм"),TEXT(Настройки!AI54,"ч:мм")),"ч:мм"),"",TEXT(IF(Настройки!AI54="",TEXT(Настройки!$J2,"ч:мм"),TEXT(Настройки!AI54,"ч:мм")),"ч:мм")&amp;"-"&amp;TEXT(IF(Настройки!AI54="",TEXT(Настройки!$J2,"ч:мм"),TEXT(Настройки!AI54,"ч:мм"))+TIME(0,Апрель!AG13,0),"ч::мм"))</calculatedColumnFormula>
    </tableColumn>
    <tableColumn id="16" name="30" dataDxfId="875">
      <calculatedColumnFormula>IF(TEXT(IF(Настройки!AJ54="",TEXT(Настройки!$J2,"ч:мм"),TEXT(Настройки!AJ54,"ч:мм"))+TIME(0,Апрель!AH13,0),"ч::мм")=TEXT(IF(Настройки!AJ54="",TEXT(Настройки!$J2,"ч:мм"),TEXT(Настройки!AJ54,"ч:мм")),"ч:мм"),"",TEXT(IF(Настройки!AJ54="",TEXT(Настройки!$J2,"ч:мм"),TEXT(Настройки!AJ54,"ч:мм")),"ч:мм")&amp;"-"&amp;TEXT(IF(Настройки!AJ54="",TEXT(Настройки!$J2,"ч:мм"),TEXT(Настройки!AJ54,"ч:мм"))+TIME(0,Апрель!AH13,0),"ч::мм"))</calculatedColumnFormula>
    </tableColumn>
  </tableColumns>
  <tableStyleInfo name="TableStyleLight15" showFirstColumn="0" showLastColumn="0" showRowStripes="0" showColumnStripes="1"/>
</table>
</file>

<file path=xl/tables/table41.xml><?xml version="1.0" encoding="utf-8"?>
<table xmlns="http://schemas.openxmlformats.org/spreadsheetml/2006/main" id="11" name="Май" displayName="Май" ref="A25:AK28" headerRowDxfId="872" dataDxfId="871" totalsRowDxfId="870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869"/>
    <tableColumn id="2" name="Периодичность" dataDxfId="868" totalsRowDxfId="867">
      <calculatedColumnFormula>IF(Январь[[#This Row],[Периодичность]]&lt;&gt;"",Январь[[#This Row],[Периодичность]],"")</calculatedColumnFormula>
    </tableColumn>
    <tableColumn id="3" name="Объем" dataDxfId="866" totalsRowDxfId="865">
      <calculatedColumnFormula>IF(Январь[[#This Row],[Объем]]&lt;&gt;"",Январь[[#This Row],[Объем]],"")</calculatedColumnFormula>
    </tableColumn>
    <tableColumn id="4" name="№" dataDxfId="864" totalsRowDxfId="863"/>
    <tableColumn id="7" name="1"/>
    <tableColumn id="8" name="2"/>
    <tableColumn id="9" name="3"/>
    <tableColumn id="10" name="4" totalsRowDxfId="862"/>
    <tableColumn id="11" name="5" totalsRowDxfId="861"/>
    <tableColumn id="12" name="6" totalsRowDxfId="860"/>
    <tableColumn id="13" name="7"/>
    <tableColumn id="14" name="8"/>
    <tableColumn id="15" name="9"/>
    <tableColumn id="16" name="10"/>
    <tableColumn id="17" name="11" totalsRowDxfId="859"/>
    <tableColumn id="18" name="12" totalsRowDxfId="858"/>
    <tableColumn id="19" name="13" totalsRowDxfId="857"/>
    <tableColumn id="20" name="14"/>
    <tableColumn id="21" name="15"/>
    <tableColumn id="22" name="16"/>
    <tableColumn id="23" name="17"/>
    <tableColumn id="24" name="18" totalsRowDxfId="856"/>
    <tableColumn id="25" name="19" totalsRowDxfId="855"/>
    <tableColumn id="26" name="20" totalsRowDxfId="854"/>
    <tableColumn id="27" name="21"/>
    <tableColumn id="28" name="22"/>
    <tableColumn id="29" name="23"/>
    <tableColumn id="30" name="24"/>
    <tableColumn id="31" name="25" totalsRowDxfId="853"/>
    <tableColumn id="32" name="26" totalsRowDxfId="852"/>
    <tableColumn id="33" name="27" totalsRowDxfId="851"/>
    <tableColumn id="34" name="28"/>
    <tableColumn id="35" name="29"/>
    <tableColumn id="36" name="30"/>
    <tableColumn id="5" name="31"/>
    <tableColumn id="38" name="УСЛУГ" totalsRowFunction="sum" dataDxfId="850" totalsRowDxfId="849">
      <calculatedColumnFormula>IF(Май[[#This Row],[№]]=1,SUM(Май[[#This Row],[1]:[31]])+SUM(OFFSET(Май[[#This Row],[1]:[31]],1,0))+SUM(OFFSET(Май[[#This Row],[1]:[31]],2,0)),"")</calculatedColumnFormula>
    </tableColumn>
    <tableColumn id="39" name="МИНУТ" totalsRowFunction="sum" dataDxfId="848" totalsRowDxfId="847">
      <calculatedColumnFormula>IF(Май[[#This Row],[УСЛУГ]]&lt;&gt;"",Май[[#This Row],[УСЛУГ]]*Май[[#This Row],[Объем]],"")</calculatedColumnFormula>
    </tableColumn>
  </tableColumns>
  <tableStyleInfo name="TableStyleLight15" showFirstColumn="0" showLastColumn="0" showRowStripes="1" showColumnStripes="0"/>
</table>
</file>

<file path=xl/tables/table42.xml><?xml version="1.0" encoding="utf-8"?>
<table xmlns="http://schemas.openxmlformats.org/spreadsheetml/2006/main" id="12" name="МайИтоги" displayName="МайИтоги" ref="A12:AK18" totalsRowShown="0" headerRowDxfId="846" dataDxfId="845" tableBorderDxfId="844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843"/>
    <tableColumn id="2" name="за неделю" dataDxfId="842">
      <calculatedColumnFormula>SUMPRODUCT((#REF!=1)*E16:AI16)</calculatedColumnFormula>
    </tableColumn>
    <tableColumn id="3" name="всего минут" dataDxfId="841">
      <calculatedColumnFormula>МайИтоги[[#This Row],[№]]*60</calculatedColumnFormula>
    </tableColumn>
    <tableColumn id="4" name="№" dataDxfId="840"/>
    <tableColumn id="5" name="1" dataDxfId="839">
      <calculatedColumnFormula>SUM(E10:E15)</calculatedColumnFormula>
    </tableColumn>
    <tableColumn id="6" name="2" dataDxfId="838"/>
    <tableColumn id="7" name="3" dataDxfId="837"/>
    <tableColumn id="8" name="4" dataDxfId="836"/>
    <tableColumn id="9" name="5" dataDxfId="835"/>
    <tableColumn id="10" name="6" dataDxfId="834"/>
    <tableColumn id="11" name="7" dataDxfId="833"/>
    <tableColumn id="12" name="8" dataDxfId="832"/>
    <tableColumn id="13" name="9" dataDxfId="831"/>
    <tableColumn id="14" name="10" dataDxfId="830"/>
    <tableColumn id="15" name="11" dataDxfId="829"/>
    <tableColumn id="16" name="12" dataDxfId="828"/>
    <tableColumn id="17" name="13" dataDxfId="827"/>
    <tableColumn id="18" name="14" dataDxfId="826"/>
    <tableColumn id="19" name="15" dataDxfId="825"/>
    <tableColumn id="20" name="16" dataDxfId="824"/>
    <tableColumn id="21" name="17" dataDxfId="823"/>
    <tableColumn id="22" name="18" dataDxfId="822"/>
    <tableColumn id="23" name="19" dataDxfId="821"/>
    <tableColumn id="24" name="20" dataDxfId="820"/>
    <tableColumn id="25" name="21" dataDxfId="819"/>
    <tableColumn id="26" name="22" dataDxfId="818"/>
    <tableColumn id="27" name="23" dataDxfId="817"/>
    <tableColumn id="28" name="24" dataDxfId="816"/>
    <tableColumn id="29" name="25" dataDxfId="815"/>
    <tableColumn id="30" name="26" dataDxfId="814"/>
    <tableColumn id="31" name="27" dataDxfId="813"/>
    <tableColumn id="32" name="28" dataDxfId="812"/>
    <tableColumn id="33" name="29" dataDxfId="811"/>
    <tableColumn id="34" name="30" dataDxfId="810"/>
    <tableColumn id="37" name="31" dataDxfId="809">
      <calculatedColumnFormula>SUMPRODUCT((Август[№]=1)*Август[31],Август[Объем])</calculatedColumnFormula>
    </tableColumn>
    <tableColumn id="35" name="УСЛУГ" dataDxfId="808">
      <calculatedColumnFormula>SUM(Сентябрь[УСЛУГ])</calculatedColumnFormula>
    </tableColumn>
    <tableColumn id="36" name="МИНУТ" dataDxfId="807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43.xml><?xml version="1.0" encoding="utf-8"?>
<table xmlns="http://schemas.openxmlformats.org/spreadsheetml/2006/main" id="44" name="МайГраф1" displayName="МайГраф1" ref="A13:P16" totalsRowShown="0" headerRowDxfId="803" dataDxfId="802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801">
      <calculatedColumnFormula>IF(Настройки!J2&lt;&gt;"",TEXT(MIN(Настройки!G60:AK60,Настройки!J2),"ч:мм")&amp;"-"&amp;TEXT(MAX(Настройки!G60:AK60,Настройки!J2)+TIME(0,MAX(Май!E13:AI13),0),"ч:мм"),"")</calculatedColumnFormula>
    </tableColumn>
    <tableColumn id="2" name="1" dataDxfId="800">
      <calculatedColumnFormula>IF(TEXT(IF(Настройки!G60="",TEXT(Настройки!$J2,"ч:мм"),TEXT(Настройки!G60,"ч:мм"))+TIME(0,Май!E13,0),"ч::мм")=TEXT(IF(Настройки!G60="",TEXT(Настройки!$J2,"ч:мм"),TEXT(Настройки!G60,"ч:мм")),"ч:мм"),"",TEXT(IF(Настройки!G60="",TEXT(Настройки!$J2,"ч:мм"),TEXT(Настройки!G60,"ч:мм")),"ч:мм")&amp;"-"&amp;TEXT(IF(Настройки!G60="",TEXT(Настройки!$J2,"ч:мм"),TEXT(Настройки!G60,"ч:мм"))+TIME(0,Май!E13,0),"ч::мм"))</calculatedColumnFormula>
    </tableColumn>
    <tableColumn id="3" name="2" dataDxfId="799">
      <calculatedColumnFormula>IF(TEXT(IF(Настройки!H60="",TEXT(Настройки!$J2,"ч:мм"),TEXT(Настройки!H60,"ч:мм"))+TIME(0,Май!F13,0),"ч::мм")=TEXT(IF(Настройки!H60="",TEXT(Настройки!$J2,"ч:мм"),TEXT(Настройки!H60,"ч:мм")),"ч:мм"),"",TEXT(IF(Настройки!H60="",TEXT(Настройки!$J2,"ч:мм"),TEXT(Настройки!H60,"ч:мм")),"ч:мм")&amp;"-"&amp;TEXT(IF(Настройки!H60="",TEXT(Настройки!$J2,"ч:мм"),TEXT(Настройки!H60,"ч:мм"))+TIME(0,Май!F13,0),"ч::мм"))</calculatedColumnFormula>
    </tableColumn>
    <tableColumn id="4" name="3" dataDxfId="798">
      <calculatedColumnFormula>IF(TEXT(IF(Настройки!I60="",TEXT(Настройки!$J2,"ч:мм"),TEXT(Настройки!I60,"ч:мм"))+TIME(0,Май!G13,0),"ч::мм")=TEXT(IF(Настройки!I60="",TEXT(Настройки!$J2,"ч:мм"),TEXT(Настройки!I60,"ч:мм")),"ч:мм"),"",TEXT(IF(Настройки!I60="",TEXT(Настройки!$J2,"ч:мм"),TEXT(Настройки!I60,"ч:мм")),"ч:мм")&amp;"-"&amp;TEXT(IF(Настройки!I60="",TEXT(Настройки!$J2,"ч:мм"),TEXT(Настройки!I60,"ч:мм"))+TIME(0,Май!G13,0),"ч::мм"))</calculatedColumnFormula>
    </tableColumn>
    <tableColumn id="5" name="4" dataDxfId="797">
      <calculatedColumnFormula>IF(TEXT(IF(Настройки!J60="",TEXT(Настройки!$J2,"ч:мм"),TEXT(Настройки!J60,"ч:мм"))+TIME(0,Май!H13,0),"ч::мм")=TEXT(IF(Настройки!J60="",TEXT(Настройки!$J2,"ч:мм"),TEXT(Настройки!J60,"ч:мм")),"ч:мм"),"",TEXT(IF(Настройки!J60="",TEXT(Настройки!$J2,"ч:мм"),TEXT(Настройки!J60,"ч:мм")),"ч:мм")&amp;"-"&amp;TEXT(IF(Настройки!J60="",TEXT(Настройки!$J2,"ч:мм"),TEXT(Настройки!J60,"ч:мм"))+TIME(0,Май!H13,0),"ч::мм"))</calculatedColumnFormula>
    </tableColumn>
    <tableColumn id="6" name="5" dataDxfId="796">
      <calculatedColumnFormula>IF(TEXT(IF(Настройки!K60="",TEXT(Настройки!$J2,"ч:мм"),TEXT(Настройки!K60,"ч:мм"))+TIME(0,Май!I13,0),"ч::мм")=TEXT(IF(Настройки!K60="",TEXT(Настройки!$J2,"ч:мм"),TEXT(Настройки!K60,"ч:мм")),"ч:мм"),"",TEXT(IF(Настройки!K60="",TEXT(Настройки!$J2,"ч:мм"),TEXT(Настройки!K60,"ч:мм")),"ч:мм")&amp;"-"&amp;TEXT(IF(Настройки!K60="",TEXT(Настройки!$J2,"ч:мм"),TEXT(Настройки!K60,"ч:мм"))+TIME(0,Май!I13,0),"ч::мм"))</calculatedColumnFormula>
    </tableColumn>
    <tableColumn id="7" name="6" dataDxfId="795">
      <calculatedColumnFormula>IF(TEXT(IF(Настройки!L60="",TEXT(Настройки!$J2,"ч:мм"),TEXT(Настройки!L60,"ч:мм"))+TIME(0,Май!J13,0),"ч::мм")=TEXT(IF(Настройки!L60="",TEXT(Настройки!$J2,"ч:мм"),TEXT(Настройки!L60,"ч:мм")),"ч:мм"),"",TEXT(IF(Настройки!L60="",TEXT(Настройки!$J2,"ч:мм"),TEXT(Настройки!L60,"ч:мм")),"ч:мм")&amp;"-"&amp;TEXT(IF(Настройки!L60="",TEXT(Настройки!$J2,"ч:мм"),TEXT(Настройки!L60,"ч:мм"))+TIME(0,Май!J13,0),"ч::мм"))</calculatedColumnFormula>
    </tableColumn>
    <tableColumn id="8" name="7" dataDxfId="794">
      <calculatedColumnFormula>IF(TEXT(IF(Настройки!M60="",TEXT(Настройки!$J2,"ч:мм"),TEXT(Настройки!M60,"ч:мм"))+TIME(0,Май!K13,0),"ч::мм")=TEXT(IF(Настройки!M60="",TEXT(Настройки!$J2,"ч:мм"),TEXT(Настройки!M60,"ч:мм")),"ч:мм"),"",TEXT(IF(Настройки!M60="",TEXT(Настройки!$J2,"ч:мм"),TEXT(Настройки!M60,"ч:мм")),"ч:мм")&amp;"-"&amp;TEXT(IF(Настройки!M60="",TEXT(Настройки!$J2,"ч:мм"),TEXT(Настройки!M60,"ч:мм"))+TIME(0,Май!K13,0),"ч::мм"))</calculatedColumnFormula>
    </tableColumn>
    <tableColumn id="9" name="8" dataDxfId="793">
      <calculatedColumnFormula>IF(TEXT(IF(Настройки!N60="",TEXT(Настройки!$J2,"ч:мм"),TEXT(Настройки!N60,"ч:мм"))+TIME(0,Май!L13,0),"ч::мм")=TEXT(IF(Настройки!N60="",TEXT(Настройки!$J2,"ч:мм"),TEXT(Настройки!N60,"ч:мм")),"ч:мм"),"",TEXT(IF(Настройки!N60="",TEXT(Настройки!$J2,"ч:мм"),TEXT(Настройки!N60,"ч:мм")),"ч:мм")&amp;"-"&amp;TEXT(IF(Настройки!N60="",TEXT(Настройки!$J2,"ч:мм"),TEXT(Настройки!N60,"ч:мм"))+TIME(0,Май!L13,0),"ч::мм"))</calculatedColumnFormula>
    </tableColumn>
    <tableColumn id="10" name="9" dataDxfId="792">
      <calculatedColumnFormula>IF(TEXT(IF(Настройки!O60="",TEXT(Настройки!$J2,"ч:мм"),TEXT(Настройки!O60,"ч:мм"))+TIME(0,Май!M13,0),"ч::мм")=TEXT(IF(Настройки!O60="",TEXT(Настройки!$J2,"ч:мм"),TEXT(Настройки!O60,"ч:мм")),"ч:мм"),"",TEXT(IF(Настройки!O60="",TEXT(Настройки!$J2,"ч:мм"),TEXT(Настройки!O60,"ч:мм")),"ч:мм")&amp;"-"&amp;TEXT(IF(Настройки!O60="",TEXT(Настройки!$J2,"ч:мм"),TEXT(Настройки!O60,"ч:мм"))+TIME(0,Май!M13,0),"ч::мм"))</calculatedColumnFormula>
    </tableColumn>
    <tableColumn id="11" name="10" dataDxfId="791">
      <calculatedColumnFormula>IF(TEXT(IF(Настройки!P60="",TEXT(Настройки!$J2,"ч:мм"),TEXT(Настройки!P60,"ч:мм"))+TIME(0,Май!N13,0),"ч::мм")=TEXT(IF(Настройки!P60="",TEXT(Настройки!$J2,"ч:мм"),TEXT(Настройки!P60,"ч:мм")),"ч:мм"),"",TEXT(IF(Настройки!P60="",TEXT(Настройки!$J2,"ч:мм"),TEXT(Настройки!P60,"ч:мм")),"ч:мм")&amp;"-"&amp;TEXT(IF(Настройки!P60="",TEXT(Настройки!$J2,"ч:мм"),TEXT(Настройки!P60,"ч:мм"))+TIME(0,Май!N13,0),"ч::мм"))</calculatedColumnFormula>
    </tableColumn>
    <tableColumn id="12" name="11" dataDxfId="790">
      <calculatedColumnFormula>IF(TEXT(IF(Настройки!Q60="",TEXT(Настройки!$J2,"ч:мм"),TEXT(Настройки!Q60,"ч:мм"))+TIME(0,Май!O13,0),"ч::мм")=TEXT(IF(Настройки!Q60="",TEXT(Настройки!$J2,"ч:мм"),TEXT(Настройки!Q60,"ч:мм")),"ч:мм"),"",TEXT(IF(Настройки!Q60="",TEXT(Настройки!$J2,"ч:мм"),TEXT(Настройки!Q60,"ч:мм")),"ч:мм")&amp;"-"&amp;TEXT(IF(Настройки!Q60="",TEXT(Настройки!$J2,"ч:мм"),TEXT(Настройки!Q60,"ч:мм"))+TIME(0,Май!O13,0),"ч::мм"))</calculatedColumnFormula>
    </tableColumn>
    <tableColumn id="13" name="12" dataDxfId="789">
      <calculatedColumnFormula>IF(TEXT(IF(Настройки!R60="",TEXT(Настройки!$J2,"ч:мм"),TEXT(Настройки!R60,"ч:мм"))+TIME(0,Май!P13,0),"ч::мм")=TEXT(IF(Настройки!R60="",TEXT(Настройки!$J2,"ч:мм"),TEXT(Настройки!R60,"ч:мм")),"ч:мм"),"",TEXT(IF(Настройки!R60="",TEXT(Настройки!$J2,"ч:мм"),TEXT(Настройки!R60,"ч:мм")),"ч:мм")&amp;"-"&amp;TEXT(IF(Настройки!R60="",TEXT(Настройки!$J2,"ч:мм"),TEXT(Настройки!R60,"ч:мм"))+TIME(0,Май!P13,0),"ч::мм"))</calculatedColumnFormula>
    </tableColumn>
    <tableColumn id="14" name="13" dataDxfId="788">
      <calculatedColumnFormula>IF(TEXT(IF(Настройки!S60="",TEXT(Настройки!$J2,"ч:мм"),TEXT(Настройки!S60,"ч:мм"))+TIME(0,Май!Q13,0),"ч::мм")=TEXT(IF(Настройки!S60="",TEXT(Настройки!$J2,"ч:мм"),TEXT(Настройки!S60,"ч:мм")),"ч:мм"),"",TEXT(IF(Настройки!S60="",TEXT(Настройки!$J2,"ч:мм"),TEXT(Настройки!S60,"ч:мм")),"ч:мм")&amp;"-"&amp;TEXT(IF(Настройки!S60="",TEXT(Настройки!$J2,"ч:мм"),TEXT(Настройки!S60,"ч:мм"))+TIME(0,Май!Q13,0),"ч::мм"))</calculatedColumnFormula>
    </tableColumn>
    <tableColumn id="15" name="14" dataDxfId="787">
      <calculatedColumnFormula>IF(TEXT(IF(Настройки!T60="",TEXT(Настройки!$J2,"ч:мм"),TEXT(Настройки!T60,"ч:мм"))+TIME(0,Май!R13,0),"ч::мм")=TEXT(IF(Настройки!T60="",TEXT(Настройки!$J2,"ч:мм"),TEXT(Настройки!T60,"ч:мм")),"ч:мм"),"",TEXT(IF(Настройки!T60="",TEXT(Настройки!$J2,"ч:мм"),TEXT(Настройки!T60,"ч:мм")),"ч:мм")&amp;"-"&amp;TEXT(IF(Настройки!T60="",TEXT(Настройки!$J2,"ч:мм"),TEXT(Настройки!T60,"ч:мм"))+TIME(0,Май!R13,0),"ч::мм"))</calculatedColumnFormula>
    </tableColumn>
    <tableColumn id="16" name="15" dataDxfId="786">
      <calculatedColumnFormula>IF(TEXT(IF(Настройки!U60="",TEXT(Настройки!$J2,"ч:мм"),TEXT(Настройки!U60,"ч:мм"))+TIME(0,Май!S13,0),"ч::мм")=TEXT(IF(Настройки!U60="",TEXT(Настройки!$J2,"ч:мм"),TEXT(Настройки!U60,"ч:мм")),"ч:мм"),"",TEXT(IF(Настройки!U60="",TEXT(Настройки!$J2,"ч:мм"),TEXT(Настройки!U60,"ч:мм")),"ч:мм")&amp;"-"&amp;TEXT(IF(Настройки!U60="",TEXT(Настройки!$J2,"ч:мм"),TEXT(Настройки!U60,"ч:мм"))+TIME(0,Май!S13,0),"ч::мм"))</calculatedColumnFormula>
    </tableColumn>
  </tableColumns>
  <tableStyleInfo name="TableStyleLight15" showFirstColumn="0" showLastColumn="0" showRowStripes="0" showColumnStripes="1"/>
</table>
</file>

<file path=xl/tables/table44.xml><?xml version="1.0" encoding="utf-8"?>
<table xmlns="http://schemas.openxmlformats.org/spreadsheetml/2006/main" id="45" name="МайГраф2" displayName="МайГраф2" ref="A23:P26" totalsRowShown="0" headerRowDxfId="785" dataDxfId="784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783">
      <calculatedColumnFormula>A14</calculatedColumnFormula>
    </tableColumn>
    <tableColumn id="2" name="16" dataDxfId="782">
      <calculatedColumnFormula>IF(TEXT(IF(Настройки!V60="",TEXT(Настройки!$J2,"ч:мм"),TEXT(Настройки!V60,"ч:мм"))+TIME(0,Май!T13,0),"ч::мм")=TEXT(IF(Настройки!V60="",TEXT(Настройки!$J2,"ч:мм"),TEXT(Настройки!V60,"ч:мм")),"ч:мм"),"",TEXT(IF(Настройки!V60="",TEXT(Настройки!$J2,"ч:мм"),TEXT(Настройки!V60,"ч:мм")),"ч:мм")&amp;"-"&amp;TEXT(IF(Настройки!V60="",TEXT(Настройки!$J2,"ч:мм"),TEXT(Настройки!V60,"ч:мм"))+TIME(0,Май!T13,0),"ч::мм"))</calculatedColumnFormula>
    </tableColumn>
    <tableColumn id="3" name="17" dataDxfId="781">
      <calculatedColumnFormula>IF(TEXT(IF(Настройки!W60="",TEXT(Настройки!$J2,"ч:мм"),TEXT(Настройки!W60,"ч:мм"))+TIME(0,Май!U13,0),"ч::мм")=TEXT(IF(Настройки!W60="",TEXT(Настройки!$J2,"ч:мм"),TEXT(Настройки!W60,"ч:мм")),"ч:мм"),"",TEXT(IF(Настройки!W60="",TEXT(Настройки!$J2,"ч:мм"),TEXT(Настройки!W60,"ч:мм")),"ч:мм")&amp;"-"&amp;TEXT(IF(Настройки!W60="",TEXT(Настройки!$J2,"ч:мм"),TEXT(Настройки!W60,"ч:мм"))+TIME(0,Май!U13,0),"ч::мм"))</calculatedColumnFormula>
    </tableColumn>
    <tableColumn id="4" name="18" dataDxfId="780">
      <calculatedColumnFormula>IF(TEXT(IF(Настройки!X60="",TEXT(Настройки!$J2,"ч:мм"),TEXT(Настройки!X60,"ч:мм"))+TIME(0,Май!V13,0),"ч::мм")=TEXT(IF(Настройки!X60="",TEXT(Настройки!$J2,"ч:мм"),TEXT(Настройки!X60,"ч:мм")),"ч:мм"),"",TEXT(IF(Настройки!X60="",TEXT(Настройки!$J2,"ч:мм"),TEXT(Настройки!X60,"ч:мм")),"ч:мм")&amp;"-"&amp;TEXT(IF(Настройки!X60="",TEXT(Настройки!$J2,"ч:мм"),TEXT(Настройки!X60,"ч:мм"))+TIME(0,Май!V13,0),"ч::мм"))</calculatedColumnFormula>
    </tableColumn>
    <tableColumn id="5" name="19" dataDxfId="779">
      <calculatedColumnFormula>IF(TEXT(IF(Настройки!Y60="",TEXT(Настройки!$J2,"ч:мм"),TEXT(Настройки!Y60,"ч:мм"))+TIME(0,Май!W13,0),"ч::мм")=TEXT(IF(Настройки!Y60="",TEXT(Настройки!$J2,"ч:мм"),TEXT(Настройки!Y60,"ч:мм")),"ч:мм"),"",TEXT(IF(Настройки!Y60="",TEXT(Настройки!$J2,"ч:мм"),TEXT(Настройки!Y60,"ч:мм")),"ч:мм")&amp;"-"&amp;TEXT(IF(Настройки!Y60="",TEXT(Настройки!$J2,"ч:мм"),TEXT(Настройки!Y60,"ч:мм"))+TIME(0,Май!W13,0),"ч::мм"))</calculatedColumnFormula>
    </tableColumn>
    <tableColumn id="6" name="20" dataDxfId="778">
      <calculatedColumnFormula>IF(TEXT(IF(Настройки!Z60="",TEXT(Настройки!$J2,"ч:мм"),TEXT(Настройки!Z60,"ч:мм"))+TIME(0,Май!X13,0),"ч::мм")=TEXT(IF(Настройки!Z60="",TEXT(Настройки!$J2,"ч:мм"),TEXT(Настройки!Z60,"ч:мм")),"ч:мм"),"",TEXT(IF(Настройки!Z60="",TEXT(Настройки!$J2,"ч:мм"),TEXT(Настройки!Z60,"ч:мм")),"ч:мм")&amp;"-"&amp;TEXT(IF(Настройки!Z60="",TEXT(Настройки!$J2,"ч:мм"),TEXT(Настройки!Z60,"ч:мм"))+TIME(0,Май!X13,0),"ч::мм"))</calculatedColumnFormula>
    </tableColumn>
    <tableColumn id="7" name="21" dataDxfId="777">
      <calculatedColumnFormula>IF(TEXT(IF(Настройки!AA60="",TEXT(Настройки!$J2,"ч:мм"),TEXT(Настройки!AA60,"ч:мм"))+TIME(0,Май!Y13,0),"ч::мм")=TEXT(IF(Настройки!AA60="",TEXT(Настройки!$J2,"ч:мм"),TEXT(Настройки!AA60,"ч:мм")),"ч:мм"),"",TEXT(IF(Настройки!AA60="",TEXT(Настройки!$J2,"ч:мм"),TEXT(Настройки!AA60,"ч:мм")),"ч:мм")&amp;"-"&amp;TEXT(IF(Настройки!AA60="",TEXT(Настройки!$J2,"ч:мм"),TEXT(Настройки!AA60,"ч:мм"))+TIME(0,Май!Y13,0),"ч::мм"))</calculatedColumnFormula>
    </tableColumn>
    <tableColumn id="8" name="22" dataDxfId="776">
      <calculatedColumnFormula>IF(TEXT(IF(Настройки!AB60="",TEXT(Настройки!$J2,"ч:мм"),TEXT(Настройки!AB60,"ч:мм"))+TIME(0,Май!Z13,0),"ч::мм")=TEXT(IF(Настройки!AB60="",TEXT(Настройки!$J2,"ч:мм"),TEXT(Настройки!AB60,"ч:мм")),"ч:мм"),"",TEXT(IF(Настройки!AB60="",TEXT(Настройки!$J2,"ч:мм"),TEXT(Настройки!AB60,"ч:мм")),"ч:мм")&amp;"-"&amp;TEXT(IF(Настройки!AB60="",TEXT(Настройки!$J2,"ч:мм"),TEXT(Настройки!AB60,"ч:мм"))+TIME(0,Май!Z13,0),"ч::мм"))</calculatedColumnFormula>
    </tableColumn>
    <tableColumn id="9" name="23" dataDxfId="775">
      <calculatedColumnFormula>IF(TEXT(IF(Настройки!AC60="",TEXT(Настройки!$J2,"ч:мм"),TEXT(Настройки!AC60,"ч:мм"))+TIME(0,Май!AA13,0),"ч::мм")=TEXT(IF(Настройки!AC60="",TEXT(Настройки!$J2,"ч:мм"),TEXT(Настройки!AC60,"ч:мм")),"ч:мм"),"",TEXT(IF(Настройки!AC60="",TEXT(Настройки!$J2,"ч:мм"),TEXT(Настройки!AC60,"ч:мм")),"ч:мм")&amp;"-"&amp;TEXT(IF(Настройки!AC60="",TEXT(Настройки!$J2,"ч:мм"),TEXT(Настройки!AC60,"ч:мм"))+TIME(0,Май!AA13,0),"ч::мм"))</calculatedColumnFormula>
    </tableColumn>
    <tableColumn id="10" name="24" dataDxfId="774">
      <calculatedColumnFormula>IF(TEXT(IF(Настройки!AD60="",TEXT(Настройки!$J2,"ч:мм"),TEXT(Настройки!AD60,"ч:мм"))+TIME(0,Май!AB13,0),"ч::мм")=TEXT(IF(Настройки!AD60="",TEXT(Настройки!$J2,"ч:мм"),TEXT(Настройки!AD60,"ч:мм")),"ч:мм"),"",TEXT(IF(Настройки!AD60="",TEXT(Настройки!$J2,"ч:мм"),TEXT(Настройки!AD60,"ч:мм")),"ч:мм")&amp;"-"&amp;TEXT(IF(Настройки!AD60="",TEXT(Настройки!$J2,"ч:мм"),TEXT(Настройки!AD60,"ч:мм"))+TIME(0,Май!AB13,0),"ч::мм"))</calculatedColumnFormula>
    </tableColumn>
    <tableColumn id="11" name="25" dataDxfId="773">
      <calculatedColumnFormula>IF(TEXT(IF(Настройки!AE60="",TEXT(Настройки!$J2,"ч:мм"),TEXT(Настройки!AE60,"ч:мм"))+TIME(0,Май!AC13,0),"ч::мм")=TEXT(IF(Настройки!AE60="",TEXT(Настройки!$J2,"ч:мм"),TEXT(Настройки!AE60,"ч:мм")),"ч:мм"),"",TEXT(IF(Настройки!AE60="",TEXT(Настройки!$J2,"ч:мм"),TEXT(Настройки!AE60,"ч:мм")),"ч:мм")&amp;"-"&amp;TEXT(IF(Настройки!AE60="",TEXT(Настройки!$J2,"ч:мм"),TEXT(Настройки!AE60,"ч:мм"))+TIME(0,Май!AC13,0),"ч::мм"))</calculatedColumnFormula>
    </tableColumn>
    <tableColumn id="12" name="26" dataDxfId="772">
      <calculatedColumnFormula>IF(TEXT(IF(Настройки!AF60="",TEXT(Настройки!$J2,"ч:мм"),TEXT(Настройки!AF60,"ч:мм"))+TIME(0,Май!AD13,0),"ч::мм")=TEXT(IF(Настройки!AF60="",TEXT(Настройки!$J2,"ч:мм"),TEXT(Настройки!AF60,"ч:мм")),"ч:мм"),"",TEXT(IF(Настройки!AF60="",TEXT(Настройки!$J2,"ч:мм"),TEXT(Настройки!AF60,"ч:мм")),"ч:мм")&amp;"-"&amp;TEXT(IF(Настройки!AF60="",TEXT(Настройки!$J2,"ч:мм"),TEXT(Настройки!AF60,"ч:мм"))+TIME(0,Май!AD13,0),"ч::мм"))</calculatedColumnFormula>
    </tableColumn>
    <tableColumn id="13" name="27" dataDxfId="771">
      <calculatedColumnFormula>IF(TEXT(IF(Настройки!AG60="",TEXT(Настройки!$J2,"ч:мм"),TEXT(Настройки!AG60,"ч:мм"))+TIME(0,Май!AE13,0),"ч::мм")=TEXT(IF(Настройки!AG60="",TEXT(Настройки!$J2,"ч:мм"),TEXT(Настройки!AG60,"ч:мм")),"ч:мм"),"",TEXT(IF(Настройки!AG60="",TEXT(Настройки!$J2,"ч:мм"),TEXT(Настройки!AG60,"ч:мм")),"ч:мм")&amp;"-"&amp;TEXT(IF(Настройки!AG60="",TEXT(Настройки!$J2,"ч:мм"),TEXT(Настройки!AG60,"ч:мм"))+TIME(0,Май!AE13,0),"ч::мм"))</calculatedColumnFormula>
    </tableColumn>
    <tableColumn id="14" name="28" dataDxfId="770">
      <calculatedColumnFormula>IF(TEXT(IF(Настройки!AH60="",TEXT(Настройки!$J2,"ч:мм"),TEXT(Настройки!AH60,"ч:мм"))+TIME(0,Май!AF13,0),"ч::мм")=TEXT(IF(Настройки!AH60="",TEXT(Настройки!$J2,"ч:мм"),TEXT(Настройки!AH60,"ч:мм")),"ч:мм"),"",TEXT(IF(Настройки!AH60="",TEXT(Настройки!$J2,"ч:мм"),TEXT(Настройки!AH60,"ч:мм")),"ч:мм")&amp;"-"&amp;TEXT(IF(Настройки!AH60="",TEXT(Настройки!$J2,"ч:мм"),TEXT(Настройки!AH60,"ч:мм"))+TIME(0,Май!AF13,0),"ч::мм"))</calculatedColumnFormula>
    </tableColumn>
    <tableColumn id="15" name="29" dataDxfId="769">
      <calculatedColumnFormula>IF(TEXT(IF(Настройки!AI60="",TEXT(Настройки!$J2,"ч:мм"),TEXT(Настройки!AI60,"ч:мм"))+TIME(0,Май!AG13,0),"ч::мм")=TEXT(IF(Настройки!AI60="",TEXT(Настройки!$J2,"ч:мм"),TEXT(Настройки!AI60,"ч:мм")),"ч:мм"),"",TEXT(IF(Настройки!AI60="",TEXT(Настройки!$J2,"ч:мм"),TEXT(Настройки!AI60,"ч:мм")),"ч:мм")&amp;"-"&amp;TEXT(IF(Настройки!AI60="",TEXT(Настройки!$J2,"ч:мм"),TEXT(Настройки!AI60,"ч:мм"))+TIME(0,Май!AG13,0),"ч::мм"))</calculatedColumnFormula>
    </tableColumn>
    <tableColumn id="16" name="30" dataDxfId="768">
      <calculatedColumnFormula>IF(TEXT(IF(Настройки!AJ60="",TEXT(Настройки!$J2,"ч:мм"),TEXT(Настройки!AJ60,"ч:мм"))+TIME(0,Май!AH13,0),"ч::мм")=TEXT(IF(Настройки!AJ60="",TEXT(Настройки!$J2,"ч:мм"),TEXT(Настройки!AJ60,"ч:мм")),"ч:мм"),"",TEXT(IF(Настройки!AJ60="",TEXT(Настройки!$J2,"ч:мм"),TEXT(Настройки!AJ60,"ч:мм")),"ч:мм")&amp;"-"&amp;TEXT(IF(Настройки!AJ60="",TEXT(Настройки!$J2,"ч:мм"),TEXT(Настройки!AJ60,"ч:мм"))+TIME(0,Май!AH13,0),"ч::мм"))</calculatedColumnFormula>
    </tableColumn>
  </tableColumns>
  <tableStyleInfo name="TableStyleLight15" showFirstColumn="0" showLastColumn="0" showRowStripes="0" showColumnStripes="1"/>
</table>
</file>

<file path=xl/tables/table45.xml><?xml version="1.0" encoding="utf-8"?>
<table xmlns="http://schemas.openxmlformats.org/spreadsheetml/2006/main" id="46" name="МайГраф3" displayName="МайГраф3" ref="A33:B36" totalsRowShown="0" headerRowDxfId="767" dataDxfId="766" tableBorderDxfId="765">
  <autoFilter ref="A33:B36">
    <filterColumn colId="0" hiddenButton="1"/>
    <filterColumn colId="1" hiddenButton="1"/>
  </autoFilter>
  <tableColumns count="2">
    <tableColumn id="1" name="Посещение" dataDxfId="764">
      <calculatedColumnFormula>A14</calculatedColumnFormula>
    </tableColumn>
    <tableColumn id="2" name="31" dataDxfId="763">
      <calculatedColumnFormula>IF(TEXT(IF(Настройки!AK60="",TEXT(Настройки!$J2,"ч:мм"),TEXT(Настройки!AK60,"ч:мм"))+TIME(0,Май!AI13,0),"ч::мм")=TEXT(IF(Настройки!AK60="",TEXT(Настройки!$J2,"ч:мм"),TEXT(Настройки!AK60,"ч:мм")),"ч:мм"),"",TEXT(IF(Настройки!AK60="",TEXT(Настройки!$J2,"ч:мм"),TEXT(Настройки!AK60,"ч:мм")),"ч:мм")&amp;"-"&amp;TEXT(IF(Настройки!AK60="",TEXT(Настройки!$J2,"ч:мм"),TEXT(Настройки!AK60,"ч:мм"))+TIME(0,Май!AI13,0),"ч::мм"))</calculatedColumnFormula>
    </tableColumn>
  </tableColumns>
  <tableStyleInfo name="TableStyleLight15" showFirstColumn="0" showLastColumn="0" showRowStripes="0" showColumnStripes="1"/>
</table>
</file>

<file path=xl/tables/table46.xml><?xml version="1.0" encoding="utf-8"?>
<table xmlns="http://schemas.openxmlformats.org/spreadsheetml/2006/main" id="9" name="Июнь" displayName="Июнь" ref="A25:AJ28" headerRowDxfId="760" dataDxfId="759" totalsRowDxfId="758">
  <autoFilter ref="A25:AJ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Услуга" totalsRowLabel="Итог" dataDxfId="757"/>
    <tableColumn id="2" name="Периодичность" dataDxfId="756" totalsRowDxfId="755">
      <calculatedColumnFormula>IF(Январь[[#This Row],[Периодичность]]&lt;&gt;"",Январь[[#This Row],[Периодичность]],"")</calculatedColumnFormula>
    </tableColumn>
    <tableColumn id="3" name="Объем" dataDxfId="754" totalsRowDxfId="753">
      <calculatedColumnFormula>IF(Январь[[#This Row],[Объем]]&lt;&gt;"",Январь[[#This Row],[Объем]],"")</calculatedColumnFormula>
    </tableColumn>
    <tableColumn id="4" name="№" dataDxfId="752" totalsRowDxfId="751"/>
    <tableColumn id="7" name="1"/>
    <tableColumn id="8" name="2"/>
    <tableColumn id="9" name="3"/>
    <tableColumn id="10" name="4" totalsRowDxfId="750"/>
    <tableColumn id="11" name="5" totalsRowDxfId="749"/>
    <tableColumn id="12" name="6" totalsRowDxfId="748"/>
    <tableColumn id="13" name="7"/>
    <tableColumn id="14" name="8"/>
    <tableColumn id="15" name="9"/>
    <tableColumn id="16" name="10"/>
    <tableColumn id="17" name="11" totalsRowDxfId="747"/>
    <tableColumn id="18" name="12" totalsRowDxfId="746"/>
    <tableColumn id="19" name="13" totalsRowDxfId="745"/>
    <tableColumn id="20" name="14"/>
    <tableColumn id="21" name="15"/>
    <tableColumn id="22" name="16"/>
    <tableColumn id="23" name="17"/>
    <tableColumn id="24" name="18" totalsRowDxfId="744"/>
    <tableColumn id="25" name="19" totalsRowDxfId="743"/>
    <tableColumn id="26" name="20" totalsRowDxfId="742"/>
    <tableColumn id="27" name="21"/>
    <tableColumn id="28" name="22"/>
    <tableColumn id="29" name="23"/>
    <tableColumn id="30" name="24"/>
    <tableColumn id="31" name="25" totalsRowDxfId="741"/>
    <tableColumn id="32" name="26" totalsRowDxfId="740"/>
    <tableColumn id="33" name="27" totalsRowDxfId="739"/>
    <tableColumn id="34" name="28"/>
    <tableColumn id="35" name="29"/>
    <tableColumn id="36" name="30"/>
    <tableColumn id="38" name="УСЛУГ" totalsRowFunction="sum" dataDxfId="738" totalsRowDxfId="737">
      <calculatedColumnFormula>IF(Июнь[[#This Row],[№]]=1,SUM(Июнь[[#This Row],[1]:[30]])+SUM(OFFSET(Июнь[[#This Row],[1]:[30]],1,0))+SUM(OFFSET(Июнь[[#This Row],[1]:[30]],2,0)),"")</calculatedColumnFormula>
    </tableColumn>
    <tableColumn id="39" name="МИНУТ" totalsRowFunction="sum" dataDxfId="736" totalsRowDxfId="735">
      <calculatedColumnFormula>IF(Июнь[[#This Row],[УСЛУГ]]&lt;&gt;"",Июнь[[#This Row],[УСЛУГ]]*Июнь[[#This Row],[Объем]],"")</calculatedColumnFormula>
    </tableColumn>
  </tableColumns>
  <tableStyleInfo name="TableStyleLight15" showFirstColumn="0" showLastColumn="0" showRowStripes="1" showColumnStripes="0"/>
</table>
</file>

<file path=xl/tables/table47.xml><?xml version="1.0" encoding="utf-8"?>
<table xmlns="http://schemas.openxmlformats.org/spreadsheetml/2006/main" id="10" name="ИюньИтоги" displayName="ИюньИтоги" ref="A12:AJ18" totalsRowShown="0" headerRowDxfId="734" dataDxfId="733" tableBorderDxfId="732">
  <autoFilter ref="A12:AJ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периодичность" dataDxfId="731"/>
    <tableColumn id="2" name="за неделю" dataDxfId="730">
      <calculatedColumnFormula>SUM(H24:L24)</calculatedColumnFormula>
    </tableColumn>
    <tableColumn id="3" name="всего минут" dataDxfId="729">
      <calculatedColumnFormula>ИюньИтоги[[#This Row],[№]]*60</calculatedColumnFormula>
    </tableColumn>
    <tableColumn id="4" name="№" dataDxfId="728"/>
    <tableColumn id="5" name="1" dataDxfId="727">
      <calculatedColumnFormula>SUM(E10:E20)</calculatedColumnFormula>
    </tableColumn>
    <tableColumn id="6" name="2" dataDxfId="726"/>
    <tableColumn id="7" name="3" dataDxfId="725"/>
    <tableColumn id="8" name="4" dataDxfId="724"/>
    <tableColumn id="9" name="5" dataDxfId="723"/>
    <tableColumn id="10" name="6" dataDxfId="722"/>
    <tableColumn id="11" name="7" dataDxfId="721"/>
    <tableColumn id="12" name="8" dataDxfId="720"/>
    <tableColumn id="13" name="9" dataDxfId="719"/>
    <tableColumn id="14" name="10" dataDxfId="718"/>
    <tableColumn id="15" name="11" dataDxfId="717"/>
    <tableColumn id="16" name="12" dataDxfId="716"/>
    <tableColumn id="17" name="13" dataDxfId="715"/>
    <tableColumn id="18" name="14" dataDxfId="714"/>
    <tableColumn id="19" name="15" dataDxfId="713"/>
    <tableColumn id="20" name="16" dataDxfId="712"/>
    <tableColumn id="21" name="17" dataDxfId="711"/>
    <tableColumn id="22" name="18" dataDxfId="710"/>
    <tableColumn id="23" name="19" dataDxfId="709"/>
    <tableColumn id="24" name="20" dataDxfId="708"/>
    <tableColumn id="25" name="21" dataDxfId="707"/>
    <tableColumn id="26" name="22" dataDxfId="706"/>
    <tableColumn id="27" name="23" dataDxfId="705"/>
    <tableColumn id="28" name="24" dataDxfId="704"/>
    <tableColumn id="29" name="25" dataDxfId="703"/>
    <tableColumn id="30" name="26" dataDxfId="702"/>
    <tableColumn id="31" name="27" dataDxfId="701"/>
    <tableColumn id="32" name="28" dataDxfId="700"/>
    <tableColumn id="33" name="29" dataDxfId="699"/>
    <tableColumn id="34" name="30" dataDxfId="698"/>
    <tableColumn id="35" name="УСЛУГ" dataDxfId="697">
      <calculatedColumnFormula>SUM(Сентябрь[УСЛУГ])</calculatedColumnFormula>
    </tableColumn>
    <tableColumn id="36" name="МИНУТ" dataDxfId="696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48.xml><?xml version="1.0" encoding="utf-8"?>
<table xmlns="http://schemas.openxmlformats.org/spreadsheetml/2006/main" id="47" name="ИюньГраф1" displayName="ИюньГраф1" ref="A13:P16" totalsRowShown="0" headerRowDxfId="693" dataDxfId="692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691">
      <calculatedColumnFormula>IF(Настройки!J2&lt;&gt;"",TEXT(MIN(Настройки!G66:AJ66,Настройки!J2),"ч:мм")&amp;"-"&amp;TEXT(MAX(Настройки!G66:AJ66,Настройки!J2)+TIME(0,MAX(Июнь!E13:AH13),0),"ч:мм"),"")</calculatedColumnFormula>
    </tableColumn>
    <tableColumn id="2" name="1" dataDxfId="690">
      <calculatedColumnFormula>IF(TEXT(IF(Настройки!G66="",TEXT(Настройки!$J2,"ч:мм"),TEXT(Настройки!G66,"ч:мм"))+TIME(0,Июнь!E13,0),"ч::мм")=TEXT(IF(Настройки!G66="",TEXT(Настройки!$J2,"ч:мм"),TEXT(Настройки!G66,"ч:мм")),"ч:мм"),"",TEXT(IF(Настройки!G66="",TEXT(Настройки!$J2,"ч:мм"),TEXT(Настройки!G66,"ч:мм")),"ч:мм")&amp;"-"&amp;TEXT(IF(Настройки!G66="",TEXT(Настройки!$J2,"ч:мм"),TEXT(Настройки!G66,"ч:мм"))+TIME(0,Июнь!E13,0),"ч::мм"))</calculatedColumnFormula>
    </tableColumn>
    <tableColumn id="3" name="2" dataDxfId="689">
      <calculatedColumnFormula>IF(TEXT(IF(Настройки!H66="",TEXT(Настройки!$J2,"ч:мм"),TEXT(Настройки!H66,"ч:мм"))+TIME(0,Июнь!F13,0),"ч::мм")=TEXT(IF(Настройки!H66="",TEXT(Настройки!$J2,"ч:мм"),TEXT(Настройки!H66,"ч:мм")),"ч:мм"),"",TEXT(IF(Настройки!H66="",TEXT(Настройки!$J2,"ч:мм"),TEXT(Настройки!H66,"ч:мм")),"ч:мм")&amp;"-"&amp;TEXT(IF(Настройки!H66="",TEXT(Настройки!$J2,"ч:мм"),TEXT(Настройки!H66,"ч:мм"))+TIME(0,Июнь!F13,0),"ч::мм"))</calculatedColumnFormula>
    </tableColumn>
    <tableColumn id="4" name="3" dataDxfId="688">
      <calculatedColumnFormula>IF(TEXT(IF(Настройки!I66="",TEXT(Настройки!$J2,"ч:мм"),TEXT(Настройки!I66,"ч:мм"))+TIME(0,Июнь!G13,0),"ч::мм")=TEXT(IF(Настройки!I66="",TEXT(Настройки!$J2,"ч:мм"),TEXT(Настройки!I66,"ч:мм")),"ч:мм"),"",TEXT(IF(Настройки!I66="",TEXT(Настройки!$J2,"ч:мм"),TEXT(Настройки!I66,"ч:мм")),"ч:мм")&amp;"-"&amp;TEXT(IF(Настройки!I66="",TEXT(Настройки!$J2,"ч:мм"),TEXT(Настройки!I66,"ч:мм"))+TIME(0,Июнь!G13,0),"ч::мм"))</calculatedColumnFormula>
    </tableColumn>
    <tableColumn id="5" name="4" dataDxfId="687">
      <calculatedColumnFormula>IF(TEXT(IF(Настройки!J66="",TEXT(Настройки!$J2,"ч:мм"),TEXT(Настройки!J66,"ч:мм"))+TIME(0,Июнь!H13,0),"ч::мм")=TEXT(IF(Настройки!J66="",TEXT(Настройки!$J2,"ч:мм"),TEXT(Настройки!J66,"ч:мм")),"ч:мм"),"",TEXT(IF(Настройки!J66="",TEXT(Настройки!$J2,"ч:мм"),TEXT(Настройки!J66,"ч:мм")),"ч:мм")&amp;"-"&amp;TEXT(IF(Настройки!J66="",TEXT(Настройки!$J2,"ч:мм"),TEXT(Настройки!J66,"ч:мм"))+TIME(0,Июнь!H13,0),"ч::мм"))</calculatedColumnFormula>
    </tableColumn>
    <tableColumn id="6" name="5" dataDxfId="686">
      <calculatedColumnFormula>IF(TEXT(IF(Настройки!K66="",TEXT(Настройки!$J2,"ч:мм"),TEXT(Настройки!K66,"ч:мм"))+TIME(0,Июнь!I13,0),"ч::мм")=TEXT(IF(Настройки!K66="",TEXT(Настройки!$J2,"ч:мм"),TEXT(Настройки!K66,"ч:мм")),"ч:мм"),"",TEXT(IF(Настройки!K66="",TEXT(Настройки!$J2,"ч:мм"),TEXT(Настройки!K66,"ч:мм")),"ч:мм")&amp;"-"&amp;TEXT(IF(Настройки!K66="",TEXT(Настройки!$J2,"ч:мм"),TEXT(Настройки!K66,"ч:мм"))+TIME(0,Июнь!I13,0),"ч::мм"))</calculatedColumnFormula>
    </tableColumn>
    <tableColumn id="7" name="6" dataDxfId="685">
      <calculatedColumnFormula>IF(TEXT(IF(Настройки!L66="",TEXT(Настройки!$J2,"ч:мм"),TEXT(Настройки!L66,"ч:мм"))+TIME(0,Июнь!J13,0),"ч::мм")=TEXT(IF(Настройки!L66="",TEXT(Настройки!$J2,"ч:мм"),TEXT(Настройки!L66,"ч:мм")),"ч:мм"),"",TEXT(IF(Настройки!L66="",TEXT(Настройки!$J2,"ч:мм"),TEXT(Настройки!L66,"ч:мм")),"ч:мм")&amp;"-"&amp;TEXT(IF(Настройки!L66="",TEXT(Настройки!$J2,"ч:мм"),TEXT(Настройки!L66,"ч:мм"))+TIME(0,Июнь!J13,0),"ч::мм"))</calculatedColumnFormula>
    </tableColumn>
    <tableColumn id="8" name="7" dataDxfId="684">
      <calculatedColumnFormula>IF(TEXT(IF(Настройки!M66="",TEXT(Настройки!$J2,"ч:мм"),TEXT(Настройки!M66,"ч:мм"))+TIME(0,Июнь!K13,0),"ч::мм")=TEXT(IF(Настройки!M66="",TEXT(Настройки!$J2,"ч:мм"),TEXT(Настройки!M66,"ч:мм")),"ч:мм"),"",TEXT(IF(Настройки!M66="",TEXT(Настройки!$J2,"ч:мм"),TEXT(Настройки!M66,"ч:мм")),"ч:мм")&amp;"-"&amp;TEXT(IF(Настройки!M66="",TEXT(Настройки!$J2,"ч:мм"),TEXT(Настройки!M66,"ч:мм"))+TIME(0,Июнь!K13,0),"ч::мм"))</calculatedColumnFormula>
    </tableColumn>
    <tableColumn id="9" name="8" dataDxfId="683">
      <calculatedColumnFormula>IF(TEXT(IF(Настройки!N66="",TEXT(Настройки!$J2,"ч:мм"),TEXT(Настройки!N66,"ч:мм"))+TIME(0,Июнь!L13,0),"ч::мм")=TEXT(IF(Настройки!N66="",TEXT(Настройки!$J2,"ч:мм"),TEXT(Настройки!N66,"ч:мм")),"ч:мм"),"",TEXT(IF(Настройки!N66="",TEXT(Настройки!$J2,"ч:мм"),TEXT(Настройки!N66,"ч:мм")),"ч:мм")&amp;"-"&amp;TEXT(IF(Настройки!N66="",TEXT(Настройки!$J2,"ч:мм"),TEXT(Настройки!N66,"ч:мм"))+TIME(0,Июнь!L13,0),"ч::мм"))</calculatedColumnFormula>
    </tableColumn>
    <tableColumn id="10" name="9" dataDxfId="682">
      <calculatedColumnFormula>IF(TEXT(IF(Настройки!O66="",TEXT(Настройки!$J2,"ч:мм"),TEXT(Настройки!O66,"ч:мм"))+TIME(0,Июнь!M13,0),"ч::мм")=TEXT(IF(Настройки!O66="",TEXT(Настройки!$J2,"ч:мм"),TEXT(Настройки!O66,"ч:мм")),"ч:мм"),"",TEXT(IF(Настройки!O66="",TEXT(Настройки!$J2,"ч:мм"),TEXT(Настройки!O66,"ч:мм")),"ч:мм")&amp;"-"&amp;TEXT(IF(Настройки!O66="",TEXT(Настройки!$J2,"ч:мм"),TEXT(Настройки!O66,"ч:мм"))+TIME(0,Июнь!M13,0),"ч::мм"))</calculatedColumnFormula>
    </tableColumn>
    <tableColumn id="11" name="10" dataDxfId="681">
      <calculatedColumnFormula>IF(TEXT(IF(Настройки!P66="",TEXT(Настройки!$J2,"ч:мм"),TEXT(Настройки!P66,"ч:мм"))+TIME(0,Июнь!N13,0),"ч::мм")=TEXT(IF(Настройки!P66="",TEXT(Настройки!$J2,"ч:мм"),TEXT(Настройки!P66,"ч:мм")),"ч:мм"),"",TEXT(IF(Настройки!P66="",TEXT(Настройки!$J2,"ч:мм"),TEXT(Настройки!P66,"ч:мм")),"ч:мм")&amp;"-"&amp;TEXT(IF(Настройки!P66="",TEXT(Настройки!$J2,"ч:мм"),TEXT(Настройки!P66,"ч:мм"))+TIME(0,Июнь!N13,0),"ч::мм"))</calculatedColumnFormula>
    </tableColumn>
    <tableColumn id="12" name="11" dataDxfId="680">
      <calculatedColumnFormula>IF(TEXT(IF(Настройки!Q66="",TEXT(Настройки!$J2,"ч:мм"),TEXT(Настройки!Q66,"ч:мм"))+TIME(0,Июнь!O13,0),"ч::мм")=TEXT(IF(Настройки!Q66="",TEXT(Настройки!$J2,"ч:мм"),TEXT(Настройки!Q66,"ч:мм")),"ч:мм"),"",TEXT(IF(Настройки!Q66="",TEXT(Настройки!$J2,"ч:мм"),TEXT(Настройки!Q66,"ч:мм")),"ч:мм")&amp;"-"&amp;TEXT(IF(Настройки!Q66="",TEXT(Настройки!$J2,"ч:мм"),TEXT(Настройки!Q66,"ч:мм"))+TIME(0,Июнь!O13,0),"ч::мм"))</calculatedColumnFormula>
    </tableColumn>
    <tableColumn id="13" name="12" dataDxfId="679">
      <calculatedColumnFormula>IF(TEXT(IF(Настройки!R66="",TEXT(Настройки!$J2,"ч:мм"),TEXT(Настройки!R66,"ч:мм"))+TIME(0,Июнь!P13,0),"ч::мм")=TEXT(IF(Настройки!R66="",TEXT(Настройки!$J2,"ч:мм"),TEXT(Настройки!R66,"ч:мм")),"ч:мм"),"",TEXT(IF(Настройки!R66="",TEXT(Настройки!$J2,"ч:мм"),TEXT(Настройки!R66,"ч:мм")),"ч:мм")&amp;"-"&amp;TEXT(IF(Настройки!R66="",TEXT(Настройки!$J2,"ч:мм"),TEXT(Настройки!R66,"ч:мм"))+TIME(0,Июнь!P13,0),"ч::мм"))</calculatedColumnFormula>
    </tableColumn>
    <tableColumn id="14" name="13" dataDxfId="678">
      <calculatedColumnFormula>IF(TEXT(IF(Настройки!S66="",TEXT(Настройки!$J2,"ч:мм"),TEXT(Настройки!S66,"ч:мм"))+TIME(0,Июнь!Q13,0),"ч::мм")=TEXT(IF(Настройки!S66="",TEXT(Настройки!$J2,"ч:мм"),TEXT(Настройки!S66,"ч:мм")),"ч:мм"),"",TEXT(IF(Настройки!S66="",TEXT(Настройки!$J2,"ч:мм"),TEXT(Настройки!S66,"ч:мм")),"ч:мм")&amp;"-"&amp;TEXT(IF(Настройки!S66="",TEXT(Настройки!$J2,"ч:мм"),TEXT(Настройки!S66,"ч:мм"))+TIME(0,Июнь!Q13,0),"ч::мм"))</calculatedColumnFormula>
    </tableColumn>
    <tableColumn id="15" name="14" dataDxfId="677">
      <calculatedColumnFormula>IF(TEXT(IF(Настройки!T66="",TEXT(Настройки!$J2,"ч:мм"),TEXT(Настройки!T66,"ч:мм"))+TIME(0,Июнь!R13,0),"ч::мм")=TEXT(IF(Настройки!T66="",TEXT(Настройки!$J2,"ч:мм"),TEXT(Настройки!T66,"ч:мм")),"ч:мм"),"",TEXT(IF(Настройки!T66="",TEXT(Настройки!$J2,"ч:мм"),TEXT(Настройки!T66,"ч:мм")),"ч:мм")&amp;"-"&amp;TEXT(IF(Настройки!T66="",TEXT(Настройки!$J2,"ч:мм"),TEXT(Настройки!T66,"ч:мм"))+TIME(0,Июнь!R13,0),"ч::мм"))</calculatedColumnFormula>
    </tableColumn>
    <tableColumn id="16" name="15" dataDxfId="676">
      <calculatedColumnFormula>IF(TEXT(IF(Настройки!U66="",TEXT(Настройки!$J2,"ч:мм"),TEXT(Настройки!U66,"ч:мм"))+TIME(0,Июнь!S13,0),"ч::мм")=TEXT(IF(Настройки!U66="",TEXT(Настройки!$J2,"ч:мм"),TEXT(Настройки!U66,"ч:мм")),"ч:мм"),"",TEXT(IF(Настройки!U66="",TEXT(Настройки!$J2,"ч:мм"),TEXT(Настройки!U66,"ч:мм")),"ч:мм")&amp;"-"&amp;TEXT(IF(Настройки!U66="",TEXT(Настройки!$J2,"ч:мм"),TEXT(Настройки!U66,"ч:мм"))+TIME(0,Июнь!S13,0),"ч::мм"))</calculatedColumnFormula>
    </tableColumn>
  </tableColumns>
  <tableStyleInfo name="TableStyleLight15" showFirstColumn="0" showLastColumn="0" showRowStripes="0" showColumnStripes="1"/>
</table>
</file>

<file path=xl/tables/table49.xml><?xml version="1.0" encoding="utf-8"?>
<table xmlns="http://schemas.openxmlformats.org/spreadsheetml/2006/main" id="48" name="ИюньГраф2" displayName="ИюньГраф2" ref="A23:P26" totalsRowShown="0" headerRowDxfId="675" dataDxfId="674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673">
      <calculatedColumnFormula>A14</calculatedColumnFormula>
    </tableColumn>
    <tableColumn id="2" name="16" dataDxfId="672">
      <calculatedColumnFormula>IF(TEXT(IF(Настройки!V66="",TEXT(Настройки!$J2,"ч:мм"),TEXT(Настройки!V66,"ч:мм"))+TIME(0,Июнь!T13,0),"ч::мм")=TEXT(IF(Настройки!V66="",TEXT(Настройки!$J2,"ч:мм"),TEXT(Настройки!V66,"ч:мм")),"ч:мм"),"",TEXT(IF(Настройки!V66="",TEXT(Настройки!$J2,"ч:мм"),TEXT(Настройки!V66,"ч:мм")),"ч:мм")&amp;"-"&amp;TEXT(IF(Настройки!V66="",TEXT(Настройки!$J2,"ч:мм"),TEXT(Настройки!V66,"ч:мм"))+TIME(0,Июнь!T13,0),"ч::мм"))</calculatedColumnFormula>
    </tableColumn>
    <tableColumn id="3" name="17" dataDxfId="671">
      <calculatedColumnFormula>IF(TEXT(IF(Настройки!W66="",TEXT(Настройки!$J2,"ч:мм"),TEXT(Настройки!W66,"ч:мм"))+TIME(0,Июнь!U13,0),"ч::мм")=TEXT(IF(Настройки!W66="",TEXT(Настройки!$J2,"ч:мм"),TEXT(Настройки!W66,"ч:мм")),"ч:мм"),"",TEXT(IF(Настройки!W66="",TEXT(Настройки!$J2,"ч:мм"),TEXT(Настройки!W66,"ч:мм")),"ч:мм")&amp;"-"&amp;TEXT(IF(Настройки!W66="",TEXT(Настройки!$J2,"ч:мм"),TEXT(Настройки!W66,"ч:мм"))+TIME(0,Июнь!U13,0),"ч::мм"))</calculatedColumnFormula>
    </tableColumn>
    <tableColumn id="4" name="18" dataDxfId="670">
      <calculatedColumnFormula>IF(TEXT(IF(Настройки!X66="",TEXT(Настройки!$J2,"ч:мм"),TEXT(Настройки!X66,"ч:мм"))+TIME(0,Июнь!V13,0),"ч::мм")=TEXT(IF(Настройки!X66="",TEXT(Настройки!$J2,"ч:мм"),TEXT(Настройки!X66,"ч:мм")),"ч:мм"),"",TEXT(IF(Настройки!X66="",TEXT(Настройки!$J2,"ч:мм"),TEXT(Настройки!X66,"ч:мм")),"ч:мм")&amp;"-"&amp;TEXT(IF(Настройки!X66="",TEXT(Настройки!$J2,"ч:мм"),TEXT(Настройки!X66,"ч:мм"))+TIME(0,Июнь!V13,0),"ч::мм"))</calculatedColumnFormula>
    </tableColumn>
    <tableColumn id="5" name="19" dataDxfId="669">
      <calculatedColumnFormula>IF(TEXT(IF(Настройки!Y66="",TEXT(Настройки!$J2,"ч:мм"),TEXT(Настройки!Y66,"ч:мм"))+TIME(0,Июнь!W13,0),"ч::мм")=TEXT(IF(Настройки!Y66="",TEXT(Настройки!$J2,"ч:мм"),TEXT(Настройки!Y66,"ч:мм")),"ч:мм"),"",TEXT(IF(Настройки!Y66="",TEXT(Настройки!$J2,"ч:мм"),TEXT(Настройки!Y66,"ч:мм")),"ч:мм")&amp;"-"&amp;TEXT(IF(Настройки!Y66="",TEXT(Настройки!$J2,"ч:мм"),TEXT(Настройки!Y66,"ч:мм"))+TIME(0,Июнь!W13,0),"ч::мм"))</calculatedColumnFormula>
    </tableColumn>
    <tableColumn id="6" name="20" dataDxfId="668">
      <calculatedColumnFormula>IF(TEXT(IF(Настройки!Z66="",TEXT(Настройки!$J2,"ч:мм"),TEXT(Настройки!Z66,"ч:мм"))+TIME(0,Июнь!X13,0),"ч::мм")=TEXT(IF(Настройки!Z66="",TEXT(Настройки!$J2,"ч:мм"),TEXT(Настройки!Z66,"ч:мм")),"ч:мм"),"",TEXT(IF(Настройки!Z66="",TEXT(Настройки!$J2,"ч:мм"),TEXT(Настройки!Z66,"ч:мм")),"ч:мм")&amp;"-"&amp;TEXT(IF(Настройки!Z66="",TEXT(Настройки!$J2,"ч:мм"),TEXT(Настройки!Z66,"ч:мм"))+TIME(0,Июнь!X13,0),"ч::мм"))</calculatedColumnFormula>
    </tableColumn>
    <tableColumn id="7" name="21" dataDxfId="667">
      <calculatedColumnFormula>IF(TEXT(IF(Настройки!AA66="",TEXT(Настройки!$J2,"ч:мм"),TEXT(Настройки!AA66,"ч:мм"))+TIME(0,Июнь!Y13,0),"ч::мм")=TEXT(IF(Настройки!AA66="",TEXT(Настройки!$J2,"ч:мм"),TEXT(Настройки!AA66,"ч:мм")),"ч:мм"),"",TEXT(IF(Настройки!AA66="",TEXT(Настройки!$J2,"ч:мм"),TEXT(Настройки!AA66,"ч:мм")),"ч:мм")&amp;"-"&amp;TEXT(IF(Настройки!AA66="",TEXT(Настройки!$J2,"ч:мм"),TEXT(Настройки!AA66,"ч:мм"))+TIME(0,Июнь!Y13,0),"ч::мм"))</calculatedColumnFormula>
    </tableColumn>
    <tableColumn id="8" name="22" dataDxfId="666">
      <calculatedColumnFormula>IF(TEXT(IF(Настройки!AB66="",TEXT(Настройки!$J2,"ч:мм"),TEXT(Настройки!AB66,"ч:мм"))+TIME(0,Июнь!Z13,0),"ч::мм")=TEXT(IF(Настройки!AB66="",TEXT(Настройки!$J2,"ч:мм"),TEXT(Настройки!AB66,"ч:мм")),"ч:мм"),"",TEXT(IF(Настройки!AB66="",TEXT(Настройки!$J2,"ч:мм"),TEXT(Настройки!AB66,"ч:мм")),"ч:мм")&amp;"-"&amp;TEXT(IF(Настройки!AB66="",TEXT(Настройки!$J2,"ч:мм"),TEXT(Настройки!AB66,"ч:мм"))+TIME(0,Июнь!Z13,0),"ч::мм"))</calculatedColumnFormula>
    </tableColumn>
    <tableColumn id="9" name="23" dataDxfId="665">
      <calculatedColumnFormula>IF(TEXT(IF(Настройки!AC66="",TEXT(Настройки!$J2,"ч:мм"),TEXT(Настройки!AC66,"ч:мм"))+TIME(0,Июнь!AA13,0),"ч::мм")=TEXT(IF(Настройки!AC66="",TEXT(Настройки!$J2,"ч:мм"),TEXT(Настройки!AC66,"ч:мм")),"ч:мм"),"",TEXT(IF(Настройки!AC66="",TEXT(Настройки!$J2,"ч:мм"),TEXT(Настройки!AC66,"ч:мм")),"ч:мм")&amp;"-"&amp;TEXT(IF(Настройки!AC66="",TEXT(Настройки!$J2,"ч:мм"),TEXT(Настройки!AC66,"ч:мм"))+TIME(0,Июнь!AA13,0),"ч::мм"))</calculatedColumnFormula>
    </tableColumn>
    <tableColumn id="10" name="24" dataDxfId="664">
      <calculatedColumnFormula>IF(TEXT(IF(Настройки!AD66="",TEXT(Настройки!$J2,"ч:мм"),TEXT(Настройки!AD66,"ч:мм"))+TIME(0,Июнь!AB13,0),"ч::мм")=TEXT(IF(Настройки!AD66="",TEXT(Настройки!$J2,"ч:мм"),TEXT(Настройки!AD66,"ч:мм")),"ч:мм"),"",TEXT(IF(Настройки!AD66="",TEXT(Настройки!$J2,"ч:мм"),TEXT(Настройки!AD66,"ч:мм")),"ч:мм")&amp;"-"&amp;TEXT(IF(Настройки!AD66="",TEXT(Настройки!$J2,"ч:мм"),TEXT(Настройки!AD66,"ч:мм"))+TIME(0,Июнь!AB13,0),"ч::мм"))</calculatedColumnFormula>
    </tableColumn>
    <tableColumn id="11" name="25" dataDxfId="663">
      <calculatedColumnFormula>IF(TEXT(IF(Настройки!AE66="",TEXT(Настройки!$J2,"ч:мм"),TEXT(Настройки!AE66,"ч:мм"))+TIME(0,Июнь!AC13,0),"ч::мм")=TEXT(IF(Настройки!AE66="",TEXT(Настройки!$J2,"ч:мм"),TEXT(Настройки!AE66,"ч:мм")),"ч:мм"),"",TEXT(IF(Настройки!AE66="",TEXT(Настройки!$J2,"ч:мм"),TEXT(Настройки!AE66,"ч:мм")),"ч:мм")&amp;"-"&amp;TEXT(IF(Настройки!AE66="",TEXT(Настройки!$J2,"ч:мм"),TEXT(Настройки!AE66,"ч:мм"))+TIME(0,Июнь!AC13,0),"ч::мм"))</calculatedColumnFormula>
    </tableColumn>
    <tableColumn id="12" name="26" dataDxfId="662">
      <calculatedColumnFormula>IF(TEXT(IF(Настройки!AF66="",TEXT(Настройки!$J2,"ч:мм"),TEXT(Настройки!AF66,"ч:мм"))+TIME(0,Июнь!AD13,0),"ч::мм")=TEXT(IF(Настройки!AF66="",TEXT(Настройки!$J2,"ч:мм"),TEXT(Настройки!AF66,"ч:мм")),"ч:мм"),"",TEXT(IF(Настройки!AF66="",TEXT(Настройки!$J2,"ч:мм"),TEXT(Настройки!AF66,"ч:мм")),"ч:мм")&amp;"-"&amp;TEXT(IF(Настройки!AF66="",TEXT(Настройки!$J2,"ч:мм"),TEXT(Настройки!AF66,"ч:мм"))+TIME(0,Июнь!AD13,0),"ч::мм"))</calculatedColumnFormula>
    </tableColumn>
    <tableColumn id="13" name="27" dataDxfId="661">
      <calculatedColumnFormula>IF(TEXT(IF(Настройки!AG66="",TEXT(Настройки!$J2,"ч:мм"),TEXT(Настройки!AG66,"ч:мм"))+TIME(0,Июнь!AE13,0),"ч::мм")=TEXT(IF(Настройки!AG66="",TEXT(Настройки!$J2,"ч:мм"),TEXT(Настройки!AG66,"ч:мм")),"ч:мм"),"",TEXT(IF(Настройки!AG66="",TEXT(Настройки!$J2,"ч:мм"),TEXT(Настройки!AG66,"ч:мм")),"ч:мм")&amp;"-"&amp;TEXT(IF(Настройки!AG66="",TEXT(Настройки!$J2,"ч:мм"),TEXT(Настройки!AG66,"ч:мм"))+TIME(0,Июнь!AE13,0),"ч::мм"))</calculatedColumnFormula>
    </tableColumn>
    <tableColumn id="14" name="28" dataDxfId="660">
      <calculatedColumnFormula>IF(TEXT(IF(Настройки!AH66="",TEXT(Настройки!$J2,"ч:мм"),TEXT(Настройки!AH66,"ч:мм"))+TIME(0,Июнь!AF13,0),"ч::мм")=TEXT(IF(Настройки!AH66="",TEXT(Настройки!$J2,"ч:мм"),TEXT(Настройки!AH66,"ч:мм")),"ч:мм"),"",TEXT(IF(Настройки!AH66="",TEXT(Настройки!$J2,"ч:мм"),TEXT(Настройки!AH66,"ч:мм")),"ч:мм")&amp;"-"&amp;TEXT(IF(Настройки!AH66="",TEXT(Настройки!$J2,"ч:мм"),TEXT(Настройки!AH66,"ч:мм"))+TIME(0,Июнь!AF13,0),"ч::мм"))</calculatedColumnFormula>
    </tableColumn>
    <tableColumn id="15" name="29" dataDxfId="659">
      <calculatedColumnFormula>IF(TEXT(IF(Настройки!AI66="",TEXT(Настройки!$J2,"ч:мм"),TEXT(Настройки!AI66,"ч:мм"))+TIME(0,Июнь!AG13,0),"ч::мм")=TEXT(IF(Настройки!AI66="",TEXT(Настройки!$J2,"ч:мм"),TEXT(Настройки!AI66,"ч:мм")),"ч:мм"),"",TEXT(IF(Настройки!AI66="",TEXT(Настройки!$J2,"ч:мм"),TEXT(Настройки!AI66,"ч:мм")),"ч:мм")&amp;"-"&amp;TEXT(IF(Настройки!AI66="",TEXT(Настройки!$J2,"ч:мм"),TEXT(Настройки!AI66,"ч:мм"))+TIME(0,Июнь!AG13,0),"ч::мм"))</calculatedColumnFormula>
    </tableColumn>
    <tableColumn id="16" name="30" dataDxfId="658">
      <calculatedColumnFormula>IF(TEXT(IF(Настройки!AJ66="",TEXT(Настройки!$J2,"ч:мм"),TEXT(Настройки!AJ66,"ч:мм"))+TIME(0,Июнь!AH13,0),"ч::мм")=TEXT(IF(Настройки!AJ66="",TEXT(Настройки!$J2,"ч:мм"),TEXT(Настройки!AJ66,"ч:мм")),"ч:мм"),"",TEXT(IF(Настройки!AJ66="",TEXT(Настройки!$J2,"ч:мм"),TEXT(Настройки!AJ66,"ч:мм")),"ч:мм")&amp;"-"&amp;TEXT(IF(Настройки!AJ66="",TEXT(Настройки!$J2,"ч:мм"),TEXT(Настройки!AJ66,"ч:мм"))+TIME(0,Июнь!AH13,0),"ч::мм"))</calculatedColumnFormula>
    </tableColumn>
  </tableColumns>
  <tableStyleInfo name="TableStyleLight15" showFirstColumn="0" showLastColumn="0" showRowStripes="0" showColumnStripes="1"/>
</table>
</file>

<file path=xl/tables/table50.xml><?xml version="1.0" encoding="utf-8"?>
<table xmlns="http://schemas.openxmlformats.org/spreadsheetml/2006/main" id="7" name="Июль" displayName="Июль" ref="A25:AK28" headerRowDxfId="655" dataDxfId="654" totalsRowDxfId="653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652"/>
    <tableColumn id="2" name="Периодичность" dataDxfId="651" totalsRowDxfId="650">
      <calculatedColumnFormula>IF(Январь[[#This Row],[Периодичность]]&lt;&gt;"",Январь[[#This Row],[Периодичность]],"")</calculatedColumnFormula>
    </tableColumn>
    <tableColumn id="3" name="Объем" dataDxfId="649" totalsRowDxfId="648">
      <calculatedColumnFormula>IF(Январь[[#This Row],[Объем]]&lt;&gt;"",Январь[[#This Row],[Объем]],"")</calculatedColumnFormula>
    </tableColumn>
    <tableColumn id="4" name="№" dataDxfId="647" totalsRowDxfId="646"/>
    <tableColumn id="7" name="1"/>
    <tableColumn id="8" name="2"/>
    <tableColumn id="9" name="3"/>
    <tableColumn id="10" name="4" totalsRowDxfId="645"/>
    <tableColumn id="11" name="5" totalsRowDxfId="644"/>
    <tableColumn id="12" name="6" totalsRowDxfId="643"/>
    <tableColumn id="13" name="7"/>
    <tableColumn id="14" name="8"/>
    <tableColumn id="15" name="9"/>
    <tableColumn id="16" name="10"/>
    <tableColumn id="17" name="11" totalsRowDxfId="642"/>
    <tableColumn id="18" name="12" totalsRowDxfId="641"/>
    <tableColumn id="19" name="13" totalsRowDxfId="640"/>
    <tableColumn id="20" name="14"/>
    <tableColumn id="21" name="15"/>
    <tableColumn id="22" name="16"/>
    <tableColumn id="23" name="17"/>
    <tableColumn id="24" name="18" totalsRowDxfId="639"/>
    <tableColumn id="25" name="19" totalsRowDxfId="638"/>
    <tableColumn id="26" name="20" totalsRowDxfId="637"/>
    <tableColumn id="27" name="21"/>
    <tableColumn id="28" name="22"/>
    <tableColumn id="29" name="23"/>
    <tableColumn id="30" name="24"/>
    <tableColumn id="31" name="25" totalsRowDxfId="636"/>
    <tableColumn id="32" name="26" totalsRowDxfId="635"/>
    <tableColumn id="33" name="27" totalsRowDxfId="634"/>
    <tableColumn id="34" name="28"/>
    <tableColumn id="35" name="29"/>
    <tableColumn id="36" name="30"/>
    <tableColumn id="5" name="31"/>
    <tableColumn id="38" name="УСЛУГ" totalsRowFunction="sum" dataDxfId="633" totalsRowDxfId="632">
      <calculatedColumnFormula>IF(Июль[[#This Row],[№]]=1,SUM(Июль[[#This Row],[1]:[31]])+SUM(OFFSET(Июль[[#This Row],[1]:[31]],1,0))+SUM(OFFSET(Июль[[#This Row],[1]:[31]],2,0)),"")</calculatedColumnFormula>
    </tableColumn>
    <tableColumn id="39" name="МИНУТ" totalsRowFunction="sum" dataDxfId="631" totalsRowDxfId="630">
      <calculatedColumnFormula>IF(Июль[[#This Row],[УСЛУГ]]&lt;&gt;"",Июль[[#This Row],[УСЛУГ]]*Июль[[#This Row],[Объем]],"")</calculatedColumnFormula>
    </tableColumn>
  </tableColumns>
  <tableStyleInfo name="TableStyleLight15" showFirstColumn="0" showLastColumn="0" showRowStripes="1" showColumnStripes="0"/>
</table>
</file>

<file path=xl/tables/table51.xml><?xml version="1.0" encoding="utf-8"?>
<table xmlns="http://schemas.openxmlformats.org/spreadsheetml/2006/main" id="8" name="ИюльИтоги" displayName="ИюльИтоги" ref="A12:AK18" totalsRowShown="0" headerRowDxfId="629" dataDxfId="628" tableBorderDxfId="627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626"/>
    <tableColumn id="2" name="за неделю" dataDxfId="625">
      <calculatedColumnFormula>SUMPRODUCT((#REF!=1)*E16:AI16)</calculatedColumnFormula>
    </tableColumn>
    <tableColumn id="3" name="всего минут" dataDxfId="624">
      <calculatedColumnFormula>ИюльИтоги[[#This Row],[№]]*60</calculatedColumnFormula>
    </tableColumn>
    <tableColumn id="4" name="№" dataDxfId="623"/>
    <tableColumn id="5" name="1" dataDxfId="622">
      <calculatedColumnFormula>SUM(E10:E15)</calculatedColumnFormula>
    </tableColumn>
    <tableColumn id="6" name="2" dataDxfId="621"/>
    <tableColumn id="7" name="3" dataDxfId="620"/>
    <tableColumn id="8" name="4" dataDxfId="619"/>
    <tableColumn id="9" name="5" dataDxfId="618"/>
    <tableColumn id="10" name="6" dataDxfId="617"/>
    <tableColumn id="11" name="7" dataDxfId="616"/>
    <tableColumn id="12" name="8" dataDxfId="615"/>
    <tableColumn id="13" name="9" dataDxfId="614"/>
    <tableColumn id="14" name="10" dataDxfId="613"/>
    <tableColumn id="15" name="11" dataDxfId="612"/>
    <tableColumn id="16" name="12" dataDxfId="611"/>
    <tableColumn id="17" name="13" dataDxfId="610"/>
    <tableColumn id="18" name="14" dataDxfId="609"/>
    <tableColumn id="19" name="15" dataDxfId="608"/>
    <tableColumn id="20" name="16" dataDxfId="607"/>
    <tableColumn id="21" name="17" dataDxfId="606"/>
    <tableColumn id="22" name="18" dataDxfId="605"/>
    <tableColumn id="23" name="19" dataDxfId="604"/>
    <tableColumn id="24" name="20" dataDxfId="603"/>
    <tableColumn id="25" name="21" dataDxfId="602"/>
    <tableColumn id="26" name="22" dataDxfId="601"/>
    <tableColumn id="27" name="23" dataDxfId="600"/>
    <tableColumn id="28" name="24" dataDxfId="599"/>
    <tableColumn id="29" name="25" dataDxfId="598"/>
    <tableColumn id="30" name="26" dataDxfId="597"/>
    <tableColumn id="31" name="27" dataDxfId="596"/>
    <tableColumn id="32" name="28" dataDxfId="595"/>
    <tableColumn id="33" name="29" dataDxfId="594"/>
    <tableColumn id="34" name="30" dataDxfId="593"/>
    <tableColumn id="37" name="31" dataDxfId="592">
      <calculatedColumnFormula>SUMPRODUCT((Август[№]=1)*Август[31],Август[Объем])</calculatedColumnFormula>
    </tableColumn>
    <tableColumn id="35" name="УСЛУГ" dataDxfId="591">
      <calculatedColumnFormula>SUM(Сентябрь[УСЛУГ])</calculatedColumnFormula>
    </tableColumn>
    <tableColumn id="36" name="МИНУТ" dataDxfId="590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52.xml><?xml version="1.0" encoding="utf-8"?>
<table xmlns="http://schemas.openxmlformats.org/spreadsheetml/2006/main" id="50" name="ИюльГраф1" displayName="ИюльГраф1" ref="A13:P16" totalsRowShown="0" headerRowDxfId="586" dataDxfId="585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584">
      <calculatedColumnFormula>IF(Настройки!J2&lt;&gt;"",TEXT(MIN(Настройки!G72:AK72,Настройки!J2),"ч:мм")&amp;"-"&amp;TEXT(MAX(Настройки!G72:AK72,Настройки!J2)+TIME(0,MAX(Июль!E13:AI13),0),"ч:мм"),"")</calculatedColumnFormula>
    </tableColumn>
    <tableColumn id="2" name="1" dataDxfId="583">
      <calculatedColumnFormula>IF(TEXT(IF(Настройки!G72="",TEXT(Настройки!$J2,"ч:мм"),TEXT(Настройки!G72,"ч:мм"))+TIME(0,Июль!E13,0),"ч::мм")=TEXT(IF(Настройки!G72="",TEXT(Настройки!$J2,"ч:мм"),TEXT(Настройки!G72,"ч:мм")),"ч:мм"),"",TEXT(IF(Настройки!G72="",TEXT(Настройки!$J2,"ч:мм"),TEXT(Настройки!G72,"ч:мм")),"ч:мм")&amp;"-"&amp;TEXT(IF(Настройки!G72="",TEXT(Настройки!$J2,"ч:мм"),TEXT(Настройки!G72,"ч:мм"))+TIME(0,Июль!E13,0),"ч::мм"))</calculatedColumnFormula>
    </tableColumn>
    <tableColumn id="3" name="2" dataDxfId="582">
      <calculatedColumnFormula>IF(TEXT(IF(Настройки!H72="",TEXT(Настройки!$J2,"ч:мм"),TEXT(Настройки!H72,"ч:мм"))+TIME(0,Июль!F13,0),"ч::мм")=TEXT(IF(Настройки!H72="",TEXT(Настройки!$J2,"ч:мм"),TEXT(Настройки!H72,"ч:мм")),"ч:мм"),"",TEXT(IF(Настройки!H72="",TEXT(Настройки!$J2,"ч:мм"),TEXT(Настройки!H72,"ч:мм")),"ч:мм")&amp;"-"&amp;TEXT(IF(Настройки!H72="",TEXT(Настройки!$J2,"ч:мм"),TEXT(Настройки!H72,"ч:мм"))+TIME(0,Июль!F13,0),"ч::мм"))</calculatedColumnFormula>
    </tableColumn>
    <tableColumn id="4" name="3" dataDxfId="581">
      <calculatedColumnFormula>IF(TEXT(IF(Настройки!I72="",TEXT(Настройки!$J2,"ч:мм"),TEXT(Настройки!I72,"ч:мм"))+TIME(0,Июль!G13,0),"ч::мм")=TEXT(IF(Настройки!I72="",TEXT(Настройки!$J2,"ч:мм"),TEXT(Настройки!I72,"ч:мм")),"ч:мм"),"",TEXT(IF(Настройки!I72="",TEXT(Настройки!$J2,"ч:мм"),TEXT(Настройки!I72,"ч:мм")),"ч:мм")&amp;"-"&amp;TEXT(IF(Настройки!I72="",TEXT(Настройки!$J2,"ч:мм"),TEXT(Настройки!I72,"ч:мм"))+TIME(0,Июль!G13,0),"ч::мм"))</calculatedColumnFormula>
    </tableColumn>
    <tableColumn id="5" name="4" dataDxfId="580">
      <calculatedColumnFormula>IF(TEXT(IF(Настройки!J72="",TEXT(Настройки!$J2,"ч:мм"),TEXT(Настройки!J72,"ч:мм"))+TIME(0,Июль!H13,0),"ч::мм")=TEXT(IF(Настройки!J72="",TEXT(Настройки!$J2,"ч:мм"),TEXT(Настройки!J72,"ч:мм")),"ч:мм"),"",TEXT(IF(Настройки!J72="",TEXT(Настройки!$J2,"ч:мм"),TEXT(Настройки!J72,"ч:мм")),"ч:мм")&amp;"-"&amp;TEXT(IF(Настройки!J72="",TEXT(Настройки!$J2,"ч:мм"),TEXT(Настройки!J72,"ч:мм"))+TIME(0,Июль!H13,0),"ч::мм"))</calculatedColumnFormula>
    </tableColumn>
    <tableColumn id="6" name="5" dataDxfId="579">
      <calculatedColumnFormula>IF(TEXT(IF(Настройки!K72="",TEXT(Настройки!$J2,"ч:мм"),TEXT(Настройки!K72,"ч:мм"))+TIME(0,Июль!I13,0),"ч::мм")=TEXT(IF(Настройки!K72="",TEXT(Настройки!$J2,"ч:мм"),TEXT(Настройки!K72,"ч:мм")),"ч:мм"),"",TEXT(IF(Настройки!K72="",TEXT(Настройки!$J2,"ч:мм"),TEXT(Настройки!K72,"ч:мм")),"ч:мм")&amp;"-"&amp;TEXT(IF(Настройки!K72="",TEXT(Настройки!$J2,"ч:мм"),TEXT(Настройки!K72,"ч:мм"))+TIME(0,Июль!I13,0),"ч::мм"))</calculatedColumnFormula>
    </tableColumn>
    <tableColumn id="7" name="6" dataDxfId="578">
      <calculatedColumnFormula>IF(TEXT(IF(Настройки!L72="",TEXT(Настройки!$J2,"ч:мм"),TEXT(Настройки!L72,"ч:мм"))+TIME(0,Июль!J13,0),"ч::мм")=TEXT(IF(Настройки!L72="",TEXT(Настройки!$J2,"ч:мм"),TEXT(Настройки!L72,"ч:мм")),"ч:мм"),"",TEXT(IF(Настройки!L72="",TEXT(Настройки!$J2,"ч:мм"),TEXT(Настройки!L72,"ч:мм")),"ч:мм")&amp;"-"&amp;TEXT(IF(Настройки!L72="",TEXT(Настройки!$J2,"ч:мм"),TEXT(Настройки!L72,"ч:мм"))+TIME(0,Июль!J13,0),"ч::мм"))</calculatedColumnFormula>
    </tableColumn>
    <tableColumn id="8" name="7" dataDxfId="577">
      <calculatedColumnFormula>IF(TEXT(IF(Настройки!M72="",TEXT(Настройки!$J2,"ч:мм"),TEXT(Настройки!M72,"ч:мм"))+TIME(0,Июль!K13,0),"ч::мм")=TEXT(IF(Настройки!M72="",TEXT(Настройки!$J2,"ч:мм"),TEXT(Настройки!M72,"ч:мм")),"ч:мм"),"",TEXT(IF(Настройки!M72="",TEXT(Настройки!$J2,"ч:мм"),TEXT(Настройки!M72,"ч:мм")),"ч:мм")&amp;"-"&amp;TEXT(IF(Настройки!M72="",TEXT(Настройки!$J2,"ч:мм"),TEXT(Настройки!M72,"ч:мм"))+TIME(0,Июль!K13,0),"ч::мм"))</calculatedColumnFormula>
    </tableColumn>
    <tableColumn id="9" name="8" dataDxfId="576">
      <calculatedColumnFormula>IF(TEXT(IF(Настройки!N72="",TEXT(Настройки!$J2,"ч:мм"),TEXT(Настройки!N72,"ч:мм"))+TIME(0,Июль!L13,0),"ч::мм")=TEXT(IF(Настройки!N72="",TEXT(Настройки!$J2,"ч:мм"),TEXT(Настройки!N72,"ч:мм")),"ч:мм"),"",TEXT(IF(Настройки!N72="",TEXT(Настройки!$J2,"ч:мм"),TEXT(Настройки!N72,"ч:мм")),"ч:мм")&amp;"-"&amp;TEXT(IF(Настройки!N72="",TEXT(Настройки!$J2,"ч:мм"),TEXT(Настройки!N72,"ч:мм"))+TIME(0,Июль!L13,0),"ч::мм"))</calculatedColumnFormula>
    </tableColumn>
    <tableColumn id="10" name="9" dataDxfId="575">
      <calculatedColumnFormula>IF(TEXT(IF(Настройки!O72="",TEXT(Настройки!$J2,"ч:мм"),TEXT(Настройки!O72,"ч:мм"))+TIME(0,Июль!M13,0),"ч::мм")=TEXT(IF(Настройки!O72="",TEXT(Настройки!$J2,"ч:мм"),TEXT(Настройки!O72,"ч:мм")),"ч:мм"),"",TEXT(IF(Настройки!O72="",TEXT(Настройки!$J2,"ч:мм"),TEXT(Настройки!O72,"ч:мм")),"ч:мм")&amp;"-"&amp;TEXT(IF(Настройки!O72="",TEXT(Настройки!$J2,"ч:мм"),TEXT(Настройки!O72,"ч:мм"))+TIME(0,Июль!M13,0),"ч::мм"))</calculatedColumnFormula>
    </tableColumn>
    <tableColumn id="11" name="10" dataDxfId="574">
      <calculatedColumnFormula>IF(TEXT(IF(Настройки!P72="",TEXT(Настройки!$J2,"ч:мм"),TEXT(Настройки!P72,"ч:мм"))+TIME(0,Июль!N13,0),"ч::мм")=TEXT(IF(Настройки!P72="",TEXT(Настройки!$J2,"ч:мм"),TEXT(Настройки!P72,"ч:мм")),"ч:мм"),"",TEXT(IF(Настройки!P72="",TEXT(Настройки!$J2,"ч:мм"),TEXT(Настройки!P72,"ч:мм")),"ч:мм")&amp;"-"&amp;TEXT(IF(Настройки!P72="",TEXT(Настройки!$J2,"ч:мм"),TEXT(Настройки!P72,"ч:мм"))+TIME(0,Июль!N13,0),"ч::мм"))</calculatedColumnFormula>
    </tableColumn>
    <tableColumn id="12" name="11" dataDxfId="573">
      <calculatedColumnFormula>IF(TEXT(IF(Настройки!Q72="",TEXT(Настройки!$J2,"ч:мм"),TEXT(Настройки!Q72,"ч:мм"))+TIME(0,Июль!O13,0),"ч::мм")=TEXT(IF(Настройки!Q72="",TEXT(Настройки!$J2,"ч:мм"),TEXT(Настройки!Q72,"ч:мм")),"ч:мм"),"",TEXT(IF(Настройки!Q72="",TEXT(Настройки!$J2,"ч:мм"),TEXT(Настройки!Q72,"ч:мм")),"ч:мм")&amp;"-"&amp;TEXT(IF(Настройки!Q72="",TEXT(Настройки!$J2,"ч:мм"),TEXT(Настройки!Q72,"ч:мм"))+TIME(0,Июль!O13,0),"ч::мм"))</calculatedColumnFormula>
    </tableColumn>
    <tableColumn id="13" name="12" dataDxfId="572">
      <calculatedColumnFormula>IF(TEXT(IF(Настройки!R72="",TEXT(Настройки!$J2,"ч:мм"),TEXT(Настройки!R72,"ч:мм"))+TIME(0,Июль!P13,0),"ч::мм")=TEXT(IF(Настройки!R72="",TEXT(Настройки!$J2,"ч:мм"),TEXT(Настройки!R72,"ч:мм")),"ч:мм"),"",TEXT(IF(Настройки!R72="",TEXT(Настройки!$J2,"ч:мм"),TEXT(Настройки!R72,"ч:мм")),"ч:мм")&amp;"-"&amp;TEXT(IF(Настройки!R72="",TEXT(Настройки!$J2,"ч:мм"),TEXT(Настройки!R72,"ч:мм"))+TIME(0,Июль!P13,0),"ч::мм"))</calculatedColumnFormula>
    </tableColumn>
    <tableColumn id="14" name="13" dataDxfId="571">
      <calculatedColumnFormula>IF(TEXT(IF(Настройки!S72="",TEXT(Настройки!$J2,"ч:мм"),TEXT(Настройки!S72,"ч:мм"))+TIME(0,Июль!Q13,0),"ч::мм")=TEXT(IF(Настройки!S72="",TEXT(Настройки!$J2,"ч:мм"),TEXT(Настройки!S72,"ч:мм")),"ч:мм"),"",TEXT(IF(Настройки!S72="",TEXT(Настройки!$J2,"ч:мм"),TEXT(Настройки!S72,"ч:мм")),"ч:мм")&amp;"-"&amp;TEXT(IF(Настройки!S72="",TEXT(Настройки!$J2,"ч:мм"),TEXT(Настройки!S72,"ч:мм"))+TIME(0,Июль!Q13,0),"ч::мм"))</calculatedColumnFormula>
    </tableColumn>
    <tableColumn id="15" name="14" dataDxfId="570">
      <calculatedColumnFormula>IF(TEXT(IF(Настройки!T72="",TEXT(Настройки!$J2,"ч:мм"),TEXT(Настройки!T72,"ч:мм"))+TIME(0,Июль!R13,0),"ч::мм")=TEXT(IF(Настройки!T72="",TEXT(Настройки!$J2,"ч:мм"),TEXT(Настройки!T72,"ч:мм")),"ч:мм"),"",TEXT(IF(Настройки!T72="",TEXT(Настройки!$J2,"ч:мм"),TEXT(Настройки!T72,"ч:мм")),"ч:мм")&amp;"-"&amp;TEXT(IF(Настройки!T72="",TEXT(Настройки!$J2,"ч:мм"),TEXT(Настройки!T72,"ч:мм"))+TIME(0,Июль!R13,0),"ч::мм"))</calculatedColumnFormula>
    </tableColumn>
    <tableColumn id="16" name="15" dataDxfId="569">
      <calculatedColumnFormula>IF(TEXT(IF(Настройки!U72="",TEXT(Настройки!$J2,"ч:мм"),TEXT(Настройки!U72,"ч:мм"))+TIME(0,Июль!S13,0),"ч::мм")=TEXT(IF(Настройки!U72="",TEXT(Настройки!$J2,"ч:мм"),TEXT(Настройки!U72,"ч:мм")),"ч:мм"),"",TEXT(IF(Настройки!U72="",TEXT(Настройки!$J2,"ч:мм"),TEXT(Настройки!U72,"ч:мм")),"ч:мм")&amp;"-"&amp;TEXT(IF(Настройки!U72="",TEXT(Настройки!$J2,"ч:мм"),TEXT(Настройки!U72,"ч:мм"))+TIME(0,Июль!S13,0),"ч::мм"))</calculatedColumnFormula>
    </tableColumn>
  </tableColumns>
  <tableStyleInfo name="TableStyleLight15" showFirstColumn="0" showLastColumn="0" showRowStripes="0" showColumnStripes="1"/>
</table>
</file>

<file path=xl/tables/table53.xml><?xml version="1.0" encoding="utf-8"?>
<table xmlns="http://schemas.openxmlformats.org/spreadsheetml/2006/main" id="51" name="ИюльГраф2" displayName="ИюльГраф2" ref="A23:P26" totalsRowShown="0" headerRowDxfId="568" dataDxfId="567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566">
      <calculatedColumnFormula>A14</calculatedColumnFormula>
    </tableColumn>
    <tableColumn id="2" name="16" dataDxfId="565">
      <calculatedColumnFormula>IF(TEXT(IF(Настройки!V72="",TEXT(Настройки!$J2,"ч:мм"),TEXT(Настройки!V72,"ч:мм"))+TIME(0,Июль!T13,0),"ч::мм")=TEXT(IF(Настройки!V72="",TEXT(Настройки!$J2,"ч:мм"),TEXT(Настройки!V72,"ч:мм")),"ч:мм"),"",TEXT(IF(Настройки!V72="",TEXT(Настройки!$J2,"ч:мм"),TEXT(Настройки!V72,"ч:мм")),"ч:мм")&amp;"-"&amp;TEXT(IF(Настройки!V72="",TEXT(Настройки!$J2,"ч:мм"),TEXT(Настройки!V72,"ч:мм"))+TIME(0,Июль!T13,0),"ч::мм"))</calculatedColumnFormula>
    </tableColumn>
    <tableColumn id="3" name="17" dataDxfId="564">
      <calculatedColumnFormula>IF(TEXT(IF(Настройки!W72="",TEXT(Настройки!$J2,"ч:мм"),TEXT(Настройки!W72,"ч:мм"))+TIME(0,Июль!U13,0),"ч::мм")=TEXT(IF(Настройки!W72="",TEXT(Настройки!$J2,"ч:мм"),TEXT(Настройки!W72,"ч:мм")),"ч:мм"),"",TEXT(IF(Настройки!W72="",TEXT(Настройки!$J2,"ч:мм"),TEXT(Настройки!W72,"ч:мм")),"ч:мм")&amp;"-"&amp;TEXT(IF(Настройки!W72="",TEXT(Настройки!$J2,"ч:мм"),TEXT(Настройки!W72,"ч:мм"))+TIME(0,Июль!U13,0),"ч::мм"))</calculatedColumnFormula>
    </tableColumn>
    <tableColumn id="4" name="18" dataDxfId="563">
      <calculatedColumnFormula>IF(TEXT(IF(Настройки!X72="",TEXT(Настройки!$J2,"ч:мм"),TEXT(Настройки!X72,"ч:мм"))+TIME(0,Июль!V13,0),"ч::мм")=TEXT(IF(Настройки!X72="",TEXT(Настройки!$J2,"ч:мм"),TEXT(Настройки!X72,"ч:мм")),"ч:мм"),"",TEXT(IF(Настройки!X72="",TEXT(Настройки!$J2,"ч:мм"),TEXT(Настройки!X72,"ч:мм")),"ч:мм")&amp;"-"&amp;TEXT(IF(Настройки!X72="",TEXT(Настройки!$J2,"ч:мм"),TEXT(Настройки!X72,"ч:мм"))+TIME(0,Июль!V13,0),"ч::мм"))</calculatedColumnFormula>
    </tableColumn>
    <tableColumn id="5" name="19" dataDxfId="562">
      <calculatedColumnFormula>IF(TEXT(IF(Настройки!Y72="",TEXT(Настройки!$J2,"ч:мм"),TEXT(Настройки!Y72,"ч:мм"))+TIME(0,Июль!W13,0),"ч::мм")=TEXT(IF(Настройки!Y72="",TEXT(Настройки!$J2,"ч:мм"),TEXT(Настройки!Y72,"ч:мм")),"ч:мм"),"",TEXT(IF(Настройки!Y72="",TEXT(Настройки!$J2,"ч:мм"),TEXT(Настройки!Y72,"ч:мм")),"ч:мм")&amp;"-"&amp;TEXT(IF(Настройки!Y72="",TEXT(Настройки!$J2,"ч:мм"),TEXT(Настройки!Y72,"ч:мм"))+TIME(0,Июль!W13,0),"ч::мм"))</calculatedColumnFormula>
    </tableColumn>
    <tableColumn id="6" name="20" dataDxfId="561">
      <calculatedColumnFormula>IF(TEXT(IF(Настройки!Z72="",TEXT(Настройки!$J2,"ч:мм"),TEXT(Настройки!Z72,"ч:мм"))+TIME(0,Июль!X13,0),"ч::мм")=TEXT(IF(Настройки!Z72="",TEXT(Настройки!$J2,"ч:мм"),TEXT(Настройки!Z72,"ч:мм")),"ч:мм"),"",TEXT(IF(Настройки!Z72="",TEXT(Настройки!$J2,"ч:мм"),TEXT(Настройки!Z72,"ч:мм")),"ч:мм")&amp;"-"&amp;TEXT(IF(Настройки!Z72="",TEXT(Настройки!$J2,"ч:мм"),TEXT(Настройки!Z72,"ч:мм"))+TIME(0,Июль!X13,0),"ч::мм"))</calculatedColumnFormula>
    </tableColumn>
    <tableColumn id="7" name="21" dataDxfId="560">
      <calculatedColumnFormula>IF(TEXT(IF(Настройки!AA72="",TEXT(Настройки!$J2,"ч:мм"),TEXT(Настройки!AA72,"ч:мм"))+TIME(0,Июль!Y13,0),"ч::мм")=TEXT(IF(Настройки!AA72="",TEXT(Настройки!$J2,"ч:мм"),TEXT(Настройки!AA72,"ч:мм")),"ч:мм"),"",TEXT(IF(Настройки!AA72="",TEXT(Настройки!$J2,"ч:мм"),TEXT(Настройки!AA72,"ч:мм")),"ч:мм")&amp;"-"&amp;TEXT(IF(Настройки!AA72="",TEXT(Настройки!$J2,"ч:мм"),TEXT(Настройки!AA72,"ч:мм"))+TIME(0,Июль!Y13,0),"ч::мм"))</calculatedColumnFormula>
    </tableColumn>
    <tableColumn id="8" name="22" dataDxfId="559">
      <calculatedColumnFormula>IF(TEXT(IF(Настройки!AB72="",TEXT(Настройки!$J2,"ч:мм"),TEXT(Настройки!AB72,"ч:мм"))+TIME(0,Июль!Z13,0),"ч::мм")=TEXT(IF(Настройки!AB72="",TEXT(Настройки!$J2,"ч:мм"),TEXT(Настройки!AB72,"ч:мм")),"ч:мм"),"",TEXT(IF(Настройки!AB72="",TEXT(Настройки!$J2,"ч:мм"),TEXT(Настройки!AB72,"ч:мм")),"ч:мм")&amp;"-"&amp;TEXT(IF(Настройки!AB72="",TEXT(Настройки!$J2,"ч:мм"),TEXT(Настройки!AB72,"ч:мм"))+TIME(0,Июль!Z13,0),"ч::мм"))</calculatedColumnFormula>
    </tableColumn>
    <tableColumn id="9" name="23" dataDxfId="558">
      <calculatedColumnFormula>IF(TEXT(IF(Настройки!AC72="",TEXT(Настройки!$J2,"ч:мм"),TEXT(Настройки!AC72,"ч:мм"))+TIME(0,Июль!AA13,0),"ч::мм")=TEXT(IF(Настройки!AC72="",TEXT(Настройки!$J2,"ч:мм"),TEXT(Настройки!AC72,"ч:мм")),"ч:мм"),"",TEXT(IF(Настройки!AC72="",TEXT(Настройки!$J2,"ч:мм"),TEXT(Настройки!AC72,"ч:мм")),"ч:мм")&amp;"-"&amp;TEXT(IF(Настройки!AC72="",TEXT(Настройки!$J2,"ч:мм"),TEXT(Настройки!AC72,"ч:мм"))+TIME(0,Июль!AA13,0),"ч::мм"))</calculatedColumnFormula>
    </tableColumn>
    <tableColumn id="10" name="24" dataDxfId="557">
      <calculatedColumnFormula>IF(TEXT(IF(Настройки!AD72="",TEXT(Настройки!$J2,"ч:мм"),TEXT(Настройки!AD72,"ч:мм"))+TIME(0,Июль!AB13,0),"ч::мм")=TEXT(IF(Настройки!AD72="",TEXT(Настройки!$J2,"ч:мм"),TEXT(Настройки!AD72,"ч:мм")),"ч:мм"),"",TEXT(IF(Настройки!AD72="",TEXT(Настройки!$J2,"ч:мм"),TEXT(Настройки!AD72,"ч:мм")),"ч:мм")&amp;"-"&amp;TEXT(IF(Настройки!AD72="",TEXT(Настройки!$J2,"ч:мм"),TEXT(Настройки!AD72,"ч:мм"))+TIME(0,Июль!AB13,0),"ч::мм"))</calculatedColumnFormula>
    </tableColumn>
    <tableColumn id="11" name="25" dataDxfId="556">
      <calculatedColumnFormula>IF(TEXT(IF(Настройки!AE72="",TEXT(Настройки!$J2,"ч:мм"),TEXT(Настройки!AE72,"ч:мм"))+TIME(0,Июль!AC13,0),"ч::мм")=TEXT(IF(Настройки!AE72="",TEXT(Настройки!$J2,"ч:мм"),TEXT(Настройки!AE72,"ч:мм")),"ч:мм"),"",TEXT(IF(Настройки!AE72="",TEXT(Настройки!$J2,"ч:мм"),TEXT(Настройки!AE72,"ч:мм")),"ч:мм")&amp;"-"&amp;TEXT(IF(Настройки!AE72="",TEXT(Настройки!$J2,"ч:мм"),TEXT(Настройки!AE72,"ч:мм"))+TIME(0,Июль!AC13,0),"ч::мм"))</calculatedColumnFormula>
    </tableColumn>
    <tableColumn id="12" name="26" dataDxfId="555">
      <calculatedColumnFormula>IF(TEXT(IF(Настройки!AF72="",TEXT(Настройки!$J2,"ч:мм"),TEXT(Настройки!AF72,"ч:мм"))+TIME(0,Июль!AD13,0),"ч::мм")=TEXT(IF(Настройки!AF72="",TEXT(Настройки!$J2,"ч:мм"),TEXT(Настройки!AF72,"ч:мм")),"ч:мм"),"",TEXT(IF(Настройки!AF72="",TEXT(Настройки!$J2,"ч:мм"),TEXT(Настройки!AF72,"ч:мм")),"ч:мм")&amp;"-"&amp;TEXT(IF(Настройки!AF72="",TEXT(Настройки!$J2,"ч:мм"),TEXT(Настройки!AF72,"ч:мм"))+TIME(0,Июль!AD13,0),"ч::мм"))</calculatedColumnFormula>
    </tableColumn>
    <tableColumn id="13" name="27" dataDxfId="554">
      <calculatedColumnFormula>IF(TEXT(IF(Настройки!AG72="",TEXT(Настройки!$J2,"ч:мм"),TEXT(Настройки!AG72,"ч:мм"))+TIME(0,Июль!AE13,0),"ч::мм")=TEXT(IF(Настройки!AG72="",TEXT(Настройки!$J2,"ч:мм"),TEXT(Настройки!AG72,"ч:мм")),"ч:мм"),"",TEXT(IF(Настройки!AG72="",TEXT(Настройки!$J2,"ч:мм"),TEXT(Настройки!AG72,"ч:мм")),"ч:мм")&amp;"-"&amp;TEXT(IF(Настройки!AG72="",TEXT(Настройки!$J2,"ч:мм"),TEXT(Настройки!AG72,"ч:мм"))+TIME(0,Июль!AE13,0),"ч::мм"))</calculatedColumnFormula>
    </tableColumn>
    <tableColumn id="14" name="28" dataDxfId="553">
      <calculatedColumnFormula>IF(TEXT(IF(Настройки!AH72="",TEXT(Настройки!$J2,"ч:мм"),TEXT(Настройки!AH72,"ч:мм"))+TIME(0,Июль!AF13,0),"ч::мм")=TEXT(IF(Настройки!AH72="",TEXT(Настройки!$J2,"ч:мм"),TEXT(Настройки!AH72,"ч:мм")),"ч:мм"),"",TEXT(IF(Настройки!AH72="",TEXT(Настройки!$J2,"ч:мм"),TEXT(Настройки!AH72,"ч:мм")),"ч:мм")&amp;"-"&amp;TEXT(IF(Настройки!AH72="",TEXT(Настройки!$J2,"ч:мм"),TEXT(Настройки!AH72,"ч:мм"))+TIME(0,Июль!AF13,0),"ч::мм"))</calculatedColumnFormula>
    </tableColumn>
    <tableColumn id="15" name="29" dataDxfId="552">
      <calculatedColumnFormula>IF(TEXT(IF(Настройки!AI72="",TEXT(Настройки!$J2,"ч:мм"),TEXT(Настройки!AI72,"ч:мм"))+TIME(0,Июль!AG13,0),"ч::мм")=TEXT(IF(Настройки!AI72="",TEXT(Настройки!$J2,"ч:мм"),TEXT(Настройки!AI72,"ч:мм")),"ч:мм"),"",TEXT(IF(Настройки!AI72="",TEXT(Настройки!$J2,"ч:мм"),TEXT(Настройки!AI72,"ч:мм")),"ч:мм")&amp;"-"&amp;TEXT(IF(Настройки!AI72="",TEXT(Настройки!$J2,"ч:мм"),TEXT(Настройки!AI72,"ч:мм"))+TIME(0,Июль!AG13,0),"ч::мм"))</calculatedColumnFormula>
    </tableColumn>
    <tableColumn id="16" name="30" dataDxfId="551">
      <calculatedColumnFormula>IF(TEXT(IF(Настройки!AJ72="",TEXT(Настройки!$J2,"ч:мм"),TEXT(Настройки!AJ72,"ч:мм"))+TIME(0,Июль!AH13,0),"ч::мм")=TEXT(IF(Настройки!AJ72="",TEXT(Настройки!$J2,"ч:мм"),TEXT(Настройки!AJ72,"ч:мм")),"ч:мм"),"",TEXT(IF(Настройки!AJ72="",TEXT(Настройки!$J2,"ч:мм"),TEXT(Настройки!AJ72,"ч:мм")),"ч:мм")&amp;"-"&amp;TEXT(IF(Настройки!AJ72="",TEXT(Настройки!$J2,"ч:мм"),TEXT(Настройки!AJ72,"ч:мм"))+TIME(0,Июль!AH13,0),"ч::мм"))</calculatedColumnFormula>
    </tableColumn>
  </tableColumns>
  <tableStyleInfo name="TableStyleLight15" showFirstColumn="0" showLastColumn="0" showRowStripes="0" showColumnStripes="1"/>
</table>
</file>

<file path=xl/tables/table54.xml><?xml version="1.0" encoding="utf-8"?>
<table xmlns="http://schemas.openxmlformats.org/spreadsheetml/2006/main" id="52" name="ИюльГраф3" displayName="ИюльГраф3" ref="A33:B36" totalsRowShown="0" headerRowDxfId="550" dataDxfId="549" tableBorderDxfId="548">
  <autoFilter ref="A33:B36">
    <filterColumn colId="0" hiddenButton="1"/>
    <filterColumn colId="1" hiddenButton="1"/>
  </autoFilter>
  <tableColumns count="2">
    <tableColumn id="1" name="Посещение" dataDxfId="547">
      <calculatedColumnFormula>A14</calculatedColumnFormula>
    </tableColumn>
    <tableColumn id="2" name="31" dataDxfId="546">
      <calculatedColumnFormula>IF(TEXT(IF(Настройки!AK72="",TEXT(Настройки!$J2,"ч:мм"),TEXT(Настройки!AK72,"ч:мм"))+TIME(0,Июль!AI13,0),"ч::мм")=TEXT(IF(Настройки!AK72="",TEXT(Настройки!$J2,"ч:мм"),TEXT(Настройки!AK72,"ч:мм")),"ч:мм"),"",TEXT(IF(Настройки!AK72="",TEXT(Настройки!$J2,"ч:мм"),TEXT(Настройки!AK72,"ч:мм")),"ч:мм")&amp;"-"&amp;TEXT(IF(Настройки!AK72="",TEXT(Настройки!$J2,"ч:мм"),TEXT(Настройки!AK72,"ч:мм"))+TIME(0,Июль!AI13,0),"ч::мм"))</calculatedColumnFormula>
    </tableColumn>
  </tableColumns>
  <tableStyleInfo name="TableStyleLight15" showFirstColumn="0" showLastColumn="0" showRowStripes="0" showColumnStripes="1"/>
</table>
</file>

<file path=xl/tables/table55.xml><?xml version="1.0" encoding="utf-8"?>
<table xmlns="http://schemas.openxmlformats.org/spreadsheetml/2006/main" id="4" name="Август" displayName="Август" ref="A25:AK28" headerRowDxfId="543" dataDxfId="542" totalsRowDxfId="541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540"/>
    <tableColumn id="2" name="Периодичность" dataDxfId="539" totalsRowDxfId="538">
      <calculatedColumnFormula>IF(Январь[[#This Row],[Периодичность]]&lt;&gt;"",Январь[[#This Row],[Периодичность]],"")</calculatedColumnFormula>
    </tableColumn>
    <tableColumn id="3" name="Объем" dataDxfId="537" totalsRowDxfId="536">
      <calculatedColumnFormula>IF(Январь[[#This Row],[Объем]]&lt;&gt;"",Январь[[#This Row],[Объем]],"")</calculatedColumnFormula>
    </tableColumn>
    <tableColumn id="4" name="№" dataDxfId="535" totalsRowDxfId="534"/>
    <tableColumn id="7" name="1"/>
    <tableColumn id="8" name="2"/>
    <tableColumn id="9" name="3"/>
    <tableColumn id="10" name="4" totalsRowDxfId="533"/>
    <tableColumn id="11" name="5" totalsRowDxfId="532"/>
    <tableColumn id="12" name="6" totalsRowDxfId="531"/>
    <tableColumn id="13" name="7"/>
    <tableColumn id="14" name="8"/>
    <tableColumn id="15" name="9"/>
    <tableColumn id="16" name="10"/>
    <tableColumn id="17" name="11" totalsRowDxfId="530"/>
    <tableColumn id="18" name="12" totalsRowDxfId="529"/>
    <tableColumn id="19" name="13" totalsRowDxfId="528"/>
    <tableColumn id="20" name="14"/>
    <tableColumn id="21" name="15"/>
    <tableColumn id="22" name="16"/>
    <tableColumn id="23" name="17"/>
    <tableColumn id="24" name="18" totalsRowDxfId="527"/>
    <tableColumn id="25" name="19" totalsRowDxfId="526"/>
    <tableColumn id="26" name="20" totalsRowDxfId="525"/>
    <tableColumn id="27" name="21"/>
    <tableColumn id="28" name="22"/>
    <tableColumn id="29" name="23"/>
    <tableColumn id="30" name="24"/>
    <tableColumn id="31" name="25" totalsRowDxfId="524"/>
    <tableColumn id="32" name="26" totalsRowDxfId="523"/>
    <tableColumn id="33" name="27" totalsRowDxfId="522"/>
    <tableColumn id="34" name="28"/>
    <tableColumn id="35" name="29"/>
    <tableColumn id="36" name="30"/>
    <tableColumn id="5" name="31"/>
    <tableColumn id="38" name="УСЛУГ" totalsRowFunction="sum" dataDxfId="521" totalsRowDxfId="520">
      <calculatedColumnFormula>IF(Август[[#This Row],[№]]=1,SUM(Август[[#This Row],[1]:[31]])+SUM(OFFSET(Август[[#This Row],[1]:[31]],1,0))+SUM(OFFSET(Август[[#This Row],[1]:[31]],2,0)),"")</calculatedColumnFormula>
    </tableColumn>
    <tableColumn id="39" name="МИНУТ" totalsRowFunction="sum" dataDxfId="519" totalsRowDxfId="518">
      <calculatedColumnFormula>IF(Август[[#This Row],[УСЛУГ]]&lt;&gt;"",Август[[#This Row],[УСЛУГ]]*Август[[#This Row],[Объем]],"")</calculatedColumnFormula>
    </tableColumn>
  </tableColumns>
  <tableStyleInfo name="TableStyleLight15" showFirstColumn="0" showLastColumn="0" showRowStripes="1" showColumnStripes="0"/>
</table>
</file>

<file path=xl/tables/table56.xml><?xml version="1.0" encoding="utf-8"?>
<table xmlns="http://schemas.openxmlformats.org/spreadsheetml/2006/main" id="5" name="АвгустИтоги" displayName="АвгустИтоги" ref="A12:AK18" totalsRowShown="0" headerRowDxfId="517" dataDxfId="516" tableBorderDxfId="515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514"/>
    <tableColumn id="2" name="за неделю" dataDxfId="513">
      <calculatedColumnFormula>SUM(E16:H16)</calculatedColumnFormula>
    </tableColumn>
    <tableColumn id="3" name="всего минут" dataDxfId="512">
      <calculatedColumnFormula>АвгустИтоги[[#This Row],[№]]*60</calculatedColumnFormula>
    </tableColumn>
    <tableColumn id="4" name="№" dataDxfId="511"/>
    <tableColumn id="5" name="1" dataDxfId="510">
      <calculatedColumnFormula>SUM(E10:E16)</calculatedColumnFormula>
    </tableColumn>
    <tableColumn id="6" name="2" dataDxfId="509"/>
    <tableColumn id="7" name="3" dataDxfId="508"/>
    <tableColumn id="8" name="4" dataDxfId="507"/>
    <tableColumn id="9" name="5" dataDxfId="506"/>
    <tableColumn id="10" name="6" dataDxfId="505"/>
    <tableColumn id="11" name="7" dataDxfId="504"/>
    <tableColumn id="12" name="8" dataDxfId="503"/>
    <tableColumn id="13" name="9" dataDxfId="502"/>
    <tableColumn id="14" name="10" dataDxfId="501"/>
    <tableColumn id="15" name="11" dataDxfId="500"/>
    <tableColumn id="16" name="12" dataDxfId="499"/>
    <tableColumn id="17" name="13" dataDxfId="498"/>
    <tableColumn id="18" name="14" dataDxfId="497"/>
    <tableColumn id="19" name="15" dataDxfId="496"/>
    <tableColumn id="20" name="16" dataDxfId="495"/>
    <tableColumn id="21" name="17" dataDxfId="494"/>
    <tableColumn id="22" name="18" dataDxfId="493"/>
    <tableColumn id="23" name="19" dataDxfId="492"/>
    <tableColumn id="24" name="20" dataDxfId="491"/>
    <tableColumn id="25" name="21" dataDxfId="490"/>
    <tableColumn id="26" name="22" dataDxfId="489"/>
    <tableColumn id="27" name="23" dataDxfId="488"/>
    <tableColumn id="28" name="24" dataDxfId="487"/>
    <tableColumn id="29" name="25" dataDxfId="486"/>
    <tableColumn id="30" name="26" dataDxfId="485"/>
    <tableColumn id="31" name="27" dataDxfId="484"/>
    <tableColumn id="32" name="28" dataDxfId="483"/>
    <tableColumn id="33" name="29" dataDxfId="482"/>
    <tableColumn id="34" name="30" dataDxfId="481"/>
    <tableColumn id="37" name="31" dataDxfId="480">
      <calculatedColumnFormula>SUMPRODUCT((Август[№]=1)*Август[31],Август[Объем])</calculatedColumnFormula>
    </tableColumn>
    <tableColumn id="35" name="УСЛУГ" dataDxfId="479">
      <calculatedColumnFormula>SUM(Сентябрь[УСЛУГ])</calculatedColumnFormula>
    </tableColumn>
    <tableColumn id="36" name="МИНУТ" dataDxfId="478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57.xml><?xml version="1.0" encoding="utf-8"?>
<table xmlns="http://schemas.openxmlformats.org/spreadsheetml/2006/main" id="53" name="АвгустГраф1" displayName="АвгустГраф1" ref="A13:P16" totalsRowShown="0" headerRowDxfId="474" dataDxfId="473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7">
      <calculatedColumnFormula>IF(Настройки!J2&lt;&gt;"",TEXT(MIN(Настройки!G78:AK78,Настройки!J2),"ч:мм")&amp;"-"&amp;TEXT(MAX(Настройки!G78:AK78,Настройки!J2)+TIME(0,MAX(Август!E13:AI13),0),"ч:мм"),"")</calculatedColumnFormula>
    </tableColumn>
    <tableColumn id="2" name="1" dataDxfId="16">
      <calculatedColumnFormula>IF(TEXT(IF(Настройки!G78="",TEXT(Настройки!$J2,"ч:мм"),TEXT(Настройки!G78,"ч:мм"))+TIME(0,Август!E13,0),"ч::мм")=TEXT(IF(Настройки!G78="",TEXT(Настройки!$J2,"ч:мм"),TEXT(Настройки!G78,"ч:мм")),"ч:мм"),"",TEXT(IF(Настройки!G78="",TEXT(Настройки!$J2,"ч:мм"),TEXT(Настройки!G78,"ч:мм")),"ч:мм")&amp;"-"&amp;TEXT(IF(Настройки!G78="",TEXT(Настройки!$J2,"ч:мм"),TEXT(Настройки!G78,"ч:мм"))+TIME(0,Август!E13,0),"ч::мм"))</calculatedColumnFormula>
    </tableColumn>
    <tableColumn id="3" name="2" dataDxfId="472">
      <calculatedColumnFormula>IF(TEXT(IF(Настройки!H78="",TEXT(Настройки!$J2,"ч:мм"),TEXT(Настройки!H78,"ч:мм"))+TIME(0,Август!F13,0),"ч::мм")=TEXT(IF(Настройки!H78="",TEXT(Настройки!$J2,"ч:мм"),TEXT(Настройки!H78,"ч:мм")),"ч:мм"),"",TEXT(IF(Настройки!H78="",TEXT(Настройки!$J2,"ч:мм"),TEXT(Настройки!H78,"ч:мм")),"ч:мм")&amp;"-"&amp;TEXT(IF(Настройки!H78="",TEXT(Настройки!$J2,"ч:мм"),TEXT(Настройки!H78,"ч:мм"))+TIME(0,Август!F13,0),"ч::мм"))</calculatedColumnFormula>
    </tableColumn>
    <tableColumn id="4" name="3" dataDxfId="471">
      <calculatedColumnFormula>IF(TEXT(IF(Настройки!I78="",TEXT(Настройки!$J2,"ч:мм"),TEXT(Настройки!I78,"ч:мм"))+TIME(0,Август!G13,0),"ч::мм")=TEXT(IF(Настройки!I78="",TEXT(Настройки!$J2,"ч:мм"),TEXT(Настройки!I78,"ч:мм")),"ч:мм"),"",TEXT(IF(Настройки!I78="",TEXT(Настройки!$J2,"ч:мм"),TEXT(Настройки!I78,"ч:мм")),"ч:мм")&amp;"-"&amp;TEXT(IF(Настройки!I78="",TEXT(Настройки!$J2,"ч:мм"),TEXT(Настройки!I78,"ч:мм"))+TIME(0,Август!G13,0),"ч::мм"))</calculatedColumnFormula>
    </tableColumn>
    <tableColumn id="5" name="4" dataDxfId="470">
      <calculatedColumnFormula>IF(TEXT(IF(Настройки!J78="",TEXT(Настройки!$J2,"ч:мм"),TEXT(Настройки!J78,"ч:мм"))+TIME(0,Август!H13,0),"ч::мм")=TEXT(IF(Настройки!J78="",TEXT(Настройки!$J2,"ч:мм"),TEXT(Настройки!J78,"ч:мм")),"ч:мм"),"",TEXT(IF(Настройки!J78="",TEXT(Настройки!$J2,"ч:мм"),TEXT(Настройки!J78,"ч:мм")),"ч:мм")&amp;"-"&amp;TEXT(IF(Настройки!J78="",TEXT(Настройки!$J2,"ч:мм"),TEXT(Настройки!J78,"ч:мм"))+TIME(0,Август!H13,0),"ч::мм"))</calculatedColumnFormula>
    </tableColumn>
    <tableColumn id="6" name="5" dataDxfId="469">
      <calculatedColumnFormula>IF(TEXT(IF(Настройки!K78="",TEXT(Настройки!$J2,"ч:мм"),TEXT(Настройки!K78,"ч:мм"))+TIME(0,Август!I13,0),"ч::мм")=TEXT(IF(Настройки!K78="",TEXT(Настройки!$J2,"ч:мм"),TEXT(Настройки!K78,"ч:мм")),"ч:мм"),"",TEXT(IF(Настройки!K78="",TEXT(Настройки!$J2,"ч:мм"),TEXT(Настройки!K78,"ч:мм")),"ч:мм")&amp;"-"&amp;TEXT(IF(Настройки!K78="",TEXT(Настройки!$J2,"ч:мм"),TEXT(Настройки!K78,"ч:мм"))+TIME(0,Август!I13,0),"ч::мм"))</calculatedColumnFormula>
    </tableColumn>
    <tableColumn id="7" name="6" dataDxfId="468">
      <calculatedColumnFormula>IF(TEXT(IF(Настройки!L78="",TEXT(Настройки!$J2,"ч:мм"),TEXT(Настройки!L78,"ч:мм"))+TIME(0,Август!J13,0),"ч::мм")=TEXT(IF(Настройки!L78="",TEXT(Настройки!$J2,"ч:мм"),TEXT(Настройки!L78,"ч:мм")),"ч:мм"),"",TEXT(IF(Настройки!L78="",TEXT(Настройки!$J2,"ч:мм"),TEXT(Настройки!L78,"ч:мм")),"ч:мм")&amp;"-"&amp;TEXT(IF(Настройки!L78="",TEXT(Настройки!$J2,"ч:мм"),TEXT(Настройки!L78,"ч:мм"))+TIME(0,Август!J13,0),"ч::мм"))</calculatedColumnFormula>
    </tableColumn>
    <tableColumn id="8" name="7" dataDxfId="467">
      <calculatedColumnFormula>IF(TEXT(IF(Настройки!M78="",TEXT(Настройки!$J2,"ч:мм"),TEXT(Настройки!M78,"ч:мм"))+TIME(0,Август!K13,0),"ч::мм")=TEXT(IF(Настройки!M78="",TEXT(Настройки!$J2,"ч:мм"),TEXT(Настройки!M78,"ч:мм")),"ч:мм"),"",TEXT(IF(Настройки!M78="",TEXT(Настройки!$J2,"ч:мм"),TEXT(Настройки!M78,"ч:мм")),"ч:мм")&amp;"-"&amp;TEXT(IF(Настройки!M78="",TEXT(Настройки!$J2,"ч:мм"),TEXT(Настройки!M78,"ч:мм"))+TIME(0,Август!K13,0),"ч::мм"))</calculatedColumnFormula>
    </tableColumn>
    <tableColumn id="9" name="8" dataDxfId="466">
      <calculatedColumnFormula>IF(TEXT(IF(Настройки!N78="",TEXT(Настройки!$J2,"ч:мм"),TEXT(Настройки!N78,"ч:мм"))+TIME(0,Август!L13,0),"ч::мм")=TEXT(IF(Настройки!N78="",TEXT(Настройки!$J2,"ч:мм"),TEXT(Настройки!N78,"ч:мм")),"ч:мм"),"",TEXT(IF(Настройки!N78="",TEXT(Настройки!$J2,"ч:мм"),TEXT(Настройки!N78,"ч:мм")),"ч:мм")&amp;"-"&amp;TEXT(IF(Настройки!N78="",TEXT(Настройки!$J2,"ч:мм"),TEXT(Настройки!N78,"ч:мм"))+TIME(0,Август!L13,0),"ч::мм"))</calculatedColumnFormula>
    </tableColumn>
    <tableColumn id="10" name="9" dataDxfId="465">
      <calculatedColumnFormula>IF(TEXT(IF(Настройки!O78="",TEXT(Настройки!$J2,"ч:мм"),TEXT(Настройки!O78,"ч:мм"))+TIME(0,Август!M13,0),"ч::мм")=TEXT(IF(Настройки!O78="",TEXT(Настройки!$J2,"ч:мм"),TEXT(Настройки!O78,"ч:мм")),"ч:мм"),"",TEXT(IF(Настройки!O78="",TEXT(Настройки!$J2,"ч:мм"),TEXT(Настройки!O78,"ч:мм")),"ч:мм")&amp;"-"&amp;TEXT(IF(Настройки!O78="",TEXT(Настройки!$J2,"ч:мм"),TEXT(Настройки!O78,"ч:мм"))+TIME(0,Август!M13,0),"ч::мм"))</calculatedColumnFormula>
    </tableColumn>
    <tableColumn id="11" name="10" dataDxfId="464">
      <calculatedColumnFormula>IF(TEXT(IF(Настройки!P78="",TEXT(Настройки!$J2,"ч:мм"),TEXT(Настройки!P78,"ч:мм"))+TIME(0,Август!N13,0),"ч::мм")=TEXT(IF(Настройки!P78="",TEXT(Настройки!$J2,"ч:мм"),TEXT(Настройки!P78,"ч:мм")),"ч:мм"),"",TEXT(IF(Настройки!P78="",TEXT(Настройки!$J2,"ч:мм"),TEXT(Настройки!P78,"ч:мм")),"ч:мм")&amp;"-"&amp;TEXT(IF(Настройки!P78="",TEXT(Настройки!$J2,"ч:мм"),TEXT(Настройки!P78,"ч:мм"))+TIME(0,Август!N13,0),"ч::мм"))</calculatedColumnFormula>
    </tableColumn>
    <tableColumn id="12" name="11" dataDxfId="463">
      <calculatedColumnFormula>IF(TEXT(IF(Настройки!Q78="",TEXT(Настройки!$J2,"ч:мм"),TEXT(Настройки!Q78,"ч:мм"))+TIME(0,Август!O13,0),"ч::мм")=TEXT(IF(Настройки!Q78="",TEXT(Настройки!$J2,"ч:мм"),TEXT(Настройки!Q78,"ч:мм")),"ч:мм"),"",TEXT(IF(Настройки!Q78="",TEXT(Настройки!$J2,"ч:мм"),TEXT(Настройки!Q78,"ч:мм")),"ч:мм")&amp;"-"&amp;TEXT(IF(Настройки!Q78="",TEXT(Настройки!$J2,"ч:мм"),TEXT(Настройки!Q78,"ч:мм"))+TIME(0,Август!O13,0),"ч::мм"))</calculatedColumnFormula>
    </tableColumn>
    <tableColumn id="13" name="12" dataDxfId="462">
      <calculatedColumnFormula>IF(TEXT(IF(Настройки!R78="",TEXT(Настройки!$J2,"ч:мм"),TEXT(Настройки!R78,"ч:мм"))+TIME(0,Август!P13,0),"ч::мм")=TEXT(IF(Настройки!R78="",TEXT(Настройки!$J2,"ч:мм"),TEXT(Настройки!R78,"ч:мм")),"ч:мм"),"",TEXT(IF(Настройки!R78="",TEXT(Настройки!$J2,"ч:мм"),TEXT(Настройки!R78,"ч:мм")),"ч:мм")&amp;"-"&amp;TEXT(IF(Настройки!R78="",TEXT(Настройки!$J2,"ч:мм"),TEXT(Настройки!R78,"ч:мм"))+TIME(0,Август!P13,0),"ч::мм"))</calculatedColumnFormula>
    </tableColumn>
    <tableColumn id="14" name="13" dataDxfId="461">
      <calculatedColumnFormula>IF(TEXT(IF(Настройки!S78="",TEXT(Настройки!$J2,"ч:мм"),TEXT(Настройки!S78,"ч:мм"))+TIME(0,Август!Q13,0),"ч::мм")=TEXT(IF(Настройки!S78="",TEXT(Настройки!$J2,"ч:мм"),TEXT(Настройки!S78,"ч:мм")),"ч:мм"),"",TEXT(IF(Настройки!S78="",TEXT(Настройки!$J2,"ч:мм"),TEXT(Настройки!S78,"ч:мм")),"ч:мм")&amp;"-"&amp;TEXT(IF(Настройки!S78="",TEXT(Настройки!$J2,"ч:мм"),TEXT(Настройки!S78,"ч:мм"))+TIME(0,Август!Q13,0),"ч::мм"))</calculatedColumnFormula>
    </tableColumn>
    <tableColumn id="15" name="14" dataDxfId="460">
      <calculatedColumnFormula>IF(TEXT(IF(Настройки!T78="",TEXT(Настройки!$J2,"ч:мм"),TEXT(Настройки!T78,"ч:мм"))+TIME(0,Август!R13,0),"ч::мм")=TEXT(IF(Настройки!T78="",TEXT(Настройки!$J2,"ч:мм"),TEXT(Настройки!T78,"ч:мм")),"ч:мм"),"",TEXT(IF(Настройки!T78="",TEXT(Настройки!$J2,"ч:мм"),TEXT(Настройки!T78,"ч:мм")),"ч:мм")&amp;"-"&amp;TEXT(IF(Настройки!T78="",TEXT(Настройки!$J2,"ч:мм"),TEXT(Настройки!T78,"ч:мм"))+TIME(0,Август!R13,0),"ч::мм"))</calculatedColumnFormula>
    </tableColumn>
    <tableColumn id="16" name="15" dataDxfId="459">
      <calculatedColumnFormula>IF(TEXT(IF(Настройки!U78="",TEXT(Настройки!$J2,"ч:мм"),TEXT(Настройки!U78,"ч:мм"))+TIME(0,Август!S13,0),"ч::мм")=TEXT(IF(Настройки!U78="",TEXT(Настройки!$J2,"ч:мм"),TEXT(Настройки!U78,"ч:мм")),"ч:мм"),"",TEXT(IF(Настройки!U78="",TEXT(Настройки!$J2,"ч:мм"),TEXT(Настройки!U78,"ч:мм")),"ч:мм")&amp;"-"&amp;TEXT(IF(Настройки!U78="",TEXT(Настройки!$J2,"ч:мм"),TEXT(Настройки!U78,"ч:мм"))+TIME(0,Август!S13,0),"ч::мм"))</calculatedColumnFormula>
    </tableColumn>
  </tableColumns>
  <tableStyleInfo name="TableStyleLight15" showFirstColumn="0" showLastColumn="0" showRowStripes="0" showColumnStripes="1"/>
</table>
</file>

<file path=xl/tables/table58.xml><?xml version="1.0" encoding="utf-8"?>
<table xmlns="http://schemas.openxmlformats.org/spreadsheetml/2006/main" id="54" name="АвгустГраф2" displayName="АвгустГраф2" ref="A23:P26" totalsRowShown="0" headerRowDxfId="458" dataDxfId="457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456">
      <calculatedColumnFormula>A14</calculatedColumnFormula>
    </tableColumn>
    <tableColumn id="2" name="16" dataDxfId="15">
      <calculatedColumnFormula>IF(TEXT(IF(Настройки!V78="",TEXT(Настройки!$J2,"ч:мм"),TEXT(Настройки!V78,"ч:мм"))+TIME(0,Август!T13,0),"ч::мм")=TEXT(IF(Настройки!V78="",TEXT(Настройки!$J2,"ч:мм"),TEXT(Настройки!V78,"ч:мм")),"ч:мм"),"",TEXT(IF(Настройки!V78="",TEXT(Настройки!$J2,"ч:мм"),TEXT(Настройки!V78,"ч:мм")),"ч:мм")&amp;"-"&amp;TEXT(IF(Настройки!V78="",TEXT(Настройки!$J2,"ч:мм"),TEXT(Настройки!V78,"ч:мм"))+TIME(0,Август!T13,0),"ч::мм"))</calculatedColumnFormula>
    </tableColumn>
    <tableColumn id="3" name="17" dataDxfId="455">
      <calculatedColumnFormula>IF(TEXT(IF(Настройки!W78="",TEXT(Настройки!$J2,"ч:мм"),TEXT(Настройки!W78,"ч:мм"))+TIME(0,Август!U13,0),"ч::мм")=TEXT(IF(Настройки!W78="",TEXT(Настройки!$J2,"ч:мм"),TEXT(Настройки!W78,"ч:мм")),"ч:мм"),"",TEXT(IF(Настройки!W78="",TEXT(Настройки!$J2,"ч:мм"),TEXT(Настройки!W78,"ч:мм")),"ч:мм")&amp;"-"&amp;TEXT(IF(Настройки!W78="",TEXT(Настройки!$J2,"ч:мм"),TEXT(Настройки!W78,"ч:мм"))+TIME(0,Август!U13,0),"ч::мм"))</calculatedColumnFormula>
    </tableColumn>
    <tableColumn id="4" name="18" dataDxfId="454">
      <calculatedColumnFormula>IF(TEXT(IF(Настройки!X78="",TEXT(Настройки!$J2,"ч:мм"),TEXT(Настройки!X78,"ч:мм"))+TIME(0,Август!V13,0),"ч::мм")=TEXT(IF(Настройки!X78="",TEXT(Настройки!$J2,"ч:мм"),TEXT(Настройки!X78,"ч:мм")),"ч:мм"),"",TEXT(IF(Настройки!X78="",TEXT(Настройки!$J2,"ч:мм"),TEXT(Настройки!X78,"ч:мм")),"ч:мм")&amp;"-"&amp;TEXT(IF(Настройки!X78="",TEXT(Настройки!$J2,"ч:мм"),TEXT(Настройки!X78,"ч:мм"))+TIME(0,Август!V13,0),"ч::мм"))</calculatedColumnFormula>
    </tableColumn>
    <tableColumn id="5" name="19" dataDxfId="453">
      <calculatedColumnFormula>IF(TEXT(IF(Настройки!Y78="",TEXT(Настройки!$J2,"ч:мм"),TEXT(Настройки!Y78,"ч:мм"))+TIME(0,Август!W13,0),"ч::мм")=TEXT(IF(Настройки!Y78="",TEXT(Настройки!$J2,"ч:мм"),TEXT(Настройки!Y78,"ч:мм")),"ч:мм"),"",TEXT(IF(Настройки!Y78="",TEXT(Настройки!$J2,"ч:мм"),TEXT(Настройки!Y78,"ч:мм")),"ч:мм")&amp;"-"&amp;TEXT(IF(Настройки!Y78="",TEXT(Настройки!$J2,"ч:мм"),TEXT(Настройки!Y78,"ч:мм"))+TIME(0,Август!W13,0),"ч::мм"))</calculatedColumnFormula>
    </tableColumn>
    <tableColumn id="6" name="20" dataDxfId="452">
      <calculatedColumnFormula>IF(TEXT(IF(Настройки!Z78="",TEXT(Настройки!$J2,"ч:мм"),TEXT(Настройки!Z78,"ч:мм"))+TIME(0,Август!X13,0),"ч::мм")=TEXT(IF(Настройки!Z78="",TEXT(Настройки!$J2,"ч:мм"),TEXT(Настройки!Z78,"ч:мм")),"ч:мм"),"",TEXT(IF(Настройки!Z78="",TEXT(Настройки!$J2,"ч:мм"),TEXT(Настройки!Z78,"ч:мм")),"ч:мм")&amp;"-"&amp;TEXT(IF(Настройки!Z78="",TEXT(Настройки!$J2,"ч:мм"),TEXT(Настройки!Z78,"ч:мм"))+TIME(0,Август!X13,0),"ч::мм"))</calculatedColumnFormula>
    </tableColumn>
    <tableColumn id="7" name="21" dataDxfId="451">
      <calculatedColumnFormula>IF(TEXT(IF(Настройки!AA78="",TEXT(Настройки!$J2,"ч:мм"),TEXT(Настройки!AA78,"ч:мм"))+TIME(0,Август!Y13,0),"ч::мм")=TEXT(IF(Настройки!AA78="",TEXT(Настройки!$J2,"ч:мм"),TEXT(Настройки!AA78,"ч:мм")),"ч:мм"),"",TEXT(IF(Настройки!AA78="",TEXT(Настройки!$J2,"ч:мм"),TEXT(Настройки!AA78,"ч:мм")),"ч:мм")&amp;"-"&amp;TEXT(IF(Настройки!AA78="",TEXT(Настройки!$J2,"ч:мм"),TEXT(Настройки!AA78,"ч:мм"))+TIME(0,Август!Y13,0),"ч::мм"))</calculatedColumnFormula>
    </tableColumn>
    <tableColumn id="8" name="22" dataDxfId="450">
      <calculatedColumnFormula>IF(TEXT(IF(Настройки!AB78="",TEXT(Настройки!$J2,"ч:мм"),TEXT(Настройки!AB78,"ч:мм"))+TIME(0,Август!Z13,0),"ч::мм")=TEXT(IF(Настройки!AB78="",TEXT(Настройки!$J2,"ч:мм"),TEXT(Настройки!AB78,"ч:мм")),"ч:мм"),"",TEXT(IF(Настройки!AB78="",TEXT(Настройки!$J2,"ч:мм"),TEXT(Настройки!AB78,"ч:мм")),"ч:мм")&amp;"-"&amp;TEXT(IF(Настройки!AB78="",TEXT(Настройки!$J2,"ч:мм"),TEXT(Настройки!AB78,"ч:мм"))+TIME(0,Август!Z13,0),"ч::мм"))</calculatedColumnFormula>
    </tableColumn>
    <tableColumn id="9" name="23" dataDxfId="449">
      <calculatedColumnFormula>IF(TEXT(IF(Настройки!AC78="",TEXT(Настройки!$J2,"ч:мм"),TEXT(Настройки!AC78,"ч:мм"))+TIME(0,Август!AA13,0),"ч::мм")=TEXT(IF(Настройки!AC78="",TEXT(Настройки!$J2,"ч:мм"),TEXT(Настройки!AC78,"ч:мм")),"ч:мм"),"",TEXT(IF(Настройки!AC78="",TEXT(Настройки!$J2,"ч:мм"),TEXT(Настройки!AC78,"ч:мм")),"ч:мм")&amp;"-"&amp;TEXT(IF(Настройки!AC78="",TEXT(Настройки!$J2,"ч:мм"),TEXT(Настройки!AC78,"ч:мм"))+TIME(0,Август!AA13,0),"ч::мм"))</calculatedColumnFormula>
    </tableColumn>
    <tableColumn id="10" name="24" dataDxfId="448">
      <calculatedColumnFormula>IF(TEXT(IF(Настройки!AD78="",TEXT(Настройки!$J2,"ч:мм"),TEXT(Настройки!AD78,"ч:мм"))+TIME(0,Август!AB13,0),"ч::мм")=TEXT(IF(Настройки!AD78="",TEXT(Настройки!$J2,"ч:мм"),TEXT(Настройки!AD78,"ч:мм")),"ч:мм"),"",TEXT(IF(Настройки!AD78="",TEXT(Настройки!$J2,"ч:мм"),TEXT(Настройки!AD78,"ч:мм")),"ч:мм")&amp;"-"&amp;TEXT(IF(Настройки!AD78="",TEXT(Настройки!$J2,"ч:мм"),TEXT(Настройки!AD78,"ч:мм"))+TIME(0,Август!AB13,0),"ч::мм"))</calculatedColumnFormula>
    </tableColumn>
    <tableColumn id="11" name="25" dataDxfId="447">
      <calculatedColumnFormula>IF(TEXT(IF(Настройки!AE78="",TEXT(Настройки!$J2,"ч:мм"),TEXT(Настройки!AE78,"ч:мм"))+TIME(0,Август!AC13,0),"ч::мм")=TEXT(IF(Настройки!AE78="",TEXT(Настройки!$J2,"ч:мм"),TEXT(Настройки!AE78,"ч:мм")),"ч:мм"),"",TEXT(IF(Настройки!AE78="",TEXT(Настройки!$J2,"ч:мм"),TEXT(Настройки!AE78,"ч:мм")),"ч:мм")&amp;"-"&amp;TEXT(IF(Настройки!AE78="",TEXT(Настройки!$J2,"ч:мм"),TEXT(Настройки!AE78,"ч:мм"))+TIME(0,Август!AC13,0),"ч::мм"))</calculatedColumnFormula>
    </tableColumn>
    <tableColumn id="12" name="26" dataDxfId="446">
      <calculatedColumnFormula>IF(TEXT(IF(Настройки!AF78="",TEXT(Настройки!$J2,"ч:мм"),TEXT(Настройки!AF78,"ч:мм"))+TIME(0,Август!AD13,0),"ч::мм")=TEXT(IF(Настройки!AF78="",TEXT(Настройки!$J2,"ч:мм"),TEXT(Настройки!AF78,"ч:мм")),"ч:мм"),"",TEXT(IF(Настройки!AF78="",TEXT(Настройки!$J2,"ч:мм"),TEXT(Настройки!AF78,"ч:мм")),"ч:мм")&amp;"-"&amp;TEXT(IF(Настройки!AF78="",TEXT(Настройки!$J2,"ч:мм"),TEXT(Настройки!AF78,"ч:мм"))+TIME(0,Август!AD13,0),"ч::мм"))</calculatedColumnFormula>
    </tableColumn>
    <tableColumn id="13" name="27" dataDxfId="445">
      <calculatedColumnFormula>IF(TEXT(IF(Настройки!AG78="",TEXT(Настройки!$J2,"ч:мм"),TEXT(Настройки!AG78,"ч:мм"))+TIME(0,Август!AE13,0),"ч::мм")=TEXT(IF(Настройки!AG78="",TEXT(Настройки!$J2,"ч:мм"),TEXT(Настройки!AG78,"ч:мм")),"ч:мм"),"",TEXT(IF(Настройки!AG78="",TEXT(Настройки!$J2,"ч:мм"),TEXT(Настройки!AG78,"ч:мм")),"ч:мм")&amp;"-"&amp;TEXT(IF(Настройки!AG78="",TEXT(Настройки!$J2,"ч:мм"),TEXT(Настройки!AG78,"ч:мм"))+TIME(0,Август!AE13,0),"ч::мм"))</calculatedColumnFormula>
    </tableColumn>
    <tableColumn id="14" name="28" dataDxfId="444">
      <calculatedColumnFormula>IF(TEXT(IF(Настройки!AH78="",TEXT(Настройки!$J2,"ч:мм"),TEXT(Настройки!AH78,"ч:мм"))+TIME(0,Август!AF13,0),"ч::мм")=TEXT(IF(Настройки!AH78="",TEXT(Настройки!$J2,"ч:мм"),TEXT(Настройки!AH78,"ч:мм")),"ч:мм"),"",TEXT(IF(Настройки!AH78="",TEXT(Настройки!$J2,"ч:мм"),TEXT(Настройки!AH78,"ч:мм")),"ч:мм")&amp;"-"&amp;TEXT(IF(Настройки!AH78="",TEXT(Настройки!$J2,"ч:мм"),TEXT(Настройки!AH78,"ч:мм"))+TIME(0,Август!AF13,0),"ч::мм"))</calculatedColumnFormula>
    </tableColumn>
    <tableColumn id="15" name="29" dataDxfId="443">
      <calculatedColumnFormula>IF(TEXT(IF(Настройки!AI78="",TEXT(Настройки!$J2,"ч:мм"),TEXT(Настройки!AI78,"ч:мм"))+TIME(0,Август!AG13,0),"ч::мм")=TEXT(IF(Настройки!AI78="",TEXT(Настройки!$J2,"ч:мм"),TEXT(Настройки!AI78,"ч:мм")),"ч:мм"),"",TEXT(IF(Настройки!AI78="",TEXT(Настройки!$J2,"ч:мм"),TEXT(Настройки!AI78,"ч:мм")),"ч:мм")&amp;"-"&amp;TEXT(IF(Настройки!AI78="",TEXT(Настройки!$J2,"ч:мм"),TEXT(Настройки!AI78,"ч:мм"))+TIME(0,Август!AG13,0),"ч::мм"))</calculatedColumnFormula>
    </tableColumn>
    <tableColumn id="16" name="30" dataDxfId="442">
      <calculatedColumnFormula>IF(TEXT(IF(Настройки!AJ78="",TEXT(Настройки!$J2,"ч:мм"),TEXT(Настройки!AJ78,"ч:мм"))+TIME(0,Август!AH13,0),"ч::мм")=TEXT(IF(Настройки!AJ78="",TEXT(Настройки!$J2,"ч:мм"),TEXT(Настройки!AJ78,"ч:мм")),"ч:мм"),"",TEXT(IF(Настройки!AJ78="",TEXT(Настройки!$J2,"ч:мм"),TEXT(Настройки!AJ78,"ч:мм")),"ч:мм")&amp;"-"&amp;TEXT(IF(Настройки!AJ78="",TEXT(Настройки!$J2,"ч:мм"),TEXT(Настройки!AJ78,"ч:мм"))+TIME(0,Август!AH13,0),"ч::мм"))</calculatedColumnFormula>
    </tableColumn>
  </tableColumns>
  <tableStyleInfo name="TableStyleLight15" showFirstColumn="0" showLastColumn="0" showRowStripes="0" showColumnStripes="1"/>
</table>
</file>

<file path=xl/tables/table59.xml><?xml version="1.0" encoding="utf-8"?>
<table xmlns="http://schemas.openxmlformats.org/spreadsheetml/2006/main" id="55" name="АвгустГраф3" displayName="АвгустГраф3" ref="A33:B36" totalsRowShown="0" headerRowDxfId="441" dataDxfId="440" tableBorderDxfId="439">
  <autoFilter ref="A33:B36">
    <filterColumn colId="0" hiddenButton="1"/>
    <filterColumn colId="1" hiddenButton="1"/>
  </autoFilter>
  <tableColumns count="2">
    <tableColumn id="1" name="Посещение" dataDxfId="438">
      <calculatedColumnFormula>A14</calculatedColumnFormula>
    </tableColumn>
    <tableColumn id="2" name="31" dataDxfId="14">
      <calculatedColumnFormula>IF(TEXT(IF(Настройки!AK78="",TEXT(Настройки!$J2,"ч:мм"),TEXT(Настройки!AK78,"ч:мм"))+TIME(0,Август!AI13,0),"ч::мм")=TEXT(IF(Настройки!AK78="",TEXT(Настройки!$J2,"ч:мм"),TEXT(Настройки!AK78,"ч:мм")),"ч:мм"),"",TEXT(IF(Настройки!AK78="",TEXT(Настройки!$J2,"ч:мм"),TEXT(Настройки!AK78,"ч:мм")),"ч:мм")&amp;"-"&amp;TEXT(IF(Настройки!AK78="",TEXT(Настройки!$J2,"ч:мм"),TEXT(Настройки!AK78,"ч:мм"))+TIME(0,Август!AI13,0),"ч::мм"))</calculatedColumnFormula>
    </tableColumn>
  </tableColumns>
  <tableStyleInfo name="TableStyleLight15" showFirstColumn="0" showLastColumn="0" showRowStripes="0" showColumnStripes="1"/>
</table>
</file>

<file path=xl/tables/table60.xml><?xml version="1.0" encoding="utf-8"?>
<table xmlns="http://schemas.openxmlformats.org/spreadsheetml/2006/main" id="3" name="Сентябрь" displayName="Сентябрь" ref="A25:AJ28" headerRowDxfId="435" dataDxfId="434" totalsRowDxfId="433">
  <autoFilter ref="A25:AJ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Услуга" totalsRowLabel="Итог" dataDxfId="432"/>
    <tableColumn id="2" name="Периодичность" dataDxfId="431" totalsRowDxfId="430">
      <calculatedColumnFormula>IF(Январь[[#This Row],[Периодичность]]&lt;&gt;"",Январь[[#This Row],[Периодичность]],"")</calculatedColumnFormula>
    </tableColumn>
    <tableColumn id="3" name="Объем" dataDxfId="429" totalsRowDxfId="428">
      <calculatedColumnFormula>IF(Январь[[#This Row],[Объем]]&lt;&gt;"",Январь[[#This Row],[Объем]],"")</calculatedColumnFormula>
    </tableColumn>
    <tableColumn id="4" name="№" dataDxfId="427" totalsRowDxfId="426"/>
    <tableColumn id="7" name="1"/>
    <tableColumn id="8" name="2"/>
    <tableColumn id="9" name="3"/>
    <tableColumn id="10" name="4" totalsRowDxfId="425"/>
    <tableColumn id="11" name="5" totalsRowDxfId="424"/>
    <tableColumn id="12" name="6" totalsRowDxfId="423"/>
    <tableColumn id="13" name="7"/>
    <tableColumn id="14" name="8"/>
    <tableColumn id="15" name="9"/>
    <tableColumn id="16" name="10"/>
    <tableColumn id="17" name="11" totalsRowDxfId="422"/>
    <tableColumn id="18" name="12" totalsRowDxfId="421"/>
    <tableColumn id="19" name="13" totalsRowDxfId="420"/>
    <tableColumn id="20" name="14"/>
    <tableColumn id="21" name="15"/>
    <tableColumn id="22" name="16"/>
    <tableColumn id="23" name="17"/>
    <tableColumn id="24" name="18" totalsRowDxfId="419"/>
    <tableColumn id="25" name="19" totalsRowDxfId="418"/>
    <tableColumn id="26" name="20" totalsRowDxfId="417"/>
    <tableColumn id="27" name="21"/>
    <tableColumn id="28" name="22"/>
    <tableColumn id="29" name="23"/>
    <tableColumn id="30" name="24"/>
    <tableColumn id="31" name="25" totalsRowDxfId="416"/>
    <tableColumn id="32" name="26" totalsRowDxfId="415"/>
    <tableColumn id="33" name="27" totalsRowDxfId="414"/>
    <tableColumn id="34" name="28"/>
    <tableColumn id="35" name="29"/>
    <tableColumn id="36" name="30"/>
    <tableColumn id="38" name="УСЛУГ" totalsRowFunction="sum" dataDxfId="413" totalsRowDxfId="412">
      <calculatedColumnFormula>IF(Сентябрь[[#This Row],[№]]=1,SUM(Сентябрь[[#This Row],[1]:[30]])+SUM(OFFSET(Сентябрь[[#This Row],[1]:[30]],1,0))+SUM(OFFSET(Сентябрь[[#This Row],[1]:[30]],2,0)),"")</calculatedColumnFormula>
    </tableColumn>
    <tableColumn id="39" name="МИНУТ" totalsRowFunction="sum" dataDxfId="411" totalsRowDxfId="410">
      <calculatedColumnFormula>IF(Сентябрь[[#This Row],[УСЛУГ]]&lt;&gt;"",Сентябрь[[#This Row],[УСЛУГ]]*Сентябрь[[#This Row],[Объем]],"")</calculatedColumnFormula>
    </tableColumn>
  </tableColumns>
  <tableStyleInfo name="TableStyleLight15" showFirstColumn="0" showLastColumn="0" showRowStripes="1" showColumnStripes="0"/>
</table>
</file>

<file path=xl/tables/table61.xml><?xml version="1.0" encoding="utf-8"?>
<table xmlns="http://schemas.openxmlformats.org/spreadsheetml/2006/main" id="6" name="СентябрьИтоги" displayName="СентябрьИтоги" ref="A12:AJ18" totalsRowShown="0" headerRowDxfId="409" dataDxfId="408" tableBorderDxfId="407">
  <autoFilter ref="A12:AJ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периодичность" dataDxfId="406"/>
    <tableColumn id="2" name="за неделю" dataDxfId="405">
      <calculatedColumnFormula>SUM(H24:L24)</calculatedColumnFormula>
    </tableColumn>
    <tableColumn id="3" name="всего минут" dataDxfId="404">
      <calculatedColumnFormula>СентябрьИтоги[[#This Row],[№]]*60</calculatedColumnFormula>
    </tableColumn>
    <tableColumn id="4" name="№" dataDxfId="403"/>
    <tableColumn id="5" name="1" dataDxfId="402">
      <calculatedColumnFormula>SUM(E10:E20)</calculatedColumnFormula>
    </tableColumn>
    <tableColumn id="6" name="2" dataDxfId="401"/>
    <tableColumn id="7" name="3" dataDxfId="400"/>
    <tableColumn id="8" name="4" dataDxfId="399"/>
    <tableColumn id="9" name="5" dataDxfId="398"/>
    <tableColumn id="10" name="6" dataDxfId="397"/>
    <tableColumn id="11" name="7" dataDxfId="396"/>
    <tableColumn id="12" name="8" dataDxfId="395"/>
    <tableColumn id="13" name="9" dataDxfId="394"/>
    <tableColumn id="14" name="10" dataDxfId="393"/>
    <tableColumn id="15" name="11" dataDxfId="392"/>
    <tableColumn id="16" name="12" dataDxfId="391"/>
    <tableColumn id="17" name="13" dataDxfId="390"/>
    <tableColumn id="18" name="14" dataDxfId="389"/>
    <tableColumn id="19" name="15" dataDxfId="388"/>
    <tableColumn id="20" name="16" dataDxfId="387"/>
    <tableColumn id="21" name="17" dataDxfId="386"/>
    <tableColumn id="22" name="18" dataDxfId="385"/>
    <tableColumn id="23" name="19" dataDxfId="384"/>
    <tableColumn id="24" name="20" dataDxfId="383"/>
    <tableColumn id="25" name="21" dataDxfId="382"/>
    <tableColumn id="26" name="22" dataDxfId="381"/>
    <tableColumn id="27" name="23" dataDxfId="380"/>
    <tableColumn id="28" name="24" dataDxfId="379"/>
    <tableColumn id="29" name="25" dataDxfId="378"/>
    <tableColumn id="30" name="26" dataDxfId="377"/>
    <tableColumn id="31" name="27" dataDxfId="376"/>
    <tableColumn id="32" name="28" dataDxfId="375"/>
    <tableColumn id="33" name="29" dataDxfId="374"/>
    <tableColumn id="34" name="30" dataDxfId="373"/>
    <tableColumn id="35" name="УСЛУГ" dataDxfId="372">
      <calculatedColumnFormula>SUM(Сентябрь[УСЛУГ])</calculatedColumnFormula>
    </tableColumn>
    <tableColumn id="36" name="МИНУТ" dataDxfId="371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62.xml><?xml version="1.0" encoding="utf-8"?>
<table xmlns="http://schemas.openxmlformats.org/spreadsheetml/2006/main" id="56" name="СентябрьГраф1" displayName="СентябрьГраф1" ref="A13:P16" totalsRowShown="0" headerRowDxfId="368" dataDxfId="367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3">
      <calculatedColumnFormula>IF(Настройки!J2&lt;&gt;"",TEXT(MIN(Настройки!G84:AJ84,Настройки!J2),"ч:мм")&amp;"-"&amp;TEXT(MAX(Настройки!G84:AJ84,Настройки!J2)+TIME(0,MAX(Сентябрь!E13:AH13),0),"ч:мм"),"")</calculatedColumnFormula>
    </tableColumn>
    <tableColumn id="2" name="1" dataDxfId="12">
      <calculatedColumnFormula>IF(TEXT(IF(Настройки!G84="",TEXT(Настройки!$J2,"ч:мм"),TEXT(Настройки!G84,"ч:мм"))+TIME(0,Сентябрь!E13,0),"ч::мм")=TEXT(IF(Настройки!G84="",TEXT(Настройки!$J2,"ч:мм"),TEXT(Настройки!G84,"ч:мм")),"ч:мм"),"",TEXT(IF(Настройки!G84="",TEXT(Настройки!$J2,"ч:мм"),TEXT(Настройки!G84,"ч:мм")),"ч:мм")&amp;"-"&amp;TEXT(IF(Настройки!G84="",TEXT(Настройки!$J2,"ч:мм"),TEXT(Настройки!G84,"ч:мм"))+TIME(0,Сентябрь!E13,0),"ч::мм"))</calculatedColumnFormula>
    </tableColumn>
    <tableColumn id="3" name="2" dataDxfId="366">
      <calculatedColumnFormula>IF(TEXT(IF(Настройки!H84="",TEXT(Настройки!$J2,"ч:мм"),TEXT(Настройки!H84,"ч:мм"))+TIME(0,Сентябрь!F13,0),"ч::мм")=TEXT(IF(Настройки!H84="",TEXT(Настройки!$J2,"ч:мм"),TEXT(Настройки!H84,"ч:мм")),"ч:мм"),"",TEXT(IF(Настройки!H84="",TEXT(Настройки!$J2,"ч:мм"),TEXT(Настройки!H84,"ч:мм")),"ч:мм")&amp;"-"&amp;TEXT(IF(Настройки!H84="",TEXT(Настройки!$J2,"ч:мм"),TEXT(Настройки!H84,"ч:мм"))+TIME(0,Сентябрь!F13,0),"ч::мм"))</calculatedColumnFormula>
    </tableColumn>
    <tableColumn id="4" name="3" dataDxfId="365">
      <calculatedColumnFormula>IF(TEXT(IF(Настройки!I84="",TEXT(Настройки!$J2,"ч:мм"),TEXT(Настройки!I84,"ч:мм"))+TIME(0,Сентябрь!G13,0),"ч::мм")=TEXT(IF(Настройки!I84="",TEXT(Настройки!$J2,"ч:мм"),TEXT(Настройки!I84,"ч:мм")),"ч:мм"),"",TEXT(IF(Настройки!I84="",TEXT(Настройки!$J2,"ч:мм"),TEXT(Настройки!I84,"ч:мм")),"ч:мм")&amp;"-"&amp;TEXT(IF(Настройки!I84="",TEXT(Настройки!$J2,"ч:мм"),TEXT(Настройки!I84,"ч:мм"))+TIME(0,Сентябрь!G13,0),"ч::мм"))</calculatedColumnFormula>
    </tableColumn>
    <tableColumn id="5" name="4" dataDxfId="364">
      <calculatedColumnFormula>IF(TEXT(IF(Настройки!J84="",TEXT(Настройки!$J2,"ч:мм"),TEXT(Настройки!J84,"ч:мм"))+TIME(0,Сентябрь!H13,0),"ч::мм")=TEXT(IF(Настройки!J84="",TEXT(Настройки!$J2,"ч:мм"),TEXT(Настройки!J84,"ч:мм")),"ч:мм"),"",TEXT(IF(Настройки!J84="",TEXT(Настройки!$J2,"ч:мм"),TEXT(Настройки!J84,"ч:мм")),"ч:мм")&amp;"-"&amp;TEXT(IF(Настройки!J84="",TEXT(Настройки!$J2,"ч:мм"),TEXT(Настройки!J84,"ч:мм"))+TIME(0,Сентябрь!H13,0),"ч::мм"))</calculatedColumnFormula>
    </tableColumn>
    <tableColumn id="6" name="5" dataDxfId="363">
      <calculatedColumnFormula>IF(TEXT(IF(Настройки!K84="",TEXT(Настройки!$J2,"ч:мм"),TEXT(Настройки!K84,"ч:мм"))+TIME(0,Сентябрь!I13,0),"ч::мм")=TEXT(IF(Настройки!K84="",TEXT(Настройки!$J2,"ч:мм"),TEXT(Настройки!K84,"ч:мм")),"ч:мм"),"",TEXT(IF(Настройки!K84="",TEXT(Настройки!$J2,"ч:мм"),TEXT(Настройки!K84,"ч:мм")),"ч:мм")&amp;"-"&amp;TEXT(IF(Настройки!K84="",TEXT(Настройки!$J2,"ч:мм"),TEXT(Настройки!K84,"ч:мм"))+TIME(0,Сентябрь!I13,0),"ч::мм"))</calculatedColumnFormula>
    </tableColumn>
    <tableColumn id="7" name="6" dataDxfId="362">
      <calculatedColumnFormula>IF(TEXT(IF(Настройки!L84="",TEXT(Настройки!$J2,"ч:мм"),TEXT(Настройки!L84,"ч:мм"))+TIME(0,Сентябрь!J13,0),"ч::мм")=TEXT(IF(Настройки!L84="",TEXT(Настройки!$J2,"ч:мм"),TEXT(Настройки!L84,"ч:мм")),"ч:мм"),"",TEXT(IF(Настройки!L84="",TEXT(Настройки!$J2,"ч:мм"),TEXT(Настройки!L84,"ч:мм")),"ч:мм")&amp;"-"&amp;TEXT(IF(Настройки!L84="",TEXT(Настройки!$J2,"ч:мм"),TEXT(Настройки!L84,"ч:мм"))+TIME(0,Сентябрь!J13,0),"ч::мм"))</calculatedColumnFormula>
    </tableColumn>
    <tableColumn id="8" name="7" dataDxfId="361">
      <calculatedColumnFormula>IF(TEXT(IF(Настройки!M84="",TEXT(Настройки!$J2,"ч:мм"),TEXT(Настройки!M84,"ч:мм"))+TIME(0,Сентябрь!K13,0),"ч::мм")=TEXT(IF(Настройки!M84="",TEXT(Настройки!$J2,"ч:мм"),TEXT(Настройки!M84,"ч:мм")),"ч:мм"),"",TEXT(IF(Настройки!M84="",TEXT(Настройки!$J2,"ч:мм"),TEXT(Настройки!M84,"ч:мм")),"ч:мм")&amp;"-"&amp;TEXT(IF(Настройки!M84="",TEXT(Настройки!$J2,"ч:мм"),TEXT(Настройки!M84,"ч:мм"))+TIME(0,Сентябрь!K13,0),"ч::мм"))</calculatedColumnFormula>
    </tableColumn>
    <tableColumn id="9" name="8" dataDxfId="360">
      <calculatedColumnFormula>IF(TEXT(IF(Настройки!N84="",TEXT(Настройки!$J2,"ч:мм"),TEXT(Настройки!N84,"ч:мм"))+TIME(0,Сентябрь!L13,0),"ч::мм")=TEXT(IF(Настройки!N84="",TEXT(Настройки!$J2,"ч:мм"),TEXT(Настройки!N84,"ч:мм")),"ч:мм"),"",TEXT(IF(Настройки!N84="",TEXT(Настройки!$J2,"ч:мм"),TEXT(Настройки!N84,"ч:мм")),"ч:мм")&amp;"-"&amp;TEXT(IF(Настройки!N84="",TEXT(Настройки!$J2,"ч:мм"),TEXT(Настройки!N84,"ч:мм"))+TIME(0,Сентябрь!L13,0),"ч::мм"))</calculatedColumnFormula>
    </tableColumn>
    <tableColumn id="10" name="9" dataDxfId="359">
      <calculatedColumnFormula>IF(TEXT(IF(Настройки!O84="",TEXT(Настройки!$J2,"ч:мм"),TEXT(Настройки!O84,"ч:мм"))+TIME(0,Сентябрь!M13,0),"ч::мм")=TEXT(IF(Настройки!O84="",TEXT(Настройки!$J2,"ч:мм"),TEXT(Настройки!O84,"ч:мм")),"ч:мм"),"",TEXT(IF(Настройки!O84="",TEXT(Настройки!$J2,"ч:мм"),TEXT(Настройки!O84,"ч:мм")),"ч:мм")&amp;"-"&amp;TEXT(IF(Настройки!O84="",TEXT(Настройки!$J2,"ч:мм"),TEXT(Настройки!O84,"ч:мм"))+TIME(0,Сентябрь!M13,0),"ч::мм"))</calculatedColumnFormula>
    </tableColumn>
    <tableColumn id="11" name="10" dataDxfId="358">
      <calculatedColumnFormula>IF(TEXT(IF(Настройки!P84="",TEXT(Настройки!$J2,"ч:мм"),TEXT(Настройки!P84,"ч:мм"))+TIME(0,Сентябрь!N13,0),"ч::мм")=TEXT(IF(Настройки!P84="",TEXT(Настройки!$J2,"ч:мм"),TEXT(Настройки!P84,"ч:мм")),"ч:мм"),"",TEXT(IF(Настройки!P84="",TEXT(Настройки!$J2,"ч:мм"),TEXT(Настройки!P84,"ч:мм")),"ч:мм")&amp;"-"&amp;TEXT(IF(Настройки!P84="",TEXT(Настройки!$J2,"ч:мм"),TEXT(Настройки!P84,"ч:мм"))+TIME(0,Сентябрь!N13,0),"ч::мм"))</calculatedColumnFormula>
    </tableColumn>
    <tableColumn id="12" name="11" dataDxfId="357">
      <calculatedColumnFormula>IF(TEXT(IF(Настройки!Q84="",TEXT(Настройки!$J2,"ч:мм"),TEXT(Настройки!Q84,"ч:мм"))+TIME(0,Сентябрь!O13,0),"ч::мм")=TEXT(IF(Настройки!Q84="",TEXT(Настройки!$J2,"ч:мм"),TEXT(Настройки!Q84,"ч:мм")),"ч:мм"),"",TEXT(IF(Настройки!Q84="",TEXT(Настройки!$J2,"ч:мм"),TEXT(Настройки!Q84,"ч:мм")),"ч:мм")&amp;"-"&amp;TEXT(IF(Настройки!Q84="",TEXT(Настройки!$J2,"ч:мм"),TEXT(Настройки!Q84,"ч:мм"))+TIME(0,Сентябрь!O13,0),"ч::мм"))</calculatedColumnFormula>
    </tableColumn>
    <tableColumn id="13" name="12" dataDxfId="356">
      <calculatedColumnFormula>IF(TEXT(IF(Настройки!R84="",TEXT(Настройки!$J2,"ч:мм"),TEXT(Настройки!R84,"ч:мм"))+TIME(0,Сентябрь!P13,0),"ч::мм")=TEXT(IF(Настройки!R84="",TEXT(Настройки!$J2,"ч:мм"),TEXT(Настройки!R84,"ч:мм")),"ч:мм"),"",TEXT(IF(Настройки!R84="",TEXT(Настройки!$J2,"ч:мм"),TEXT(Настройки!R84,"ч:мм")),"ч:мм")&amp;"-"&amp;TEXT(IF(Настройки!R84="",TEXT(Настройки!$J2,"ч:мм"),TEXT(Настройки!R84,"ч:мм"))+TIME(0,Сентябрь!P13,0),"ч::мм"))</calculatedColumnFormula>
    </tableColumn>
    <tableColumn id="14" name="13" dataDxfId="355">
      <calculatedColumnFormula>IF(TEXT(IF(Настройки!S84="",TEXT(Настройки!$J2,"ч:мм"),TEXT(Настройки!S84,"ч:мм"))+TIME(0,Сентябрь!Q13,0),"ч::мм")=TEXT(IF(Настройки!S84="",TEXT(Настройки!$J2,"ч:мм"),TEXT(Настройки!S84,"ч:мм")),"ч:мм"),"",TEXT(IF(Настройки!S84="",TEXT(Настройки!$J2,"ч:мм"),TEXT(Настройки!S84,"ч:мм")),"ч:мм")&amp;"-"&amp;TEXT(IF(Настройки!S84="",TEXT(Настройки!$J2,"ч:мм"),TEXT(Настройки!S84,"ч:мм"))+TIME(0,Сентябрь!Q13,0),"ч::мм"))</calculatedColumnFormula>
    </tableColumn>
    <tableColumn id="15" name="14" dataDxfId="354">
      <calculatedColumnFormula>IF(TEXT(IF(Настройки!T84="",TEXT(Настройки!$J2,"ч:мм"),TEXT(Настройки!T84,"ч:мм"))+TIME(0,Сентябрь!R13,0),"ч::мм")=TEXT(IF(Настройки!T84="",TEXT(Настройки!$J2,"ч:мм"),TEXT(Настройки!T84,"ч:мм")),"ч:мм"),"",TEXT(IF(Настройки!T84="",TEXT(Настройки!$J2,"ч:мм"),TEXT(Настройки!T84,"ч:мм")),"ч:мм")&amp;"-"&amp;TEXT(IF(Настройки!T84="",TEXT(Настройки!$J2,"ч:мм"),TEXT(Настройки!T84,"ч:мм"))+TIME(0,Сентябрь!R13,0),"ч::мм"))</calculatedColumnFormula>
    </tableColumn>
    <tableColumn id="16" name="15" dataDxfId="353">
      <calculatedColumnFormula>IF(TEXT(IF(Настройки!U84="",TEXT(Настройки!$J2,"ч:мм"),TEXT(Настройки!U84,"ч:мм"))+TIME(0,Сентябрь!S13,0),"ч::мм")=TEXT(IF(Настройки!U84="",TEXT(Настройки!$J2,"ч:мм"),TEXT(Настройки!U84,"ч:мм")),"ч:мм"),"",TEXT(IF(Настройки!U84="",TEXT(Настройки!$J2,"ч:мм"),TEXT(Настройки!U84,"ч:мм")),"ч:мм")&amp;"-"&amp;TEXT(IF(Настройки!U84="",TEXT(Настройки!$J2,"ч:мм"),TEXT(Настройки!U84,"ч:мм"))+TIME(0,Сентябрь!S13,0),"ч::мм"))</calculatedColumnFormula>
    </tableColumn>
  </tableColumns>
  <tableStyleInfo name="TableStyleLight15" showFirstColumn="0" showLastColumn="0" showRowStripes="0" showColumnStripes="1"/>
</table>
</file>

<file path=xl/tables/table63.xml><?xml version="1.0" encoding="utf-8"?>
<table xmlns="http://schemas.openxmlformats.org/spreadsheetml/2006/main" id="57" name="СентябрьГраф2" displayName="СентябрьГраф2" ref="A23:P26" totalsRowShown="0" headerRowDxfId="352" dataDxfId="351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350">
      <calculatedColumnFormula>A14</calculatedColumnFormula>
    </tableColumn>
    <tableColumn id="2" name="16" dataDxfId="11">
      <calculatedColumnFormula>IF(TEXT(IF(Настройки!V84="",TEXT(Настройки!$J2,"ч:мм"),TEXT(Настройки!V84,"ч:мм"))+TIME(0,Сентябрь!T13,0),"ч::мм")=TEXT(IF(Настройки!V84="",TEXT(Настройки!$J2,"ч:мм"),TEXT(Настройки!V84,"ч:мм")),"ч:мм"),"",TEXT(IF(Настройки!V84="",TEXT(Настройки!$J2,"ч:мм"),TEXT(Настройки!V84,"ч:мм")),"ч:мм")&amp;"-"&amp;TEXT(IF(Настройки!V84="",TEXT(Настройки!$J2,"ч:мм"),TEXT(Настройки!V84,"ч:мм"))+TIME(0,Сентябрь!T13,0),"ч::мм"))</calculatedColumnFormula>
    </tableColumn>
    <tableColumn id="3" name="17" dataDxfId="349">
      <calculatedColumnFormula>IF(TEXT(IF(Настройки!W84="",TEXT(Настройки!$J2,"ч:мм"),TEXT(Настройки!W84,"ч:мм"))+TIME(0,Сентябрь!U13,0),"ч::мм")=TEXT(IF(Настройки!W84="",TEXT(Настройки!$J2,"ч:мм"),TEXT(Настройки!W84,"ч:мм")),"ч:мм"),"",TEXT(IF(Настройки!W84="",TEXT(Настройки!$J2,"ч:мм"),TEXT(Настройки!W84,"ч:мм")),"ч:мм")&amp;"-"&amp;TEXT(IF(Настройки!W84="",TEXT(Настройки!$J2,"ч:мм"),TEXT(Настройки!W84,"ч:мм"))+TIME(0,Сентябрь!U13,0),"ч::мм"))</calculatedColumnFormula>
    </tableColumn>
    <tableColumn id="4" name="18" dataDxfId="348">
      <calculatedColumnFormula>IF(TEXT(IF(Настройки!X84="",TEXT(Настройки!$J2,"ч:мм"),TEXT(Настройки!X84,"ч:мм"))+TIME(0,Сентябрь!V13,0),"ч::мм")=TEXT(IF(Настройки!X84="",TEXT(Настройки!$J2,"ч:мм"),TEXT(Настройки!X84,"ч:мм")),"ч:мм"),"",TEXT(IF(Настройки!X84="",TEXT(Настройки!$J2,"ч:мм"),TEXT(Настройки!X84,"ч:мм")),"ч:мм")&amp;"-"&amp;TEXT(IF(Настройки!X84="",TEXT(Настройки!$J2,"ч:мм"),TEXT(Настройки!X84,"ч:мм"))+TIME(0,Сентябрь!V13,0),"ч::мм"))</calculatedColumnFormula>
    </tableColumn>
    <tableColumn id="5" name="19" dataDxfId="347">
      <calculatedColumnFormula>IF(TEXT(IF(Настройки!Y84="",TEXT(Настройки!$J2,"ч:мм"),TEXT(Настройки!Y84,"ч:мм"))+TIME(0,Сентябрь!W13,0),"ч::мм")=TEXT(IF(Настройки!Y84="",TEXT(Настройки!$J2,"ч:мм"),TEXT(Настройки!Y84,"ч:мм")),"ч:мм"),"",TEXT(IF(Настройки!Y84="",TEXT(Настройки!$J2,"ч:мм"),TEXT(Настройки!Y84,"ч:мм")),"ч:мм")&amp;"-"&amp;TEXT(IF(Настройки!Y84="",TEXT(Настройки!$J2,"ч:мм"),TEXT(Настройки!Y84,"ч:мм"))+TIME(0,Сентябрь!W13,0),"ч::мм"))</calculatedColumnFormula>
    </tableColumn>
    <tableColumn id="6" name="20" dataDxfId="346">
      <calculatedColumnFormula>IF(TEXT(IF(Настройки!Z84="",TEXT(Настройки!$J2,"ч:мм"),TEXT(Настройки!Z84,"ч:мм"))+TIME(0,Сентябрь!X13,0),"ч::мм")=TEXT(IF(Настройки!Z84="",TEXT(Настройки!$J2,"ч:мм"),TEXT(Настройки!Z84,"ч:мм")),"ч:мм"),"",TEXT(IF(Настройки!Z84="",TEXT(Настройки!$J2,"ч:мм"),TEXT(Настройки!Z84,"ч:мм")),"ч:мм")&amp;"-"&amp;TEXT(IF(Настройки!Z84="",TEXT(Настройки!$J2,"ч:мм"),TEXT(Настройки!Z84,"ч:мм"))+TIME(0,Сентябрь!X13,0),"ч::мм"))</calculatedColumnFormula>
    </tableColumn>
    <tableColumn id="7" name="21" dataDxfId="345">
      <calculatedColumnFormula>IF(TEXT(IF(Настройки!AA84="",TEXT(Настройки!$J2,"ч:мм"),TEXT(Настройки!AA84,"ч:мм"))+TIME(0,Сентябрь!Y13,0),"ч::мм")=TEXT(IF(Настройки!AA84="",TEXT(Настройки!$J2,"ч:мм"),TEXT(Настройки!AA84,"ч:мм")),"ч:мм"),"",TEXT(IF(Настройки!AA84="",TEXT(Настройки!$J2,"ч:мм"),TEXT(Настройки!AA84,"ч:мм")),"ч:мм")&amp;"-"&amp;TEXT(IF(Настройки!AA84="",TEXT(Настройки!$J2,"ч:мм"),TEXT(Настройки!AA84,"ч:мм"))+TIME(0,Сентябрь!Y13,0),"ч::мм"))</calculatedColumnFormula>
    </tableColumn>
    <tableColumn id="8" name="22" dataDxfId="344">
      <calculatedColumnFormula>IF(TEXT(IF(Настройки!AB84="",TEXT(Настройки!$J2,"ч:мм"),TEXT(Настройки!AB84,"ч:мм"))+TIME(0,Сентябрь!Z13,0),"ч::мм")=TEXT(IF(Настройки!AB84="",TEXT(Настройки!$J2,"ч:мм"),TEXT(Настройки!AB84,"ч:мм")),"ч:мм"),"",TEXT(IF(Настройки!AB84="",TEXT(Настройки!$J2,"ч:мм"),TEXT(Настройки!AB84,"ч:мм")),"ч:мм")&amp;"-"&amp;TEXT(IF(Настройки!AB84="",TEXT(Настройки!$J2,"ч:мм"),TEXT(Настройки!AB84,"ч:мм"))+TIME(0,Сентябрь!Z13,0),"ч::мм"))</calculatedColumnFormula>
    </tableColumn>
    <tableColumn id="9" name="23" dataDxfId="343">
      <calculatedColumnFormula>IF(TEXT(IF(Настройки!AC84="",TEXT(Настройки!$J2,"ч:мм"),TEXT(Настройки!AC84,"ч:мм"))+TIME(0,Сентябрь!AA13,0),"ч::мм")=TEXT(IF(Настройки!AC84="",TEXT(Настройки!$J2,"ч:мм"),TEXT(Настройки!AC84,"ч:мм")),"ч:мм"),"",TEXT(IF(Настройки!AC84="",TEXT(Настройки!$J2,"ч:мм"),TEXT(Настройки!AC84,"ч:мм")),"ч:мм")&amp;"-"&amp;TEXT(IF(Настройки!AC84="",TEXT(Настройки!$J2,"ч:мм"),TEXT(Настройки!AC84,"ч:мм"))+TIME(0,Сентябрь!AA13,0),"ч::мм"))</calculatedColumnFormula>
    </tableColumn>
    <tableColumn id="10" name="24" dataDxfId="342">
      <calculatedColumnFormula>IF(TEXT(IF(Настройки!AD84="",TEXT(Настройки!$J2,"ч:мм"),TEXT(Настройки!AD84,"ч:мм"))+TIME(0,Сентябрь!AB13,0),"ч::мм")=TEXT(IF(Настройки!AD84="",TEXT(Настройки!$J2,"ч:мм"),TEXT(Настройки!AD84,"ч:мм")),"ч:мм"),"",TEXT(IF(Настройки!AD84="",TEXT(Настройки!$J2,"ч:мм"),TEXT(Настройки!AD84,"ч:мм")),"ч:мм")&amp;"-"&amp;TEXT(IF(Настройки!AD84="",TEXT(Настройки!$J2,"ч:мм"),TEXT(Настройки!AD84,"ч:мм"))+TIME(0,Сентябрь!AB13,0),"ч::мм"))</calculatedColumnFormula>
    </tableColumn>
    <tableColumn id="11" name="25" dataDxfId="341">
      <calculatedColumnFormula>IF(TEXT(IF(Настройки!AE84="",TEXT(Настройки!$J2,"ч:мм"),TEXT(Настройки!AE84,"ч:мм"))+TIME(0,Сентябрь!AC13,0),"ч::мм")=TEXT(IF(Настройки!AE84="",TEXT(Настройки!$J2,"ч:мм"),TEXT(Настройки!AE84,"ч:мм")),"ч:мм"),"",TEXT(IF(Настройки!AE84="",TEXT(Настройки!$J2,"ч:мм"),TEXT(Настройки!AE84,"ч:мм")),"ч:мм")&amp;"-"&amp;TEXT(IF(Настройки!AE84="",TEXT(Настройки!$J2,"ч:мм"),TEXT(Настройки!AE84,"ч:мм"))+TIME(0,Сентябрь!AC13,0),"ч::мм"))</calculatedColumnFormula>
    </tableColumn>
    <tableColumn id="12" name="26" dataDxfId="340">
      <calculatedColumnFormula>IF(TEXT(IF(Настройки!AF84="",TEXT(Настройки!$J2,"ч:мм"),TEXT(Настройки!AF84,"ч:мм"))+TIME(0,Сентябрь!AD13,0),"ч::мм")=TEXT(IF(Настройки!AF84="",TEXT(Настройки!$J2,"ч:мм"),TEXT(Настройки!AF84,"ч:мм")),"ч:мм"),"",TEXT(IF(Настройки!AF84="",TEXT(Настройки!$J2,"ч:мм"),TEXT(Настройки!AF84,"ч:мм")),"ч:мм")&amp;"-"&amp;TEXT(IF(Настройки!AF84="",TEXT(Настройки!$J2,"ч:мм"),TEXT(Настройки!AF84,"ч:мм"))+TIME(0,Сентябрь!AD13,0),"ч::мм"))</calculatedColumnFormula>
    </tableColumn>
    <tableColumn id="13" name="27" dataDxfId="339">
      <calculatedColumnFormula>IF(TEXT(IF(Настройки!AG84="",TEXT(Настройки!$J2,"ч:мм"),TEXT(Настройки!AG84,"ч:мм"))+TIME(0,Сентябрь!AE13,0),"ч::мм")=TEXT(IF(Настройки!AG84="",TEXT(Настройки!$J2,"ч:мм"),TEXT(Настройки!AG84,"ч:мм")),"ч:мм"),"",TEXT(IF(Настройки!AG84="",TEXT(Настройки!$J2,"ч:мм"),TEXT(Настройки!AG84,"ч:мм")),"ч:мм")&amp;"-"&amp;TEXT(IF(Настройки!AG84="",TEXT(Настройки!$J2,"ч:мм"),TEXT(Настройки!AG84,"ч:мм"))+TIME(0,Сентябрь!AE13,0),"ч::мм"))</calculatedColumnFormula>
    </tableColumn>
    <tableColumn id="14" name="28" dataDxfId="338">
      <calculatedColumnFormula>IF(TEXT(IF(Настройки!AH84="",TEXT(Настройки!$J2,"ч:мм"),TEXT(Настройки!AH84,"ч:мм"))+TIME(0,Сентябрь!AF13,0),"ч::мм")=TEXT(IF(Настройки!AH84="",TEXT(Настройки!$J2,"ч:мм"),TEXT(Настройки!AH84,"ч:мм")),"ч:мм"),"",TEXT(IF(Настройки!AH84="",TEXT(Настройки!$J2,"ч:мм"),TEXT(Настройки!AH84,"ч:мм")),"ч:мм")&amp;"-"&amp;TEXT(IF(Настройки!AH84="",TEXT(Настройки!$J2,"ч:мм"),TEXT(Настройки!AH84,"ч:мм"))+TIME(0,Сентябрь!AF13,0),"ч::мм"))</calculatedColumnFormula>
    </tableColumn>
    <tableColumn id="15" name="29" dataDxfId="337">
      <calculatedColumnFormula>IF(TEXT(IF(Настройки!AI84="",TEXT(Настройки!$J2,"ч:мм"),TEXT(Настройки!AI84,"ч:мм"))+TIME(0,Сентябрь!AG13,0),"ч::мм")=TEXT(IF(Настройки!AI84="",TEXT(Настройки!$J2,"ч:мм"),TEXT(Настройки!AI84,"ч:мм")),"ч:мм"),"",TEXT(IF(Настройки!AI84="",TEXT(Настройки!$J2,"ч:мм"),TEXT(Настройки!AI84,"ч:мм")),"ч:мм")&amp;"-"&amp;TEXT(IF(Настройки!AI84="",TEXT(Настройки!$J2,"ч:мм"),TEXT(Настройки!AI84,"ч:мм"))+TIME(0,Сентябрь!AG13,0),"ч::мм"))</calculatedColumnFormula>
    </tableColumn>
    <tableColumn id="16" name="30" dataDxfId="336">
      <calculatedColumnFormula>IF(TEXT(IF(Настройки!AJ84="",TEXT(Настройки!$J2,"ч:мм"),TEXT(Настройки!AJ84,"ч:мм"))+TIME(0,Сентябрь!AH13,0),"ч::мм")=TEXT(IF(Настройки!AJ84="",TEXT(Настройки!$J2,"ч:мм"),TEXT(Настройки!AJ84,"ч:мм")),"ч:мм"),"",TEXT(IF(Настройки!AJ84="",TEXT(Настройки!$J2,"ч:мм"),TEXT(Настройки!AJ84,"ч:мм")),"ч:мм")&amp;"-"&amp;TEXT(IF(Настройки!AJ84="",TEXT(Настройки!$J2,"ч:мм"),TEXT(Настройки!AJ84,"ч:мм"))+TIME(0,Сентябрь!AH13,0),"ч::мм"))</calculatedColumnFormula>
    </tableColumn>
  </tableColumns>
  <tableStyleInfo name="TableStyleLight15" showFirstColumn="0" showLastColumn="0" showRowStripes="0" showColumnStripes="1"/>
</table>
</file>

<file path=xl/tables/table64.xml><?xml version="1.0" encoding="utf-8"?>
<table xmlns="http://schemas.openxmlformats.org/spreadsheetml/2006/main" id="24" name="Октябрь" displayName="Октябрь" ref="A25:AK28" headerRowDxfId="333" dataDxfId="332" totalsRowDxfId="331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330"/>
    <tableColumn id="2" name="Периодичность" dataDxfId="329" totalsRowDxfId="328">
      <calculatedColumnFormula>IF(Январь[[#This Row],[Периодичность]]&lt;&gt;"",Январь[[#This Row],[Периодичность]],"")</calculatedColumnFormula>
    </tableColumn>
    <tableColumn id="3" name="Объем" dataDxfId="327" totalsRowDxfId="326">
      <calculatedColumnFormula>IF(Январь[[#This Row],[Объем]]&lt;&gt;"",Январь[[#This Row],[Объем]],"")</calculatedColumnFormula>
    </tableColumn>
    <tableColumn id="4" name="№" dataDxfId="325" totalsRowDxfId="324"/>
    <tableColumn id="7" name="1"/>
    <tableColumn id="8" name="2"/>
    <tableColumn id="9" name="3"/>
    <tableColumn id="10" name="4" totalsRowDxfId="323"/>
    <tableColumn id="11" name="5" totalsRowDxfId="322"/>
    <tableColumn id="12" name="6" totalsRowDxfId="321"/>
    <tableColumn id="13" name="7"/>
    <tableColumn id="14" name="8"/>
    <tableColumn id="15" name="9"/>
    <tableColumn id="16" name="10"/>
    <tableColumn id="17" name="11" totalsRowDxfId="320"/>
    <tableColumn id="18" name="12" totalsRowDxfId="319"/>
    <tableColumn id="19" name="13" totalsRowDxfId="318"/>
    <tableColumn id="20" name="14"/>
    <tableColumn id="21" name="15"/>
    <tableColumn id="22" name="16"/>
    <tableColumn id="23" name="17"/>
    <tableColumn id="24" name="18" totalsRowDxfId="317"/>
    <tableColumn id="25" name="19" totalsRowDxfId="316"/>
    <tableColumn id="26" name="20" totalsRowDxfId="315"/>
    <tableColumn id="27" name="21"/>
    <tableColumn id="28" name="22"/>
    <tableColumn id="29" name="23"/>
    <tableColumn id="30" name="24"/>
    <tableColumn id="31" name="25" totalsRowDxfId="314"/>
    <tableColumn id="32" name="26" totalsRowDxfId="313"/>
    <tableColumn id="33" name="27" totalsRowDxfId="312"/>
    <tableColumn id="34" name="28"/>
    <tableColumn id="35" name="29"/>
    <tableColumn id="36" name="30"/>
    <tableColumn id="5" name="31"/>
    <tableColumn id="38" name="УСЛУГ" totalsRowFunction="sum" dataDxfId="311" totalsRowDxfId="310">
      <calculatedColumnFormula>IF(Октябрь[[#This Row],[№]]=1,SUM(Октябрь[[#This Row],[1]:[31]])+SUM(OFFSET(Октябрь[[#This Row],[1]:[31]],1,0))+SUM(OFFSET(Октябрь[[#This Row],[1]:[31]],2,0)),"")</calculatedColumnFormula>
    </tableColumn>
    <tableColumn id="39" name="МИНУТ" totalsRowFunction="sum" dataDxfId="309" totalsRowDxfId="308">
      <calculatedColumnFormula>IF(Октябрь[[#This Row],[УСЛУГ]]&lt;&gt;"",Октябрь[[#This Row],[УСЛУГ]]*Октябрь[[#This Row],[Объем]],"")</calculatedColumnFormula>
    </tableColumn>
  </tableColumns>
  <tableStyleInfo name="TableStyleLight15" showFirstColumn="0" showLastColumn="0" showRowStripes="1" showColumnStripes="0"/>
</table>
</file>

<file path=xl/tables/table65.xml><?xml version="1.0" encoding="utf-8"?>
<table xmlns="http://schemas.openxmlformats.org/spreadsheetml/2006/main" id="25" name="ОктябрьИтоги" displayName="ОктябрьИтоги" ref="A12:AK18" totalsRowShown="0" headerRowDxfId="307" dataDxfId="306" tableBorderDxfId="305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304"/>
    <tableColumn id="2" name="за неделю" dataDxfId="303">
      <calculatedColumnFormula>SUMPRODUCT((#REF!=1)*E16:AI16)</calculatedColumnFormula>
    </tableColumn>
    <tableColumn id="3" name="всего минут" dataDxfId="302">
      <calculatedColumnFormula>ОктябрьИтоги[[#This Row],[№]]*60</calculatedColumnFormula>
    </tableColumn>
    <tableColumn id="4" name="№" dataDxfId="301"/>
    <tableColumn id="5" name="1" dataDxfId="300">
      <calculatedColumnFormula>SUM(E10:E15)</calculatedColumnFormula>
    </tableColumn>
    <tableColumn id="6" name="2" dataDxfId="299"/>
    <tableColumn id="7" name="3" dataDxfId="298"/>
    <tableColumn id="8" name="4" dataDxfId="297"/>
    <tableColumn id="9" name="5" dataDxfId="296"/>
    <tableColumn id="10" name="6" dataDxfId="295"/>
    <tableColumn id="11" name="7" dataDxfId="294"/>
    <tableColumn id="12" name="8" dataDxfId="293"/>
    <tableColumn id="13" name="9" dataDxfId="292"/>
    <tableColumn id="14" name="10" dataDxfId="291"/>
    <tableColumn id="15" name="11" dataDxfId="290"/>
    <tableColumn id="16" name="12" dataDxfId="289"/>
    <tableColumn id="17" name="13" dataDxfId="288"/>
    <tableColumn id="18" name="14" dataDxfId="287"/>
    <tableColumn id="19" name="15" dataDxfId="286"/>
    <tableColumn id="20" name="16" dataDxfId="285"/>
    <tableColumn id="21" name="17" dataDxfId="284"/>
    <tableColumn id="22" name="18" dataDxfId="283"/>
    <tableColumn id="23" name="19" dataDxfId="282"/>
    <tableColumn id="24" name="20" dataDxfId="281"/>
    <tableColumn id="25" name="21" dataDxfId="280"/>
    <tableColumn id="26" name="22" dataDxfId="279"/>
    <tableColumn id="27" name="23" dataDxfId="278"/>
    <tableColumn id="28" name="24" dataDxfId="277"/>
    <tableColumn id="29" name="25" dataDxfId="276"/>
    <tableColumn id="30" name="26" dataDxfId="275"/>
    <tableColumn id="31" name="27" dataDxfId="274"/>
    <tableColumn id="32" name="28" dataDxfId="273"/>
    <tableColumn id="33" name="29" dataDxfId="272"/>
    <tableColumn id="34" name="30" dataDxfId="271"/>
    <tableColumn id="37" name="31" dataDxfId="270">
      <calculatedColumnFormula>SUMPRODUCT((Август[№]=1)*Август[31],Август[Объем])</calculatedColumnFormula>
    </tableColumn>
    <tableColumn id="35" name="УСЛУГ" dataDxfId="269">
      <calculatedColumnFormula>SUM(Сентябрь[УСЛУГ])</calculatedColumnFormula>
    </tableColumn>
    <tableColumn id="36" name="МИНУТ" dataDxfId="268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66.xml><?xml version="1.0" encoding="utf-8"?>
<table xmlns="http://schemas.openxmlformats.org/spreadsheetml/2006/main" id="58" name="ОктябрьГраф1" displayName="ОктябрьГраф1" ref="A13:P16" totalsRowShown="0" headerRowDxfId="264" dataDxfId="263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0">
      <calculatedColumnFormula>IF(Настройки!J2&lt;&gt;"",TEXT(MIN(Настройки!G90:AK90,Настройки!J2),"ч:мм")&amp;"-"&amp;TEXT(MAX(Настройки!G90:AK90,Настройки!J2)+TIME(0,MAX(Октябрь!E13:AI13),0),"ч:мм"),"")</calculatedColumnFormula>
    </tableColumn>
    <tableColumn id="2" name="1" dataDxfId="9">
      <calculatedColumnFormula>IF(TEXT(IF(Настройки!G90="",TEXT(Настройки!$J2,"ч:мм"),TEXT(Настройки!G90,"ч:мм"))+TIME(0,Октябрь!E13,0),"ч::мм")=TEXT(IF(Настройки!G90="",TEXT(Настройки!$J2,"ч:мм"),TEXT(Настройки!G90,"ч:мм")),"ч:мм"),"",TEXT(IF(Настройки!G90="",TEXT(Настройки!$J2,"ч:мм"),TEXT(Настройки!G90,"ч:мм")),"ч:мм")&amp;"-"&amp;TEXT(IF(Настройки!G90="",TEXT(Настройки!$J2,"ч:мм"),TEXT(Настройки!G90,"ч:мм"))+TIME(0,Октябрь!E13,0),"ч::мм"))</calculatedColumnFormula>
    </tableColumn>
    <tableColumn id="3" name="2" dataDxfId="262">
      <calculatedColumnFormula>IF(TEXT(IF(Настройки!H90="",TEXT(Настройки!$J2,"ч:мм"),TEXT(Настройки!H90,"ч:мм"))+TIME(0,Октябрь!F13,0),"ч::мм")=TEXT(IF(Настройки!H90="",TEXT(Настройки!$J2,"ч:мм"),TEXT(Настройки!H90,"ч:мм")),"ч:мм"),"",TEXT(IF(Настройки!H90="",TEXT(Настройки!$J2,"ч:мм"),TEXT(Настройки!H90,"ч:мм")),"ч:мм")&amp;"-"&amp;TEXT(IF(Настройки!H90="",TEXT(Настройки!$J2,"ч:мм"),TEXT(Настройки!H90,"ч:мм"))+TIME(0,Октябрь!F13,0),"ч::мм"))</calculatedColumnFormula>
    </tableColumn>
    <tableColumn id="4" name="3" dataDxfId="261">
      <calculatedColumnFormula>IF(TEXT(IF(Настройки!I90="",TEXT(Настройки!$J2,"ч:мм"),TEXT(Настройки!I90,"ч:мм"))+TIME(0,Октябрь!G13,0),"ч::мм")=TEXT(IF(Настройки!I90="",TEXT(Настройки!$J2,"ч:мм"),TEXT(Настройки!I90,"ч:мм")),"ч:мм"),"",TEXT(IF(Настройки!I90="",TEXT(Настройки!$J2,"ч:мм"),TEXT(Настройки!I90,"ч:мм")),"ч:мм")&amp;"-"&amp;TEXT(IF(Настройки!I90="",TEXT(Настройки!$J2,"ч:мм"),TEXT(Настройки!I90,"ч:мм"))+TIME(0,Октябрь!G13,0),"ч::мм"))</calculatedColumnFormula>
    </tableColumn>
    <tableColumn id="5" name="4" dataDxfId="260">
      <calculatedColumnFormula>IF(TEXT(IF(Настройки!J90="",TEXT(Настройки!$J2,"ч:мм"),TEXT(Настройки!J90,"ч:мм"))+TIME(0,Октябрь!H13,0),"ч::мм")=TEXT(IF(Настройки!J90="",TEXT(Настройки!$J2,"ч:мм"),TEXT(Настройки!J90,"ч:мм")),"ч:мм"),"",TEXT(IF(Настройки!J90="",TEXT(Настройки!$J2,"ч:мм"),TEXT(Настройки!J90,"ч:мм")),"ч:мм")&amp;"-"&amp;TEXT(IF(Настройки!J90="",TEXT(Настройки!$J2,"ч:мм"),TEXT(Настройки!J90,"ч:мм"))+TIME(0,Октябрь!H13,0),"ч::мм"))</calculatedColumnFormula>
    </tableColumn>
    <tableColumn id="6" name="5" dataDxfId="259">
      <calculatedColumnFormula>IF(TEXT(IF(Настройки!K90="",TEXT(Настройки!$J2,"ч:мм"),TEXT(Настройки!K90,"ч:мм"))+TIME(0,Октябрь!I13,0),"ч::мм")=TEXT(IF(Настройки!K90="",TEXT(Настройки!$J2,"ч:мм"),TEXT(Настройки!K90,"ч:мм")),"ч:мм"),"",TEXT(IF(Настройки!K90="",TEXT(Настройки!$J2,"ч:мм"),TEXT(Настройки!K90,"ч:мм")),"ч:мм")&amp;"-"&amp;TEXT(IF(Настройки!K90="",TEXT(Настройки!$J2,"ч:мм"),TEXT(Настройки!K90,"ч:мм"))+TIME(0,Октябрь!I13,0),"ч::мм"))</calculatedColumnFormula>
    </tableColumn>
    <tableColumn id="7" name="6" dataDxfId="258">
      <calculatedColumnFormula>IF(TEXT(IF(Настройки!L90="",TEXT(Настройки!$J2,"ч:мм"),TEXT(Настройки!L90,"ч:мм"))+TIME(0,Октябрь!J13,0),"ч::мм")=TEXT(IF(Настройки!L90="",TEXT(Настройки!$J2,"ч:мм"),TEXT(Настройки!L90,"ч:мм")),"ч:мм"),"",TEXT(IF(Настройки!L90="",TEXT(Настройки!$J2,"ч:мм"),TEXT(Настройки!L90,"ч:мм")),"ч:мм")&amp;"-"&amp;TEXT(IF(Настройки!L90="",TEXT(Настройки!$J2,"ч:мм"),TEXT(Настройки!L90,"ч:мм"))+TIME(0,Октябрь!J13,0),"ч::мм"))</calculatedColumnFormula>
    </tableColumn>
    <tableColumn id="8" name="7" dataDxfId="257">
      <calculatedColumnFormula>IF(TEXT(IF(Настройки!M90="",TEXT(Настройки!$J2,"ч:мм"),TEXT(Настройки!M90,"ч:мм"))+TIME(0,Октябрь!K13,0),"ч::мм")=TEXT(IF(Настройки!M90="",TEXT(Настройки!$J2,"ч:мм"),TEXT(Настройки!M90,"ч:мм")),"ч:мм"),"",TEXT(IF(Настройки!M90="",TEXT(Настройки!$J2,"ч:мм"),TEXT(Настройки!M90,"ч:мм")),"ч:мм")&amp;"-"&amp;TEXT(IF(Настройки!M90="",TEXT(Настройки!$J2,"ч:мм"),TEXT(Настройки!M90,"ч:мм"))+TIME(0,Октябрь!K13,0),"ч::мм"))</calculatedColumnFormula>
    </tableColumn>
    <tableColumn id="9" name="8" dataDxfId="256">
      <calculatedColumnFormula>IF(TEXT(IF(Настройки!N90="",TEXT(Настройки!$J2,"ч:мм"),TEXT(Настройки!N90,"ч:мм"))+TIME(0,Октябрь!L13,0),"ч::мм")=TEXT(IF(Настройки!N90="",TEXT(Настройки!$J2,"ч:мм"),TEXT(Настройки!N90,"ч:мм")),"ч:мм"),"",TEXT(IF(Настройки!N90="",TEXT(Настройки!$J2,"ч:мм"),TEXT(Настройки!N90,"ч:мм")),"ч:мм")&amp;"-"&amp;TEXT(IF(Настройки!N90="",TEXT(Настройки!$J2,"ч:мм"),TEXT(Настройки!N90,"ч:мм"))+TIME(0,Октябрь!L13,0),"ч::мм"))</calculatedColumnFormula>
    </tableColumn>
    <tableColumn id="10" name="9" dataDxfId="255">
      <calculatedColumnFormula>IF(TEXT(IF(Настройки!O90="",TEXT(Настройки!$J2,"ч:мм"),TEXT(Настройки!O90,"ч:мм"))+TIME(0,Октябрь!M13,0),"ч::мм")=TEXT(IF(Настройки!O90="",TEXT(Настройки!$J2,"ч:мм"),TEXT(Настройки!O90,"ч:мм")),"ч:мм"),"",TEXT(IF(Настройки!O90="",TEXT(Настройки!$J2,"ч:мм"),TEXT(Настройки!O90,"ч:мм")),"ч:мм")&amp;"-"&amp;TEXT(IF(Настройки!O90="",TEXT(Настройки!$J2,"ч:мм"),TEXT(Настройки!O90,"ч:мм"))+TIME(0,Октябрь!M13,0),"ч::мм"))</calculatedColumnFormula>
    </tableColumn>
    <tableColumn id="11" name="10" dataDxfId="254">
      <calculatedColumnFormula>IF(TEXT(IF(Настройки!P90="",TEXT(Настройки!$J2,"ч:мм"),TEXT(Настройки!P90,"ч:мм"))+TIME(0,Октябрь!N13,0),"ч::мм")=TEXT(IF(Настройки!P90="",TEXT(Настройки!$J2,"ч:мм"),TEXT(Настройки!P90,"ч:мм")),"ч:мм"),"",TEXT(IF(Настройки!P90="",TEXT(Настройки!$J2,"ч:мм"),TEXT(Настройки!P90,"ч:мм")),"ч:мм")&amp;"-"&amp;TEXT(IF(Настройки!P90="",TEXT(Настройки!$J2,"ч:мм"),TEXT(Настройки!P90,"ч:мм"))+TIME(0,Октябрь!N13,0),"ч::мм"))</calculatedColumnFormula>
    </tableColumn>
    <tableColumn id="12" name="11" dataDxfId="253">
      <calculatedColumnFormula>IF(TEXT(IF(Настройки!Q90="",TEXT(Настройки!$J2,"ч:мм"),TEXT(Настройки!Q90,"ч:мм"))+TIME(0,Октябрь!O13,0),"ч::мм")=TEXT(IF(Настройки!Q90="",TEXT(Настройки!$J2,"ч:мм"),TEXT(Настройки!Q90,"ч:мм")),"ч:мм"),"",TEXT(IF(Настройки!Q90="",TEXT(Настройки!$J2,"ч:мм"),TEXT(Настройки!Q90,"ч:мм")),"ч:мм")&amp;"-"&amp;TEXT(IF(Настройки!Q90="",TEXT(Настройки!$J2,"ч:мм"),TEXT(Настройки!Q90,"ч:мм"))+TIME(0,Октябрь!O13,0),"ч::мм"))</calculatedColumnFormula>
    </tableColumn>
    <tableColumn id="13" name="12" dataDxfId="252">
      <calculatedColumnFormula>IF(TEXT(IF(Настройки!R90="",TEXT(Настройки!$J2,"ч:мм"),TEXT(Настройки!R90,"ч:мм"))+TIME(0,Октябрь!P13,0),"ч::мм")=TEXT(IF(Настройки!R90="",TEXT(Настройки!$J2,"ч:мм"),TEXT(Настройки!R90,"ч:мм")),"ч:мм"),"",TEXT(IF(Настройки!R90="",TEXT(Настройки!$J2,"ч:мм"),TEXT(Настройки!R90,"ч:мм")),"ч:мм")&amp;"-"&amp;TEXT(IF(Настройки!R90="",TEXT(Настройки!$J2,"ч:мм"),TEXT(Настройки!R90,"ч:мм"))+TIME(0,Октябрь!P13,0),"ч::мм"))</calculatedColumnFormula>
    </tableColumn>
    <tableColumn id="14" name="13" dataDxfId="251">
      <calculatedColumnFormula>IF(TEXT(IF(Настройки!S90="",TEXT(Настройки!$J2,"ч:мм"),TEXT(Настройки!S90,"ч:мм"))+TIME(0,Октябрь!Q13,0),"ч::мм")=TEXT(IF(Настройки!S90="",TEXT(Настройки!$J2,"ч:мм"),TEXT(Настройки!S90,"ч:мм")),"ч:мм"),"",TEXT(IF(Настройки!S90="",TEXT(Настройки!$J2,"ч:мм"),TEXT(Настройки!S90,"ч:мм")),"ч:мм")&amp;"-"&amp;TEXT(IF(Настройки!S90="",TEXT(Настройки!$J2,"ч:мм"),TEXT(Настройки!S90,"ч:мм"))+TIME(0,Октябрь!Q13,0),"ч::мм"))</calculatedColumnFormula>
    </tableColumn>
    <tableColumn id="15" name="14" dataDxfId="250">
      <calculatedColumnFormula>IF(TEXT(IF(Настройки!T90="",TEXT(Настройки!$J2,"ч:мм"),TEXT(Настройки!T90,"ч:мм"))+TIME(0,Октябрь!R13,0),"ч::мм")=TEXT(IF(Настройки!T90="",TEXT(Настройки!$J2,"ч:мм"),TEXT(Настройки!T90,"ч:мм")),"ч:мм"),"",TEXT(IF(Настройки!T90="",TEXT(Настройки!$J2,"ч:мм"),TEXT(Настройки!T90,"ч:мм")),"ч:мм")&amp;"-"&amp;TEXT(IF(Настройки!T90="",TEXT(Настройки!$J2,"ч:мм"),TEXT(Настройки!T90,"ч:мм"))+TIME(0,Октябрь!R13,0),"ч::мм"))</calculatedColumnFormula>
    </tableColumn>
    <tableColumn id="16" name="15" dataDxfId="249">
      <calculatedColumnFormula>IF(TEXT(IF(Настройки!U90="",TEXT(Настройки!$J2,"ч:мм"),TEXT(Настройки!U90,"ч:мм"))+TIME(0,Октябрь!S13,0),"ч::мм")=TEXT(IF(Настройки!U90="",TEXT(Настройки!$J2,"ч:мм"),TEXT(Настройки!U90,"ч:мм")),"ч:мм"),"",TEXT(IF(Настройки!U90="",TEXT(Настройки!$J2,"ч:мм"),TEXT(Настройки!U90,"ч:мм")),"ч:мм")&amp;"-"&amp;TEXT(IF(Настройки!U90="",TEXT(Настройки!$J2,"ч:мм"),TEXT(Настройки!U90,"ч:мм"))+TIME(0,Октябрь!S13,0),"ч::мм"))</calculatedColumnFormula>
    </tableColumn>
  </tableColumns>
  <tableStyleInfo name="TableStyleLight15" showFirstColumn="0" showLastColumn="0" showRowStripes="0" showColumnStripes="1"/>
</table>
</file>

<file path=xl/tables/table67.xml><?xml version="1.0" encoding="utf-8"?>
<table xmlns="http://schemas.openxmlformats.org/spreadsheetml/2006/main" id="59" name="ОктябрьГраф2" displayName="ОктябрьГраф2" ref="A23:P26" totalsRowShown="0" headerRowDxfId="248" dataDxfId="247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246">
      <calculatedColumnFormula>A14</calculatedColumnFormula>
    </tableColumn>
    <tableColumn id="2" name="16" dataDxfId="8">
      <calculatedColumnFormula>IF(TEXT(IF(Настройки!V90="",TEXT(Настройки!$J2,"ч:мм"),TEXT(Настройки!V90,"ч:мм"))+TIME(0,Октябрь!T13,0),"ч::мм")=TEXT(IF(Настройки!V90="",TEXT(Настройки!$J2,"ч:мм"),TEXT(Настройки!V90,"ч:мм")),"ч:мм"),"",TEXT(IF(Настройки!V90="",TEXT(Настройки!$J2,"ч:мм"),TEXT(Настройки!V90,"ч:мм")),"ч:мм")&amp;"-"&amp;TEXT(IF(Настройки!V90="",TEXT(Настройки!$J2,"ч:мм"),TEXT(Настройки!V90,"ч:мм"))+TIME(0,Октябрь!T13,0),"ч::мм"))</calculatedColumnFormula>
    </tableColumn>
    <tableColumn id="3" name="17" dataDxfId="245">
      <calculatedColumnFormula>IF(TEXT(IF(Настройки!W90="",TEXT(Настройки!$J2,"ч:мм"),TEXT(Настройки!W90,"ч:мм"))+TIME(0,Октябрь!U13,0),"ч::мм")=TEXT(IF(Настройки!W90="",TEXT(Настройки!$J2,"ч:мм"),TEXT(Настройки!W90,"ч:мм")),"ч:мм"),"",TEXT(IF(Настройки!W90="",TEXT(Настройки!$J2,"ч:мм"),TEXT(Настройки!W90,"ч:мм")),"ч:мм")&amp;"-"&amp;TEXT(IF(Настройки!W90="",TEXT(Настройки!$J2,"ч:мм"),TEXT(Настройки!W90,"ч:мм"))+TIME(0,Октябрь!U13,0),"ч::мм"))</calculatedColumnFormula>
    </tableColumn>
    <tableColumn id="4" name="18" dataDxfId="244">
      <calculatedColumnFormula>IF(TEXT(IF(Настройки!X90="",TEXT(Настройки!$J2,"ч:мм"),TEXT(Настройки!X90,"ч:мм"))+TIME(0,Октябрь!V13,0),"ч::мм")=TEXT(IF(Настройки!X90="",TEXT(Настройки!$J2,"ч:мм"),TEXT(Настройки!X90,"ч:мм")),"ч:мм"),"",TEXT(IF(Настройки!X90="",TEXT(Настройки!$J2,"ч:мм"),TEXT(Настройки!X90,"ч:мм")),"ч:мм")&amp;"-"&amp;TEXT(IF(Настройки!X90="",TEXT(Настройки!$J2,"ч:мм"),TEXT(Настройки!X90,"ч:мм"))+TIME(0,Октябрь!V13,0),"ч::мм"))</calculatedColumnFormula>
    </tableColumn>
    <tableColumn id="5" name="19" dataDxfId="243">
      <calculatedColumnFormula>IF(TEXT(IF(Настройки!Y90="",TEXT(Настройки!$J2,"ч:мм"),TEXT(Настройки!Y90,"ч:мм"))+TIME(0,Октябрь!W13,0),"ч::мм")=TEXT(IF(Настройки!Y90="",TEXT(Настройки!$J2,"ч:мм"),TEXT(Настройки!Y90,"ч:мм")),"ч:мм"),"",TEXT(IF(Настройки!Y90="",TEXT(Настройки!$J2,"ч:мм"),TEXT(Настройки!Y90,"ч:мм")),"ч:мм")&amp;"-"&amp;TEXT(IF(Настройки!Y90="",TEXT(Настройки!$J2,"ч:мм"),TEXT(Настройки!Y90,"ч:мм"))+TIME(0,Октябрь!W13,0),"ч::мм"))</calculatedColumnFormula>
    </tableColumn>
    <tableColumn id="6" name="20" dataDxfId="242">
      <calculatedColumnFormula>IF(TEXT(IF(Настройки!Z90="",TEXT(Настройки!$J2,"ч:мм"),TEXT(Настройки!Z90,"ч:мм"))+TIME(0,Октябрь!X13,0),"ч::мм")=TEXT(IF(Настройки!Z90="",TEXT(Настройки!$J2,"ч:мм"),TEXT(Настройки!Z90,"ч:мм")),"ч:мм"),"",TEXT(IF(Настройки!Z90="",TEXT(Настройки!$J2,"ч:мм"),TEXT(Настройки!Z90,"ч:мм")),"ч:мм")&amp;"-"&amp;TEXT(IF(Настройки!Z90="",TEXT(Настройки!$J2,"ч:мм"),TEXT(Настройки!Z90,"ч:мм"))+TIME(0,Октябрь!X13,0),"ч::мм"))</calculatedColumnFormula>
    </tableColumn>
    <tableColumn id="7" name="21" dataDxfId="241">
      <calculatedColumnFormula>IF(TEXT(IF(Настройки!AA90="",TEXT(Настройки!$J2,"ч:мм"),TEXT(Настройки!AA90,"ч:мм"))+TIME(0,Октябрь!Y13,0),"ч::мм")=TEXT(IF(Настройки!AA90="",TEXT(Настройки!$J2,"ч:мм"),TEXT(Настройки!AA90,"ч:мм")),"ч:мм"),"",TEXT(IF(Настройки!AA90="",TEXT(Настройки!$J2,"ч:мм"),TEXT(Настройки!AA90,"ч:мм")),"ч:мм")&amp;"-"&amp;TEXT(IF(Настройки!AA90="",TEXT(Настройки!$J2,"ч:мм"),TEXT(Настройки!AA90,"ч:мм"))+TIME(0,Октябрь!Y13,0),"ч::мм"))</calculatedColumnFormula>
    </tableColumn>
    <tableColumn id="8" name="22" dataDxfId="240">
      <calculatedColumnFormula>IF(TEXT(IF(Настройки!AB90="",TEXT(Настройки!$J2,"ч:мм"),TEXT(Настройки!AB90,"ч:мм"))+TIME(0,Октябрь!Z13,0),"ч::мм")=TEXT(IF(Настройки!AB90="",TEXT(Настройки!$J2,"ч:мм"),TEXT(Настройки!AB90,"ч:мм")),"ч:мм"),"",TEXT(IF(Настройки!AB90="",TEXT(Настройки!$J2,"ч:мм"),TEXT(Настройки!AB90,"ч:мм")),"ч:мм")&amp;"-"&amp;TEXT(IF(Настройки!AB90="",TEXT(Настройки!$J2,"ч:мм"),TEXT(Настройки!AB90,"ч:мм"))+TIME(0,Октябрь!Z13,0),"ч::мм"))</calculatedColumnFormula>
    </tableColumn>
    <tableColumn id="9" name="23" dataDxfId="239">
      <calculatedColumnFormula>IF(TEXT(IF(Настройки!AC90="",TEXT(Настройки!$J2,"ч:мм"),TEXT(Настройки!AC90,"ч:мм"))+TIME(0,Октябрь!AA13,0),"ч::мм")=TEXT(IF(Настройки!AC90="",TEXT(Настройки!$J2,"ч:мм"),TEXT(Настройки!AC90,"ч:мм")),"ч:мм"),"",TEXT(IF(Настройки!AC90="",TEXT(Настройки!$J2,"ч:мм"),TEXT(Настройки!AC90,"ч:мм")),"ч:мм")&amp;"-"&amp;TEXT(IF(Настройки!AC90="",TEXT(Настройки!$J2,"ч:мм"),TEXT(Настройки!AC90,"ч:мм"))+TIME(0,Октябрь!AA13,0),"ч::мм"))</calculatedColumnFormula>
    </tableColumn>
    <tableColumn id="10" name="24" dataDxfId="238">
      <calculatedColumnFormula>IF(TEXT(IF(Настройки!AD90="",TEXT(Настройки!$J2,"ч:мм"),TEXT(Настройки!AD90,"ч:мм"))+TIME(0,Октябрь!AB13,0),"ч::мм")=TEXT(IF(Настройки!AD90="",TEXT(Настройки!$J2,"ч:мм"),TEXT(Настройки!AD90,"ч:мм")),"ч:мм"),"",TEXT(IF(Настройки!AD90="",TEXT(Настройки!$J2,"ч:мм"),TEXT(Настройки!AD90,"ч:мм")),"ч:мм")&amp;"-"&amp;TEXT(IF(Настройки!AD90="",TEXT(Настройки!$J2,"ч:мм"),TEXT(Настройки!AD90,"ч:мм"))+TIME(0,Октябрь!AB13,0),"ч::мм"))</calculatedColumnFormula>
    </tableColumn>
    <tableColumn id="11" name="25" dataDxfId="237">
      <calculatedColumnFormula>IF(TEXT(IF(Настройки!AE90="",TEXT(Настройки!$J2,"ч:мм"),TEXT(Настройки!AE90,"ч:мм"))+TIME(0,Октябрь!AC13,0),"ч::мм")=TEXT(IF(Настройки!AE90="",TEXT(Настройки!$J2,"ч:мм"),TEXT(Настройки!AE90,"ч:мм")),"ч:мм"),"",TEXT(IF(Настройки!AE90="",TEXT(Настройки!$J2,"ч:мм"),TEXT(Настройки!AE90,"ч:мм")),"ч:мм")&amp;"-"&amp;TEXT(IF(Настройки!AE90="",TEXT(Настройки!$J2,"ч:мм"),TEXT(Настройки!AE90,"ч:мм"))+TIME(0,Октябрь!AC13,0),"ч::мм"))</calculatedColumnFormula>
    </tableColumn>
    <tableColumn id="12" name="26" dataDxfId="236">
      <calculatedColumnFormula>IF(TEXT(IF(Настройки!AF90="",TEXT(Настройки!$J2,"ч:мм"),TEXT(Настройки!AF90,"ч:мм"))+TIME(0,Октябрь!AD13,0),"ч::мм")=TEXT(IF(Настройки!AF90="",TEXT(Настройки!$J2,"ч:мм"),TEXT(Настройки!AF90,"ч:мм")),"ч:мм"),"",TEXT(IF(Настройки!AF90="",TEXT(Настройки!$J2,"ч:мм"),TEXT(Настройки!AF90,"ч:мм")),"ч:мм")&amp;"-"&amp;TEXT(IF(Настройки!AF90="",TEXT(Настройки!$J2,"ч:мм"),TEXT(Настройки!AF90,"ч:мм"))+TIME(0,Октябрь!AD13,0),"ч::мм"))</calculatedColumnFormula>
    </tableColumn>
    <tableColumn id="13" name="27" dataDxfId="235">
      <calculatedColumnFormula>IF(TEXT(IF(Настройки!AG90="",TEXT(Настройки!$J2,"ч:мм"),TEXT(Настройки!AG90,"ч:мм"))+TIME(0,Октябрь!AE13,0),"ч::мм")=TEXT(IF(Настройки!AG90="",TEXT(Настройки!$J2,"ч:мм"),TEXT(Настройки!AG90,"ч:мм")),"ч:мм"),"",TEXT(IF(Настройки!AG90="",TEXT(Настройки!$J2,"ч:мм"),TEXT(Настройки!AG90,"ч:мм")),"ч:мм")&amp;"-"&amp;TEXT(IF(Настройки!AG90="",TEXT(Настройки!$J2,"ч:мм"),TEXT(Настройки!AG90,"ч:мм"))+TIME(0,Октябрь!AE13,0),"ч::мм"))</calculatedColumnFormula>
    </tableColumn>
    <tableColumn id="14" name="28" dataDxfId="234">
      <calculatedColumnFormula>IF(TEXT(IF(Настройки!AH90="",TEXT(Настройки!$J2,"ч:мм"),TEXT(Настройки!AH90,"ч:мм"))+TIME(0,Октябрь!AF13,0),"ч::мм")=TEXT(IF(Настройки!AH90="",TEXT(Настройки!$J2,"ч:мм"),TEXT(Настройки!AH90,"ч:мм")),"ч:мм"),"",TEXT(IF(Настройки!AH90="",TEXT(Настройки!$J2,"ч:мм"),TEXT(Настройки!AH90,"ч:мм")),"ч:мм")&amp;"-"&amp;TEXT(IF(Настройки!AH90="",TEXT(Настройки!$J2,"ч:мм"),TEXT(Настройки!AH90,"ч:мм"))+TIME(0,Октябрь!AF13,0),"ч::мм"))</calculatedColumnFormula>
    </tableColumn>
    <tableColumn id="15" name="29" dataDxfId="233">
      <calculatedColumnFormula>IF(TEXT(IF(Настройки!AI90="",TEXT(Настройки!$J2,"ч:мм"),TEXT(Настройки!AI90,"ч:мм"))+TIME(0,Октябрь!AG13,0),"ч::мм")=TEXT(IF(Настройки!AI90="",TEXT(Настройки!$J2,"ч:мм"),TEXT(Настройки!AI90,"ч:мм")),"ч:мм"),"",TEXT(IF(Настройки!AI90="",TEXT(Настройки!$J2,"ч:мм"),TEXT(Настройки!AI90,"ч:мм")),"ч:мм")&amp;"-"&amp;TEXT(IF(Настройки!AI90="",TEXT(Настройки!$J2,"ч:мм"),TEXT(Настройки!AI90,"ч:мм"))+TIME(0,Октябрь!AG13,0),"ч::мм"))</calculatedColumnFormula>
    </tableColumn>
    <tableColumn id="16" name="30" dataDxfId="232">
      <calculatedColumnFormula>IF(TEXT(IF(Настройки!AJ90="",TEXT(Настройки!$J2,"ч:мм"),TEXT(Настройки!AJ90,"ч:мм"))+TIME(0,Октябрь!AH13,0),"ч::мм")=TEXT(IF(Настройки!AJ90="",TEXT(Настройки!$J2,"ч:мм"),TEXT(Настройки!AJ90,"ч:мм")),"ч:мм"),"",TEXT(IF(Настройки!AJ90="",TEXT(Настройки!$J2,"ч:мм"),TEXT(Настройки!AJ90,"ч:мм")),"ч:мм")&amp;"-"&amp;TEXT(IF(Настройки!AJ90="",TEXT(Настройки!$J2,"ч:мм"),TEXT(Настройки!AJ90,"ч:мм"))+TIME(0,Октябрь!AH13,0),"ч::мм"))</calculatedColumnFormula>
    </tableColumn>
  </tableColumns>
  <tableStyleInfo name="TableStyleLight15" showFirstColumn="0" showLastColumn="0" showRowStripes="0" showColumnStripes="1"/>
</table>
</file>

<file path=xl/tables/table68.xml><?xml version="1.0" encoding="utf-8"?>
<table xmlns="http://schemas.openxmlformats.org/spreadsheetml/2006/main" id="60" name="ОктябрьГраф3" displayName="ОктябрьГраф3" ref="A33:B36" totalsRowShown="0" headerRowDxfId="231" dataDxfId="230" tableBorderDxfId="229">
  <autoFilter ref="A33:B36">
    <filterColumn colId="0" hiddenButton="1"/>
    <filterColumn colId="1" hiddenButton="1"/>
  </autoFilter>
  <tableColumns count="2">
    <tableColumn id="1" name="Посещение" dataDxfId="228">
      <calculatedColumnFormula>A24</calculatedColumnFormula>
    </tableColumn>
    <tableColumn id="2" name="31" dataDxfId="7">
      <calculatedColumnFormula>IF(TEXT(IF(Настройки!AK90="",TEXT(Настройки!$J2,"ч:мм"),TEXT(Настройки!AK90,"ч:мм"))+TIME(0,Октябрь!AI13,0),"ч::мм")=TEXT(IF(Настройки!AK90="",TEXT(Настройки!$J2,"ч:мм"),TEXT(Настройки!AK90,"ч:мм")),"ч:мм"),"",TEXT(IF(Настройки!AK90="",TEXT(Настройки!$J2,"ч:мм"),TEXT(Настройки!AK90,"ч:мм")),"ч:мм")&amp;"-"&amp;TEXT(IF(Настройки!AK90="",TEXT(Настройки!$J2,"ч:мм"),TEXT(Настройки!AK90,"ч:мм"))+TIME(0,Октябрь!AI13,0),"ч::мм"))</calculatedColumnFormula>
    </tableColumn>
  </tableColumns>
  <tableStyleInfo name="TableStyleLight15" showFirstColumn="0" showLastColumn="0" showRowStripes="0" showColumnStripes="1"/>
</table>
</file>

<file path=xl/tables/table69.xml><?xml version="1.0" encoding="utf-8"?>
<table xmlns="http://schemas.openxmlformats.org/spreadsheetml/2006/main" id="26" name="Ноябрь" displayName="Ноябрь" ref="A25:AJ28" headerRowDxfId="225" dataDxfId="224" totalsRowDxfId="223">
  <autoFilter ref="A25:AJ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Услуга" totalsRowLabel="Итог" dataDxfId="222"/>
    <tableColumn id="2" name="Периодичность" dataDxfId="221" totalsRowDxfId="220">
      <calculatedColumnFormula>IF(Январь[[#This Row],[Периодичность]]&lt;&gt;"",Январь[[#This Row],[Периодичность]],"")</calculatedColumnFormula>
    </tableColumn>
    <tableColumn id="3" name="Объем" dataDxfId="219" totalsRowDxfId="218">
      <calculatedColumnFormula>IF(Январь[[#This Row],[Объем]]&lt;&gt;"",Январь[[#This Row],[Объем]],"")</calculatedColumnFormula>
    </tableColumn>
    <tableColumn id="4" name="№" dataDxfId="217" totalsRowDxfId="216"/>
    <tableColumn id="7" name="1"/>
    <tableColumn id="8" name="2"/>
    <tableColumn id="9" name="3"/>
    <tableColumn id="10" name="4" totalsRowDxfId="215"/>
    <tableColumn id="11" name="5" totalsRowDxfId="214"/>
    <tableColumn id="12" name="6" totalsRowDxfId="213"/>
    <tableColumn id="13" name="7"/>
    <tableColumn id="14" name="8"/>
    <tableColumn id="15" name="9"/>
    <tableColumn id="16" name="10"/>
    <tableColumn id="17" name="11" totalsRowDxfId="212"/>
    <tableColumn id="18" name="12" totalsRowDxfId="211"/>
    <tableColumn id="19" name="13" totalsRowDxfId="210"/>
    <tableColumn id="20" name="14"/>
    <tableColumn id="21" name="15"/>
    <tableColumn id="22" name="16"/>
    <tableColumn id="23" name="17"/>
    <tableColumn id="24" name="18" totalsRowDxfId="209"/>
    <tableColumn id="25" name="19" totalsRowDxfId="208"/>
    <tableColumn id="26" name="20" totalsRowDxfId="207"/>
    <tableColumn id="27" name="21"/>
    <tableColumn id="28" name="22"/>
    <tableColumn id="29" name="23"/>
    <tableColumn id="30" name="24"/>
    <tableColumn id="31" name="25" totalsRowDxfId="206"/>
    <tableColumn id="32" name="26" totalsRowDxfId="205"/>
    <tableColumn id="33" name="27" totalsRowDxfId="204"/>
    <tableColumn id="34" name="28"/>
    <tableColumn id="35" name="29"/>
    <tableColumn id="36" name="30"/>
    <tableColumn id="38" name="УСЛУГ" totalsRowFunction="sum" dataDxfId="203" totalsRowDxfId="202">
      <calculatedColumnFormula>IF(Ноябрь[[#This Row],[№]]=1,SUM(Ноябрь[[#This Row],[1]:[30]])+SUM(OFFSET(Ноябрь[[#This Row],[1]:[30]],1,0))+SUM(OFFSET(Ноябрь[[#This Row],[1]:[30]],2,0)),"")</calculatedColumnFormula>
    </tableColumn>
    <tableColumn id="39" name="МИНУТ" totalsRowFunction="sum" dataDxfId="201" totalsRowDxfId="200">
      <calculatedColumnFormula>IF(Ноябрь[[#This Row],[УСЛУГ]]&lt;&gt;"",Ноябрь[[#This Row],[УСЛУГ]]*Ноябрь[[#This Row],[Объем]],"")</calculatedColumnFormula>
    </tableColumn>
  </tableColumns>
  <tableStyleInfo name="TableStyleLight15" showFirstColumn="0" showLastColumn="0" showRowStripes="1" showColumnStripes="0"/>
</table>
</file>

<file path=xl/tables/table70.xml><?xml version="1.0" encoding="utf-8"?>
<table xmlns="http://schemas.openxmlformats.org/spreadsheetml/2006/main" id="27" name="НоябрьИтоги" displayName="НоябрьИтоги" ref="A12:AJ18" totalsRowShown="0" headerRowDxfId="199" dataDxfId="198" tableBorderDxfId="197">
  <autoFilter ref="A12:AJ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</autoFilter>
  <tableColumns count="36">
    <tableColumn id="1" name="периодичность" dataDxfId="196"/>
    <tableColumn id="2" name="за неделю" dataDxfId="195">
      <calculatedColumnFormula>SUM(H24:L24)</calculatedColumnFormula>
    </tableColumn>
    <tableColumn id="3" name="всего минут" dataDxfId="194">
      <calculatedColumnFormula>НоябрьИтоги[[#This Row],[№]]*60</calculatedColumnFormula>
    </tableColumn>
    <tableColumn id="4" name="№" dataDxfId="193"/>
    <tableColumn id="5" name="1" dataDxfId="192">
      <calculatedColumnFormula>SUM(E10:E20)</calculatedColumnFormula>
    </tableColumn>
    <tableColumn id="6" name="2" dataDxfId="191"/>
    <tableColumn id="7" name="3" dataDxfId="190"/>
    <tableColumn id="8" name="4" dataDxfId="189"/>
    <tableColumn id="9" name="5" dataDxfId="188"/>
    <tableColumn id="10" name="6" dataDxfId="187"/>
    <tableColumn id="11" name="7" dataDxfId="186"/>
    <tableColumn id="12" name="8" dataDxfId="185"/>
    <tableColumn id="13" name="9" dataDxfId="184"/>
    <tableColumn id="14" name="10" dataDxfId="183"/>
    <tableColumn id="15" name="11" dataDxfId="182"/>
    <tableColumn id="16" name="12" dataDxfId="181"/>
    <tableColumn id="17" name="13" dataDxfId="180"/>
    <tableColumn id="18" name="14" dataDxfId="179"/>
    <tableColumn id="19" name="15" dataDxfId="178"/>
    <tableColumn id="20" name="16" dataDxfId="177"/>
    <tableColumn id="21" name="17" dataDxfId="176"/>
    <tableColumn id="22" name="18" dataDxfId="175"/>
    <tableColumn id="23" name="19" dataDxfId="174"/>
    <tableColumn id="24" name="20" dataDxfId="173"/>
    <tableColumn id="25" name="21" dataDxfId="172"/>
    <tableColumn id="26" name="22" dataDxfId="171"/>
    <tableColumn id="27" name="23" dataDxfId="170"/>
    <tableColumn id="28" name="24" dataDxfId="169"/>
    <tableColumn id="29" name="25" dataDxfId="168"/>
    <tableColumn id="30" name="26" dataDxfId="167"/>
    <tableColumn id="31" name="27" dataDxfId="166"/>
    <tableColumn id="32" name="28" dataDxfId="165"/>
    <tableColumn id="33" name="29" dataDxfId="164"/>
    <tableColumn id="34" name="30" dataDxfId="163"/>
    <tableColumn id="35" name="УСЛУГ" dataDxfId="162">
      <calculatedColumnFormula>SUM(Сентябрь[УСЛУГ])</calculatedColumnFormula>
    </tableColumn>
    <tableColumn id="36" name="МИНУТ" dataDxfId="161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71.xml><?xml version="1.0" encoding="utf-8"?>
<table xmlns="http://schemas.openxmlformats.org/spreadsheetml/2006/main" id="61" name="НоябрьГраф1" displayName="НоябрьГраф1" ref="A13:P16" totalsRowShown="0" headerRowDxfId="158" dataDxfId="157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6">
      <calculatedColumnFormula>IF(Настройки!J2&lt;&gt;"",TEXT(MIN(Настройки!G96:AJ96,Настройки!J2),"ч:мм")&amp;"-"&amp;TEXT(MAX(Настройки!G96:AJ96,Настройки!J2)+TIME(0,MAX(Ноябрь!E13:AH13),0),"ч:мм"),"")</calculatedColumnFormula>
    </tableColumn>
    <tableColumn id="2" name="1" dataDxfId="5">
      <calculatedColumnFormula>IF(TEXT(IF(Настройки!G96="",TEXT(Настройки!$J2,"ч:мм"),TEXT(Настройки!G96,"ч:мм"))+TIME(0,Ноябрь!E13,0),"ч::мм")=TEXT(IF(Настройки!G96="",TEXT(Настройки!$J2,"ч:мм"),TEXT(Настройки!G96,"ч:мм")),"ч:мм"),"",TEXT(IF(Настройки!G96="",TEXT(Настройки!$J2,"ч:мм"),TEXT(Настройки!G96,"ч:мм")),"ч:мм")&amp;"-"&amp;TEXT(IF(Настройки!G96="",TEXT(Настройки!$J2,"ч:мм"),TEXT(Настройки!G96,"ч:мм"))+TIME(0,Ноябрь!E13,0),"ч::мм"))</calculatedColumnFormula>
    </tableColumn>
    <tableColumn id="3" name="2" dataDxfId="156">
      <calculatedColumnFormula>IF(TEXT(IF(Настройки!H96="",TEXT(Настройки!$J2,"ч:мм"),TEXT(Настройки!H96,"ч:мм"))+TIME(0,Ноябрь!F13,0),"ч::мм")=TEXT(IF(Настройки!H96="",TEXT(Настройки!$J2,"ч:мм"),TEXT(Настройки!H96,"ч:мм")),"ч:мм"),"",TEXT(IF(Настройки!H96="",TEXT(Настройки!$J2,"ч:мм"),TEXT(Настройки!H96,"ч:мм")),"ч:мм")&amp;"-"&amp;TEXT(IF(Настройки!H96="",TEXT(Настройки!$J2,"ч:мм"),TEXT(Настройки!H96,"ч:мм"))+TIME(0,Ноябрь!F13,0),"ч::мм"))</calculatedColumnFormula>
    </tableColumn>
    <tableColumn id="4" name="3" dataDxfId="155">
      <calculatedColumnFormula>IF(TEXT(IF(Настройки!I96="",TEXT(Настройки!$J2,"ч:мм"),TEXT(Настройки!I96,"ч:мм"))+TIME(0,Ноябрь!G13,0),"ч::мм")=TEXT(IF(Настройки!I96="",TEXT(Настройки!$J2,"ч:мм"),TEXT(Настройки!I96,"ч:мм")),"ч:мм"),"",TEXT(IF(Настройки!I96="",TEXT(Настройки!$J2,"ч:мм"),TEXT(Настройки!I96,"ч:мм")),"ч:мм")&amp;"-"&amp;TEXT(IF(Настройки!I96="",TEXT(Настройки!$J2,"ч:мм"),TEXT(Настройки!I96,"ч:мм"))+TIME(0,Ноябрь!G13,0),"ч::мм"))</calculatedColumnFormula>
    </tableColumn>
    <tableColumn id="5" name="4" dataDxfId="154">
      <calculatedColumnFormula>IF(TEXT(IF(Настройки!J96="",TEXT(Настройки!$J2,"ч:мм"),TEXT(Настройки!J96,"ч:мм"))+TIME(0,Ноябрь!H13,0),"ч::мм")=TEXT(IF(Настройки!J96="",TEXT(Настройки!$J2,"ч:мм"),TEXT(Настройки!J96,"ч:мм")),"ч:мм"),"",TEXT(IF(Настройки!J96="",TEXT(Настройки!$J2,"ч:мм"),TEXT(Настройки!J96,"ч:мм")),"ч:мм")&amp;"-"&amp;TEXT(IF(Настройки!J96="",TEXT(Настройки!$J2,"ч:мм"),TEXT(Настройки!J96,"ч:мм"))+TIME(0,Ноябрь!H13,0),"ч::мм"))</calculatedColumnFormula>
    </tableColumn>
    <tableColumn id="6" name="5" dataDxfId="153">
      <calculatedColumnFormula>IF(TEXT(IF(Настройки!K96="",TEXT(Настройки!$J2,"ч:мм"),TEXT(Настройки!K96,"ч:мм"))+TIME(0,Ноябрь!I13,0),"ч::мм")=TEXT(IF(Настройки!K96="",TEXT(Настройки!$J2,"ч:мм"),TEXT(Настройки!K96,"ч:мм")),"ч:мм"),"",TEXT(IF(Настройки!K96="",TEXT(Настройки!$J2,"ч:мм"),TEXT(Настройки!K96,"ч:мм")),"ч:мм")&amp;"-"&amp;TEXT(IF(Настройки!K96="",TEXT(Настройки!$J2,"ч:мм"),TEXT(Настройки!K96,"ч:мм"))+TIME(0,Ноябрь!I13,0),"ч::мм"))</calculatedColumnFormula>
    </tableColumn>
    <tableColumn id="7" name="6" dataDxfId="152">
      <calculatedColumnFormula>IF(TEXT(IF(Настройки!L96="",TEXT(Настройки!$J2,"ч:мм"),TEXT(Настройки!L96,"ч:мм"))+TIME(0,Ноябрь!J13,0),"ч::мм")=TEXT(IF(Настройки!L96="",TEXT(Настройки!$J2,"ч:мм"),TEXT(Настройки!L96,"ч:мм")),"ч:мм"),"",TEXT(IF(Настройки!L96="",TEXT(Настройки!$J2,"ч:мм"),TEXT(Настройки!L96,"ч:мм")),"ч:мм")&amp;"-"&amp;TEXT(IF(Настройки!L96="",TEXT(Настройки!$J2,"ч:мм"),TEXT(Настройки!L96,"ч:мм"))+TIME(0,Ноябрь!J13,0),"ч::мм"))</calculatedColumnFormula>
    </tableColumn>
    <tableColumn id="8" name="7" dataDxfId="151">
      <calculatedColumnFormula>IF(TEXT(IF(Настройки!M96="",TEXT(Настройки!$J2,"ч:мм"),TEXT(Настройки!M96,"ч:мм"))+TIME(0,Ноябрь!K13,0),"ч::мм")=TEXT(IF(Настройки!M96="",TEXT(Настройки!$J2,"ч:мм"),TEXT(Настройки!M96,"ч:мм")),"ч:мм"),"",TEXT(IF(Настройки!M96="",TEXT(Настройки!$J2,"ч:мм"),TEXT(Настройки!M96,"ч:мм")),"ч:мм")&amp;"-"&amp;TEXT(IF(Настройки!M96="",TEXT(Настройки!$J2,"ч:мм"),TEXT(Настройки!M96,"ч:мм"))+TIME(0,Ноябрь!K13,0),"ч::мм"))</calculatedColumnFormula>
    </tableColumn>
    <tableColumn id="9" name="8" dataDxfId="150">
      <calculatedColumnFormula>IF(TEXT(IF(Настройки!N96="",TEXT(Настройки!$J2,"ч:мм"),TEXT(Настройки!N96,"ч:мм"))+TIME(0,Ноябрь!L13,0),"ч::мм")=TEXT(IF(Настройки!N96="",TEXT(Настройки!$J2,"ч:мм"),TEXT(Настройки!N96,"ч:мм")),"ч:мм"),"",TEXT(IF(Настройки!N96="",TEXT(Настройки!$J2,"ч:мм"),TEXT(Настройки!N96,"ч:мм")),"ч:мм")&amp;"-"&amp;TEXT(IF(Настройки!N96="",TEXT(Настройки!$J2,"ч:мм"),TEXT(Настройки!N96,"ч:мм"))+TIME(0,Ноябрь!L13,0),"ч::мм"))</calculatedColumnFormula>
    </tableColumn>
    <tableColumn id="10" name="9" dataDxfId="149">
      <calculatedColumnFormula>IF(TEXT(IF(Настройки!O96="",TEXT(Настройки!$J2,"ч:мм"),TEXT(Настройки!O96,"ч:мм"))+TIME(0,Ноябрь!M13,0),"ч::мм")=TEXT(IF(Настройки!O96="",TEXT(Настройки!$J2,"ч:мм"),TEXT(Настройки!O96,"ч:мм")),"ч:мм"),"",TEXT(IF(Настройки!O96="",TEXT(Настройки!$J2,"ч:мм"),TEXT(Настройки!O96,"ч:мм")),"ч:мм")&amp;"-"&amp;TEXT(IF(Настройки!O96="",TEXT(Настройки!$J2,"ч:мм"),TEXT(Настройки!O96,"ч:мм"))+TIME(0,Ноябрь!M13,0),"ч::мм"))</calculatedColumnFormula>
    </tableColumn>
    <tableColumn id="11" name="10" dataDxfId="148">
      <calculatedColumnFormula>IF(TEXT(IF(Настройки!P96="",TEXT(Настройки!$J2,"ч:мм"),TEXT(Настройки!P96,"ч:мм"))+TIME(0,Ноябрь!N13,0),"ч::мм")=TEXT(IF(Настройки!P96="",TEXT(Настройки!$J2,"ч:мм"),TEXT(Настройки!P96,"ч:мм")),"ч:мм"),"",TEXT(IF(Настройки!P96="",TEXT(Настройки!$J2,"ч:мм"),TEXT(Настройки!P96,"ч:мм")),"ч:мм")&amp;"-"&amp;TEXT(IF(Настройки!P96="",TEXT(Настройки!$J2,"ч:мм"),TEXT(Настройки!P96,"ч:мм"))+TIME(0,Ноябрь!N13,0),"ч::мм"))</calculatedColumnFormula>
    </tableColumn>
    <tableColumn id="12" name="11" dataDxfId="147">
      <calculatedColumnFormula>IF(TEXT(IF(Настройки!Q96="",TEXT(Настройки!$J2,"ч:мм"),TEXT(Настройки!Q96,"ч:мм"))+TIME(0,Ноябрь!O13,0),"ч::мм")=TEXT(IF(Настройки!Q96="",TEXT(Настройки!$J2,"ч:мм"),TEXT(Настройки!Q96,"ч:мм")),"ч:мм"),"",TEXT(IF(Настройки!Q96="",TEXT(Настройки!$J2,"ч:мм"),TEXT(Настройки!Q96,"ч:мм")),"ч:мм")&amp;"-"&amp;TEXT(IF(Настройки!Q96="",TEXT(Настройки!$J2,"ч:мм"),TEXT(Настройки!Q96,"ч:мм"))+TIME(0,Ноябрь!O13,0),"ч::мм"))</calculatedColumnFormula>
    </tableColumn>
    <tableColumn id="13" name="12" dataDxfId="146">
      <calculatedColumnFormula>IF(TEXT(IF(Настройки!R96="",TEXT(Настройки!$J2,"ч:мм"),TEXT(Настройки!R96,"ч:мм"))+TIME(0,Ноябрь!P13,0),"ч::мм")=TEXT(IF(Настройки!R96="",TEXT(Настройки!$J2,"ч:мм"),TEXT(Настройки!R96,"ч:мм")),"ч:мм"),"",TEXT(IF(Настройки!R96="",TEXT(Настройки!$J2,"ч:мм"),TEXT(Настройки!R96,"ч:мм")),"ч:мм")&amp;"-"&amp;TEXT(IF(Настройки!R96="",TEXT(Настройки!$J2,"ч:мм"),TEXT(Настройки!R96,"ч:мм"))+TIME(0,Ноябрь!P13,0),"ч::мм"))</calculatedColumnFormula>
    </tableColumn>
    <tableColumn id="14" name="13" dataDxfId="145">
      <calculatedColumnFormula>IF(TEXT(IF(Настройки!S96="",TEXT(Настройки!$J2,"ч:мм"),TEXT(Настройки!S96,"ч:мм"))+TIME(0,Ноябрь!Q13,0),"ч::мм")=TEXT(IF(Настройки!S96="",TEXT(Настройки!$J2,"ч:мм"),TEXT(Настройки!S96,"ч:мм")),"ч:мм"),"",TEXT(IF(Настройки!S96="",TEXT(Настройки!$J2,"ч:мм"),TEXT(Настройки!S96,"ч:мм")),"ч:мм")&amp;"-"&amp;TEXT(IF(Настройки!S96="",TEXT(Настройки!$J2,"ч:мм"),TEXT(Настройки!S96,"ч:мм"))+TIME(0,Ноябрь!Q13,0),"ч::мм"))</calculatedColumnFormula>
    </tableColumn>
    <tableColumn id="15" name="14" dataDxfId="144">
      <calculatedColumnFormula>IF(TEXT(IF(Настройки!T96="",TEXT(Настройки!$J2,"ч:мм"),TEXT(Настройки!T96,"ч:мм"))+TIME(0,Ноябрь!R13,0),"ч::мм")=TEXT(IF(Настройки!T96="",TEXT(Настройки!$J2,"ч:мм"),TEXT(Настройки!T96,"ч:мм")),"ч:мм"),"",TEXT(IF(Настройки!T96="",TEXT(Настройки!$J2,"ч:мм"),TEXT(Настройки!T96,"ч:мм")),"ч:мм")&amp;"-"&amp;TEXT(IF(Настройки!T96="",TEXT(Настройки!$J2,"ч:мм"),TEXT(Настройки!T96,"ч:мм"))+TIME(0,Ноябрь!R13,0),"ч::мм"))</calculatedColumnFormula>
    </tableColumn>
    <tableColumn id="16" name="15" dataDxfId="143">
      <calculatedColumnFormula>IF(TEXT(IF(Настройки!U96="",TEXT(Настройки!$J2,"ч:мм"),TEXT(Настройки!U96,"ч:мм"))+TIME(0,Ноябрь!S13,0),"ч::мм")=TEXT(IF(Настройки!U96="",TEXT(Настройки!$J2,"ч:мм"),TEXT(Настройки!U96,"ч:мм")),"ч:мм"),"",TEXT(IF(Настройки!U96="",TEXT(Настройки!$J2,"ч:мм"),TEXT(Настройки!U96,"ч:мм")),"ч:мм")&amp;"-"&amp;TEXT(IF(Настройки!U96="",TEXT(Настройки!$J2,"ч:мм"),TEXT(Настройки!U96,"ч:мм"))+TIME(0,Ноябрь!S13,0),"ч::мм"))</calculatedColumnFormula>
    </tableColumn>
  </tableColumns>
  <tableStyleInfo name="TableStyleLight15" showFirstColumn="0" showLastColumn="0" showRowStripes="0" showColumnStripes="1"/>
</table>
</file>

<file path=xl/tables/table72.xml><?xml version="1.0" encoding="utf-8"?>
<table xmlns="http://schemas.openxmlformats.org/spreadsheetml/2006/main" id="62" name="НоябрьГраф2" displayName="НоябрьГраф2" ref="A23:P26" totalsRowShown="0" headerRowDxfId="142" dataDxfId="141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140">
      <calculatedColumnFormula>A14</calculatedColumnFormula>
    </tableColumn>
    <tableColumn id="2" name="16" dataDxfId="4">
      <calculatedColumnFormula>IF(TEXT(IF(Настройки!V96="",TEXT(Настройки!$J2,"ч:мм"),TEXT(Настройки!V96,"ч:мм"))+TIME(0,Ноябрь!T13,0),"ч::мм")=TEXT(IF(Настройки!V96="",TEXT(Настройки!$J2,"ч:мм"),TEXT(Настройки!V96,"ч:мм")),"ч:мм"),"",TEXT(IF(Настройки!V96="",TEXT(Настройки!$J2,"ч:мм"),TEXT(Настройки!V96,"ч:мм")),"ч:мм")&amp;"-"&amp;TEXT(IF(Настройки!V96="",TEXT(Настройки!$J2,"ч:мм"),TEXT(Настройки!V96,"ч:мм"))+TIME(0,Ноябрь!T13,0),"ч::мм"))</calculatedColumnFormula>
    </tableColumn>
    <tableColumn id="3" name="17" dataDxfId="139">
      <calculatedColumnFormula>IF(TEXT(IF(Настройки!W96="",TEXT(Настройки!$J2,"ч:мм"),TEXT(Настройки!W96,"ч:мм"))+TIME(0,Ноябрь!U13,0),"ч::мм")=TEXT(IF(Настройки!W96="",TEXT(Настройки!$J2,"ч:мм"),TEXT(Настройки!W96,"ч:мм")),"ч:мм"),"",TEXT(IF(Настройки!W96="",TEXT(Настройки!$J2,"ч:мм"),TEXT(Настройки!W96,"ч:мм")),"ч:мм")&amp;"-"&amp;TEXT(IF(Настройки!W96="",TEXT(Настройки!$J2,"ч:мм"),TEXT(Настройки!W96,"ч:мм"))+TIME(0,Ноябрь!U13,0),"ч::мм"))</calculatedColumnFormula>
    </tableColumn>
    <tableColumn id="4" name="18" dataDxfId="138">
      <calculatedColumnFormula>IF(TEXT(IF(Настройки!X96="",TEXT(Настройки!$J2,"ч:мм"),TEXT(Настройки!X96,"ч:мм"))+TIME(0,Ноябрь!V13,0),"ч::мм")=TEXT(IF(Настройки!X96="",TEXT(Настройки!$J2,"ч:мм"),TEXT(Настройки!X96,"ч:мм")),"ч:мм"),"",TEXT(IF(Настройки!X96="",TEXT(Настройки!$J2,"ч:мм"),TEXT(Настройки!X96,"ч:мм")),"ч:мм")&amp;"-"&amp;TEXT(IF(Настройки!X96="",TEXT(Настройки!$J2,"ч:мм"),TEXT(Настройки!X96,"ч:мм"))+TIME(0,Ноябрь!V13,0),"ч::мм"))</calculatedColumnFormula>
    </tableColumn>
    <tableColumn id="5" name="19" dataDxfId="137">
      <calculatedColumnFormula>IF(TEXT(IF(Настройки!Y96="",TEXT(Настройки!$J2,"ч:мм"),TEXT(Настройки!Y96,"ч:мм"))+TIME(0,Ноябрь!W13,0),"ч::мм")=TEXT(IF(Настройки!Y96="",TEXT(Настройки!$J2,"ч:мм"),TEXT(Настройки!Y96,"ч:мм")),"ч:мм"),"",TEXT(IF(Настройки!Y96="",TEXT(Настройки!$J2,"ч:мм"),TEXT(Настройки!Y96,"ч:мм")),"ч:мм")&amp;"-"&amp;TEXT(IF(Настройки!Y96="",TEXT(Настройки!$J2,"ч:мм"),TEXT(Настройки!Y96,"ч:мм"))+TIME(0,Ноябрь!W13,0),"ч::мм"))</calculatedColumnFormula>
    </tableColumn>
    <tableColumn id="6" name="20" dataDxfId="136">
      <calculatedColumnFormula>IF(TEXT(IF(Настройки!Z96="",TEXT(Настройки!$J2,"ч:мм"),TEXT(Настройки!Z96,"ч:мм"))+TIME(0,Ноябрь!X13,0),"ч::мм")=TEXT(IF(Настройки!Z96="",TEXT(Настройки!$J2,"ч:мм"),TEXT(Настройки!Z96,"ч:мм")),"ч:мм"),"",TEXT(IF(Настройки!Z96="",TEXT(Настройки!$J2,"ч:мм"),TEXT(Настройки!Z96,"ч:мм")),"ч:мм")&amp;"-"&amp;TEXT(IF(Настройки!Z96="",TEXT(Настройки!$J2,"ч:мм"),TEXT(Настройки!Z96,"ч:мм"))+TIME(0,Ноябрь!X13,0),"ч::мм"))</calculatedColumnFormula>
    </tableColumn>
    <tableColumn id="7" name="21" dataDxfId="135">
      <calculatedColumnFormula>IF(TEXT(IF(Настройки!AA96="",TEXT(Настройки!$J2,"ч:мм"),TEXT(Настройки!AA96,"ч:мм"))+TIME(0,Ноябрь!Y13,0),"ч::мм")=TEXT(IF(Настройки!AA96="",TEXT(Настройки!$J2,"ч:мм"),TEXT(Настройки!AA96,"ч:мм")),"ч:мм"),"",TEXT(IF(Настройки!AA96="",TEXT(Настройки!$J2,"ч:мм"),TEXT(Настройки!AA96,"ч:мм")),"ч:мм")&amp;"-"&amp;TEXT(IF(Настройки!AA96="",TEXT(Настройки!$J2,"ч:мм"),TEXT(Настройки!AA96,"ч:мм"))+TIME(0,Ноябрь!Y13,0),"ч::мм"))</calculatedColumnFormula>
    </tableColumn>
    <tableColumn id="8" name="22" dataDxfId="134">
      <calculatedColumnFormula>IF(TEXT(IF(Настройки!AB96="",TEXT(Настройки!$J2,"ч:мм"),TEXT(Настройки!AB96,"ч:мм"))+TIME(0,Ноябрь!Z13,0),"ч::мм")=TEXT(IF(Настройки!AB96="",TEXT(Настройки!$J2,"ч:мм"),TEXT(Настройки!AB96,"ч:мм")),"ч:мм"),"",TEXT(IF(Настройки!AB96="",TEXT(Настройки!$J2,"ч:мм"),TEXT(Настройки!AB96,"ч:мм")),"ч:мм")&amp;"-"&amp;TEXT(IF(Настройки!AB96="",TEXT(Настройки!$J2,"ч:мм"),TEXT(Настройки!AB96,"ч:мм"))+TIME(0,Ноябрь!Z13,0),"ч::мм"))</calculatedColumnFormula>
    </tableColumn>
    <tableColumn id="9" name="23" dataDxfId="133">
      <calculatedColumnFormula>IF(TEXT(IF(Настройки!AC96="",TEXT(Настройки!$J2,"ч:мм"),TEXT(Настройки!AC96,"ч:мм"))+TIME(0,Ноябрь!AA13,0),"ч::мм")=TEXT(IF(Настройки!AC96="",TEXT(Настройки!$J2,"ч:мм"),TEXT(Настройки!AC96,"ч:мм")),"ч:мм"),"",TEXT(IF(Настройки!AC96="",TEXT(Настройки!$J2,"ч:мм"),TEXT(Настройки!AC96,"ч:мм")),"ч:мм")&amp;"-"&amp;TEXT(IF(Настройки!AC96="",TEXT(Настройки!$J2,"ч:мм"),TEXT(Настройки!AC96,"ч:мм"))+TIME(0,Ноябрь!AA13,0),"ч::мм"))</calculatedColumnFormula>
    </tableColumn>
    <tableColumn id="10" name="24" dataDxfId="132">
      <calculatedColumnFormula>IF(TEXT(IF(Настройки!AD96="",TEXT(Настройки!$J2,"ч:мм"),TEXT(Настройки!AD96,"ч:мм"))+TIME(0,Ноябрь!AB13,0),"ч::мм")=TEXT(IF(Настройки!AD96="",TEXT(Настройки!$J2,"ч:мм"),TEXT(Настройки!AD96,"ч:мм")),"ч:мм"),"",TEXT(IF(Настройки!AD96="",TEXT(Настройки!$J2,"ч:мм"),TEXT(Настройки!AD96,"ч:мм")),"ч:мм")&amp;"-"&amp;TEXT(IF(Настройки!AD96="",TEXT(Настройки!$J2,"ч:мм"),TEXT(Настройки!AD96,"ч:мм"))+TIME(0,Ноябрь!AB13,0),"ч::мм"))</calculatedColumnFormula>
    </tableColumn>
    <tableColumn id="11" name="25" dataDxfId="131">
      <calculatedColumnFormula>IF(TEXT(IF(Настройки!AE96="",TEXT(Настройки!$J2,"ч:мм"),TEXT(Настройки!AE96,"ч:мм"))+TIME(0,Ноябрь!AC13,0),"ч::мм")=TEXT(IF(Настройки!AE96="",TEXT(Настройки!$J2,"ч:мм"),TEXT(Настройки!AE96,"ч:мм")),"ч:мм"),"",TEXT(IF(Настройки!AE96="",TEXT(Настройки!$J2,"ч:мм"),TEXT(Настройки!AE96,"ч:мм")),"ч:мм")&amp;"-"&amp;TEXT(IF(Настройки!AE96="",TEXT(Настройки!$J2,"ч:мм"),TEXT(Настройки!AE96,"ч:мм"))+TIME(0,Ноябрь!AC13,0),"ч::мм"))</calculatedColumnFormula>
    </tableColumn>
    <tableColumn id="12" name="26" dataDxfId="130">
      <calculatedColumnFormula>IF(TEXT(IF(Настройки!AF96="",TEXT(Настройки!$J2,"ч:мм"),TEXT(Настройки!AF96,"ч:мм"))+TIME(0,Ноябрь!AD13,0),"ч::мм")=TEXT(IF(Настройки!AF96="",TEXT(Настройки!$J2,"ч:мм"),TEXT(Настройки!AF96,"ч:мм")),"ч:мм"),"",TEXT(IF(Настройки!AF96="",TEXT(Настройки!$J2,"ч:мм"),TEXT(Настройки!AF96,"ч:мм")),"ч:мм")&amp;"-"&amp;TEXT(IF(Настройки!AF96="",TEXT(Настройки!$J2,"ч:мм"),TEXT(Настройки!AF96,"ч:мм"))+TIME(0,Ноябрь!AD13,0),"ч::мм"))</calculatedColumnFormula>
    </tableColumn>
    <tableColumn id="13" name="27" dataDxfId="129">
      <calculatedColumnFormula>IF(TEXT(IF(Настройки!AG96="",TEXT(Настройки!$J2,"ч:мм"),TEXT(Настройки!AG96,"ч:мм"))+TIME(0,Ноябрь!AE13,0),"ч::мм")=TEXT(IF(Настройки!AG96="",TEXT(Настройки!$J2,"ч:мм"),TEXT(Настройки!AG96,"ч:мм")),"ч:мм"),"",TEXT(IF(Настройки!AG96="",TEXT(Настройки!$J2,"ч:мм"),TEXT(Настройки!AG96,"ч:мм")),"ч:мм")&amp;"-"&amp;TEXT(IF(Настройки!AG96="",TEXT(Настройки!$J2,"ч:мм"),TEXT(Настройки!AG96,"ч:мм"))+TIME(0,Ноябрь!AE13,0),"ч::мм"))</calculatedColumnFormula>
    </tableColumn>
    <tableColumn id="14" name="28" dataDxfId="128">
      <calculatedColumnFormula>IF(TEXT(IF(Настройки!AH96="",TEXT(Настройки!$J2,"ч:мм"),TEXT(Настройки!AH96,"ч:мм"))+TIME(0,Ноябрь!AF13,0),"ч::мм")=TEXT(IF(Настройки!AH96="",TEXT(Настройки!$J2,"ч:мм"),TEXT(Настройки!AH96,"ч:мм")),"ч:мм"),"",TEXT(IF(Настройки!AH96="",TEXT(Настройки!$J2,"ч:мм"),TEXT(Настройки!AH96,"ч:мм")),"ч:мм")&amp;"-"&amp;TEXT(IF(Настройки!AH96="",TEXT(Настройки!$J2,"ч:мм"),TEXT(Настройки!AH96,"ч:мм"))+TIME(0,Ноябрь!AF13,0),"ч::мм"))</calculatedColumnFormula>
    </tableColumn>
    <tableColumn id="15" name="29" dataDxfId="127">
      <calculatedColumnFormula>IF(TEXT(IF(Настройки!AI96="",TEXT(Настройки!$J2,"ч:мм"),TEXT(Настройки!AI96,"ч:мм"))+TIME(0,Ноябрь!AG13,0),"ч::мм")=TEXT(IF(Настройки!AI96="",TEXT(Настройки!$J2,"ч:мм"),TEXT(Настройки!AI96,"ч:мм")),"ч:мм"),"",TEXT(IF(Настройки!AI96="",TEXT(Настройки!$J2,"ч:мм"),TEXT(Настройки!AI96,"ч:мм")),"ч:мм")&amp;"-"&amp;TEXT(IF(Настройки!AI96="",TEXT(Настройки!$J2,"ч:мм"),TEXT(Настройки!AI96,"ч:мм"))+TIME(0,Ноябрь!AG13,0),"ч::мм"))</calculatedColumnFormula>
    </tableColumn>
    <tableColumn id="16" name="30" dataDxfId="126">
      <calculatedColumnFormula>IF(TEXT(IF(Настройки!AJ96="",TEXT(Настройки!$J2,"ч:мм"),TEXT(Настройки!AJ96,"ч:мм"))+TIME(0,Ноябрь!AH13,0),"ч::мм")=TEXT(IF(Настройки!AJ96="",TEXT(Настройки!$J2,"ч:мм"),TEXT(Настройки!AJ96,"ч:мм")),"ч:мм"),"",TEXT(IF(Настройки!AJ96="",TEXT(Настройки!$J2,"ч:мм"),TEXT(Настройки!AJ96,"ч:мм")),"ч:мм")&amp;"-"&amp;TEXT(IF(Настройки!AJ96="",TEXT(Настройки!$J2,"ч:мм"),TEXT(Настройки!AJ96,"ч:мм"))+TIME(0,Ноябрь!AH13,0),"ч::мм"))</calculatedColumnFormula>
    </tableColumn>
  </tableColumns>
  <tableStyleInfo name="TableStyleLight15" showFirstColumn="0" showLastColumn="0" showRowStripes="0" showColumnStripes="1"/>
</table>
</file>

<file path=xl/tables/table73.xml><?xml version="1.0" encoding="utf-8"?>
<table xmlns="http://schemas.openxmlformats.org/spreadsheetml/2006/main" id="28" name="Декабрь" displayName="Декабрь" ref="A25:AK28" headerRowDxfId="123" dataDxfId="122" totalsRowDxfId="121">
  <autoFilter ref="A25:AK2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Услуга" totalsRowLabel="Итог" dataDxfId="120"/>
    <tableColumn id="2" name="Периодичность" dataDxfId="119" totalsRowDxfId="118">
      <calculatedColumnFormula>IF(Январь[[#This Row],[Периодичность]]&lt;&gt;"",Январь[[#This Row],[Периодичность]],"")</calculatedColumnFormula>
    </tableColumn>
    <tableColumn id="3" name="Объем" dataDxfId="117" totalsRowDxfId="116">
      <calculatedColumnFormula>IF(Январь[[#This Row],[Объем]]&lt;&gt;"",Январь[[#This Row],[Объем]],"")</calculatedColumnFormula>
    </tableColumn>
    <tableColumn id="4" name="№" dataDxfId="115" totalsRowDxfId="114"/>
    <tableColumn id="7" name="1"/>
    <tableColumn id="8" name="2"/>
    <tableColumn id="9" name="3"/>
    <tableColumn id="10" name="4" totalsRowDxfId="113"/>
    <tableColumn id="11" name="5" totalsRowDxfId="112"/>
    <tableColumn id="12" name="6" totalsRowDxfId="111"/>
    <tableColumn id="13" name="7"/>
    <tableColumn id="14" name="8"/>
    <tableColumn id="15" name="9"/>
    <tableColumn id="16" name="10"/>
    <tableColumn id="17" name="11" totalsRowDxfId="110"/>
    <tableColumn id="18" name="12" totalsRowDxfId="109"/>
    <tableColumn id="19" name="13" totalsRowDxfId="108"/>
    <tableColumn id="20" name="14"/>
    <tableColumn id="21" name="15"/>
    <tableColumn id="22" name="16"/>
    <tableColumn id="23" name="17"/>
    <tableColumn id="24" name="18" totalsRowDxfId="107"/>
    <tableColumn id="25" name="19" totalsRowDxfId="106"/>
    <tableColumn id="26" name="20" totalsRowDxfId="105"/>
    <tableColumn id="27" name="21"/>
    <tableColumn id="28" name="22"/>
    <tableColumn id="29" name="23"/>
    <tableColumn id="30" name="24"/>
    <tableColumn id="31" name="25" totalsRowDxfId="104"/>
    <tableColumn id="32" name="26" totalsRowDxfId="103"/>
    <tableColumn id="33" name="27" totalsRowDxfId="102"/>
    <tableColumn id="34" name="28"/>
    <tableColumn id="35" name="29"/>
    <tableColumn id="36" name="30"/>
    <tableColumn id="5" name="31"/>
    <tableColumn id="38" name="УСЛУГ" totalsRowFunction="sum" dataDxfId="101" totalsRowDxfId="100">
      <calculatedColumnFormula>IF(Декабрь[[#This Row],[№]]=1,SUM(Декабрь[[#This Row],[1]:[31]])+SUM(OFFSET(Декабрь[[#This Row],[1]:[31]],1,0))+SUM(OFFSET(Декабрь[[#This Row],[1]:[31]],2,0)),"")</calculatedColumnFormula>
    </tableColumn>
    <tableColumn id="39" name="МИНУТ" totalsRowFunction="sum" dataDxfId="99" totalsRowDxfId="98">
      <calculatedColumnFormula>IF(Декабрь[[#This Row],[УСЛУГ]]&lt;&gt;"",Декабрь[[#This Row],[УСЛУГ]]*Декабрь[[#This Row],[Объем]],"")</calculatedColumnFormula>
    </tableColumn>
  </tableColumns>
  <tableStyleInfo name="TableStyleLight15" showFirstColumn="0" showLastColumn="0" showRowStripes="1" showColumnStripes="0"/>
</table>
</file>

<file path=xl/tables/table74.xml><?xml version="1.0" encoding="utf-8"?>
<table xmlns="http://schemas.openxmlformats.org/spreadsheetml/2006/main" id="29" name="ДекабрьИтоги" displayName="ДекабрьИтоги" ref="A12:AK18" totalsRowShown="0" headerRowDxfId="97" dataDxfId="96" tableBorderDxfId="95">
  <autoFilter ref="A12:AK1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</autoFilter>
  <tableColumns count="37">
    <tableColumn id="1" name="периодичность" dataDxfId="94"/>
    <tableColumn id="2" name="за неделю" dataDxfId="93">
      <calculatedColumnFormula>SUMPRODUCT((#REF!=1)*E16:AI16)</calculatedColumnFormula>
    </tableColumn>
    <tableColumn id="3" name="всего минут" dataDxfId="92">
      <calculatedColumnFormula>ДекабрьИтоги[[#This Row],[№]]*60</calculatedColumnFormula>
    </tableColumn>
    <tableColumn id="4" name="№" dataDxfId="91"/>
    <tableColumn id="5" name="1" dataDxfId="90">
      <calculatedColumnFormula>SUM(E10:E15)</calculatedColumnFormula>
    </tableColumn>
    <tableColumn id="6" name="2" dataDxfId="89"/>
    <tableColumn id="7" name="3" dataDxfId="88"/>
    <tableColumn id="8" name="4" dataDxfId="87"/>
    <tableColumn id="9" name="5" dataDxfId="86"/>
    <tableColumn id="10" name="6" dataDxfId="85"/>
    <tableColumn id="11" name="7" dataDxfId="84"/>
    <tableColumn id="12" name="8" dataDxfId="83"/>
    <tableColumn id="13" name="9" dataDxfId="82"/>
    <tableColumn id="14" name="10" dataDxfId="81"/>
    <tableColumn id="15" name="11" dataDxfId="80"/>
    <tableColumn id="16" name="12" dataDxfId="79"/>
    <tableColumn id="17" name="13" dataDxfId="78"/>
    <tableColumn id="18" name="14" dataDxfId="77"/>
    <tableColumn id="19" name="15" dataDxfId="76"/>
    <tableColumn id="20" name="16" dataDxfId="75"/>
    <tableColumn id="21" name="17" dataDxfId="74"/>
    <tableColumn id="22" name="18" dataDxfId="73"/>
    <tableColumn id="23" name="19" dataDxfId="72"/>
    <tableColumn id="24" name="20" dataDxfId="71"/>
    <tableColumn id="25" name="21" dataDxfId="70"/>
    <tableColumn id="26" name="22" dataDxfId="69"/>
    <tableColumn id="27" name="23" dataDxfId="68"/>
    <tableColumn id="28" name="24" dataDxfId="67"/>
    <tableColumn id="29" name="25" dataDxfId="66"/>
    <tableColumn id="30" name="26" dataDxfId="65"/>
    <tableColumn id="31" name="27" dataDxfId="64"/>
    <tableColumn id="32" name="28" dataDxfId="63"/>
    <tableColumn id="33" name="29" dataDxfId="62"/>
    <tableColumn id="34" name="30" dataDxfId="61"/>
    <tableColumn id="37" name="31" dataDxfId="60">
      <calculatedColumnFormula>SUMPRODUCT((Август[№]=1)*Август[31],Август[Объем])</calculatedColumnFormula>
    </tableColumn>
    <tableColumn id="35" name="УСЛУГ" dataDxfId="59">
      <calculatedColumnFormula>SUM(Сентябрь[УСЛУГ])</calculatedColumnFormula>
    </tableColumn>
    <tableColumn id="36" name="МИНУТ" dataDxfId="58">
      <calculatedColumnFormula>SUM(Сентябрь[МИНУТ])</calculatedColumnFormula>
    </tableColumn>
  </tableColumns>
  <tableStyleInfo name="TableStyleLight15" showFirstColumn="0" showLastColumn="0" showRowStripes="1" showColumnStripes="0"/>
</table>
</file>

<file path=xl/tables/table75.xml><?xml version="1.0" encoding="utf-8"?>
<table xmlns="http://schemas.openxmlformats.org/spreadsheetml/2006/main" id="43" name="ДекабрьГраф1" displayName="ДекабрьГраф1" ref="A13:P16" totalsRowShown="0" headerRowDxfId="54" dataDxfId="53">
  <autoFilter ref="A13:P1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3">
      <calculatedColumnFormula>IF(Настройки!J2&lt;&gt;"",TEXT(MIN(Настройки!G102:AK102,Настройки!J2),"ч:мм")&amp;"-"&amp;TEXT(MAX(Настройки!G102:AK102,Настройки!J2)+TIME(0,MAX(Декабрь!E13:AI13),0),"ч:мм"),"")</calculatedColumnFormula>
    </tableColumn>
    <tableColumn id="2" name="1" dataDxfId="2">
      <calculatedColumnFormula>IF(TEXT(IF(Настройки!G102="",TEXT(Настройки!$J2,"ч:мм"),TEXT(Настройки!G102,"ч:мм"))+TIME(0,Декабрь!E13,0),"ч::мм")=TEXT(IF(Настройки!G102="",TEXT(Настройки!$J2,"ч:мм"),TEXT(Настройки!G102,"ч:мм")),"ч:мм"),"",TEXT(IF(Настройки!G102="",TEXT(Настройки!$J2,"ч:мм"),TEXT(Настройки!G102,"ч:мм")),"ч:мм")&amp;"-"&amp;TEXT(IF(Настройки!G102="",TEXT(Настройки!$J2,"ч:мм"),TEXT(Настройки!G102,"ч:мм"))+TIME(0,Декабрь!E13,0),"ч::мм"))</calculatedColumnFormula>
    </tableColumn>
    <tableColumn id="3" name="2" dataDxfId="52">
      <calculatedColumnFormula>IF(TEXT(IF(Настройки!H102="",TEXT(Настройки!$J2,"ч:мм"),TEXT(Настройки!H102,"ч:мм"))+TIME(0,Декабрь!F13,0),"ч::мм")=TEXT(IF(Настройки!H102="",TEXT(Настройки!$J2,"ч:мм"),TEXT(Настройки!H102,"ч:мм")),"ч:мм"),"",TEXT(IF(Настройки!H102="",TEXT(Настройки!$J2,"ч:мм"),TEXT(Настройки!H102,"ч:мм")),"ч:мм")&amp;"-"&amp;TEXT(IF(Настройки!H102="",TEXT(Настройки!$J2,"ч:мм"),TEXT(Настройки!H102,"ч:мм"))+TIME(0,Декабрь!F13,0),"ч::мм"))</calculatedColumnFormula>
    </tableColumn>
    <tableColumn id="4" name="3" dataDxfId="51">
      <calculatedColumnFormula>IF(TEXT(IF(Настройки!I102="",TEXT(Настройки!$J2,"ч:мм"),TEXT(Настройки!I102,"ч:мм"))+TIME(0,Декабрь!G13,0),"ч::мм")=TEXT(IF(Настройки!I102="",TEXT(Настройки!$J2,"ч:мм"),TEXT(Настройки!I102,"ч:мм")),"ч:мм"),"",TEXT(IF(Настройки!I102="",TEXT(Настройки!$J2,"ч:мм"),TEXT(Настройки!I102,"ч:мм")),"ч:мм")&amp;"-"&amp;TEXT(IF(Настройки!I102="",TEXT(Настройки!$J2,"ч:мм"),TEXT(Настройки!I102,"ч:мм"))+TIME(0,Декабрь!G13,0),"ч::мм"))</calculatedColumnFormula>
    </tableColumn>
    <tableColumn id="5" name="4" dataDxfId="50">
      <calculatedColumnFormula>IF(TEXT(IF(Настройки!J102="",TEXT(Настройки!$J2,"ч:мм"),TEXT(Настройки!J102,"ч:мм"))+TIME(0,Декабрь!H13,0),"ч::мм")=TEXT(IF(Настройки!J102="",TEXT(Настройки!$J2,"ч:мм"),TEXT(Настройки!J102,"ч:мм")),"ч:мм"),"",TEXT(IF(Настройки!J102="",TEXT(Настройки!$J2,"ч:мм"),TEXT(Настройки!J102,"ч:мм")),"ч:мм")&amp;"-"&amp;TEXT(IF(Настройки!J102="",TEXT(Настройки!$J2,"ч:мм"),TEXT(Настройки!J102,"ч:мм"))+TIME(0,Декабрь!H13,0),"ч::мм"))</calculatedColumnFormula>
    </tableColumn>
    <tableColumn id="6" name="5" dataDxfId="49">
      <calculatedColumnFormula>IF(TEXT(IF(Настройки!K102="",TEXT(Настройки!$J2,"ч:мм"),TEXT(Настройки!K102,"ч:мм"))+TIME(0,Декабрь!I13,0),"ч::мм")=TEXT(IF(Настройки!K102="",TEXT(Настройки!$J2,"ч:мм"),TEXT(Настройки!K102,"ч:мм")),"ч:мм"),"",TEXT(IF(Настройки!K102="",TEXT(Настройки!$J2,"ч:мм"),TEXT(Настройки!K102,"ч:мм")),"ч:мм")&amp;"-"&amp;TEXT(IF(Настройки!K102="",TEXT(Настройки!$J2,"ч:мм"),TEXT(Настройки!K102,"ч:мм"))+TIME(0,Декабрь!I13,0),"ч::мм"))</calculatedColumnFormula>
    </tableColumn>
    <tableColumn id="7" name="6" dataDxfId="48">
      <calculatedColumnFormula>IF(TEXT(IF(Настройки!L102="",TEXT(Настройки!$J2,"ч:мм"),TEXT(Настройки!L102,"ч:мм"))+TIME(0,Декабрь!J13,0),"ч::мм")=TEXT(IF(Настройки!L102="",TEXT(Настройки!$J2,"ч:мм"),TEXT(Настройки!L102,"ч:мм")),"ч:мм"),"",TEXT(IF(Настройки!L102="",TEXT(Настройки!$J2,"ч:мм"),TEXT(Настройки!L102,"ч:мм")),"ч:мм")&amp;"-"&amp;TEXT(IF(Настройки!L102="",TEXT(Настройки!$J2,"ч:мм"),TEXT(Настройки!L102,"ч:мм"))+TIME(0,Декабрь!J13,0),"ч::мм"))</calculatedColumnFormula>
    </tableColumn>
    <tableColumn id="8" name="7" dataDxfId="47">
      <calculatedColumnFormula>IF(TEXT(IF(Настройки!M102="",TEXT(Настройки!$J2,"ч:мм"),TEXT(Настройки!M102,"ч:мм"))+TIME(0,Декабрь!K13,0),"ч::мм")=TEXT(IF(Настройки!M102="",TEXT(Настройки!$J2,"ч:мм"),TEXT(Настройки!M102,"ч:мм")),"ч:мм"),"",TEXT(IF(Настройки!M102="",TEXT(Настройки!$J2,"ч:мм"),TEXT(Настройки!M102,"ч:мм")),"ч:мм")&amp;"-"&amp;TEXT(IF(Настройки!M102="",TEXT(Настройки!$J2,"ч:мм"),TEXT(Настройки!M102,"ч:мм"))+TIME(0,Декабрь!K13,0),"ч::мм"))</calculatedColumnFormula>
    </tableColumn>
    <tableColumn id="9" name="8" dataDxfId="46">
      <calculatedColumnFormula>IF(TEXT(IF(Настройки!N102="",TEXT(Настройки!$J2,"ч:мм"),TEXT(Настройки!N102,"ч:мм"))+TIME(0,Декабрь!L13,0),"ч::мм")=TEXT(IF(Настройки!N102="",TEXT(Настройки!$J2,"ч:мм"),TEXT(Настройки!N102,"ч:мм")),"ч:мм"),"",TEXT(IF(Настройки!N102="",TEXT(Настройки!$J2,"ч:мм"),TEXT(Настройки!N102,"ч:мм")),"ч:мм")&amp;"-"&amp;TEXT(IF(Настройки!N102="",TEXT(Настройки!$J2,"ч:мм"),TEXT(Настройки!N102,"ч:мм"))+TIME(0,Декабрь!L13,0),"ч::мм"))</calculatedColumnFormula>
    </tableColumn>
    <tableColumn id="10" name="9" dataDxfId="45">
      <calculatedColumnFormula>IF(TEXT(IF(Настройки!O102="",TEXT(Настройки!$J2,"ч:мм"),TEXT(Настройки!O102,"ч:мм"))+TIME(0,Декабрь!M13,0),"ч::мм")=TEXT(IF(Настройки!O102="",TEXT(Настройки!$J2,"ч:мм"),TEXT(Настройки!O102,"ч:мм")),"ч:мм"),"",TEXT(IF(Настройки!O102="",TEXT(Настройки!$J2,"ч:мм"),TEXT(Настройки!O102,"ч:мм")),"ч:мм")&amp;"-"&amp;TEXT(IF(Настройки!O102="",TEXT(Настройки!$J2,"ч:мм"),TEXT(Настройки!O102,"ч:мм"))+TIME(0,Декабрь!M13,0),"ч::мм"))</calculatedColumnFormula>
    </tableColumn>
    <tableColumn id="11" name="10" dataDxfId="44">
      <calculatedColumnFormula>IF(TEXT(IF(Настройки!P102="",TEXT(Настройки!$J2,"ч:мм"),TEXT(Настройки!P102,"ч:мм"))+TIME(0,Декабрь!N13,0),"ч::мм")=TEXT(IF(Настройки!P102="",TEXT(Настройки!$J2,"ч:мм"),TEXT(Настройки!P102,"ч:мм")),"ч:мм"),"",TEXT(IF(Настройки!P102="",TEXT(Настройки!$J2,"ч:мм"),TEXT(Настройки!P102,"ч:мм")),"ч:мм")&amp;"-"&amp;TEXT(IF(Настройки!P102="",TEXT(Настройки!$J2,"ч:мм"),TEXT(Настройки!P102,"ч:мм"))+TIME(0,Декабрь!N13,0),"ч::мм"))</calculatedColumnFormula>
    </tableColumn>
    <tableColumn id="12" name="11" dataDxfId="43">
      <calculatedColumnFormula>IF(TEXT(IF(Настройки!Q102="",TEXT(Настройки!$J2,"ч:мм"),TEXT(Настройки!Q102,"ч:мм"))+TIME(0,Декабрь!O13,0),"ч::мм")=TEXT(IF(Настройки!Q102="",TEXT(Настройки!$J2,"ч:мм"),TEXT(Настройки!Q102,"ч:мм")),"ч:мм"),"",TEXT(IF(Настройки!Q102="",TEXT(Настройки!$J2,"ч:мм"),TEXT(Настройки!Q102,"ч:мм")),"ч:мм")&amp;"-"&amp;TEXT(IF(Настройки!Q102="",TEXT(Настройки!$J2,"ч:мм"),TEXT(Настройки!Q102,"ч:мм"))+TIME(0,Декабрь!O13,0),"ч::мм"))</calculatedColumnFormula>
    </tableColumn>
    <tableColumn id="13" name="12" dataDxfId="42">
      <calculatedColumnFormula>IF(TEXT(IF(Настройки!R102="",TEXT(Настройки!$J2,"ч:мм"),TEXT(Настройки!R102,"ч:мм"))+TIME(0,Декабрь!P13,0),"ч::мм")=TEXT(IF(Настройки!R102="",TEXT(Настройки!$J2,"ч:мм"),TEXT(Настройки!R102,"ч:мм")),"ч:мм"),"",TEXT(IF(Настройки!R102="",TEXT(Настройки!$J2,"ч:мм"),TEXT(Настройки!R102,"ч:мм")),"ч:мм")&amp;"-"&amp;TEXT(IF(Настройки!R102="",TEXT(Настройки!$J2,"ч:мм"),TEXT(Настройки!R102,"ч:мм"))+TIME(0,Декабрь!P13,0),"ч::мм"))</calculatedColumnFormula>
    </tableColumn>
    <tableColumn id="14" name="13" dataDxfId="41">
      <calculatedColumnFormula>IF(TEXT(IF(Настройки!S102="",TEXT(Настройки!$J2,"ч:мм"),TEXT(Настройки!S102,"ч:мм"))+TIME(0,Декабрь!Q13,0),"ч::мм")=TEXT(IF(Настройки!S102="",TEXT(Настройки!$J2,"ч:мм"),TEXT(Настройки!S102,"ч:мм")),"ч:мм"),"",TEXT(IF(Настройки!S102="",TEXT(Настройки!$J2,"ч:мм"),TEXT(Настройки!S102,"ч:мм")),"ч:мм")&amp;"-"&amp;TEXT(IF(Настройки!S102="",TEXT(Настройки!$J2,"ч:мм"),TEXT(Настройки!S102,"ч:мм"))+TIME(0,Декабрь!Q13,0),"ч::мм"))</calculatedColumnFormula>
    </tableColumn>
    <tableColumn id="15" name="14" dataDxfId="40">
      <calculatedColumnFormula>IF(TEXT(IF(Настройки!T102="",TEXT(Настройки!$J2,"ч:мм"),TEXT(Настройки!T102,"ч:мм"))+TIME(0,Декабрь!R13,0),"ч::мм")=TEXT(IF(Настройки!T102="",TEXT(Настройки!$J2,"ч:мм"),TEXT(Настройки!T102,"ч:мм")),"ч:мм"),"",TEXT(IF(Настройки!T102="",TEXT(Настройки!$J2,"ч:мм"),TEXT(Настройки!T102,"ч:мм")),"ч:мм")&amp;"-"&amp;TEXT(IF(Настройки!T102="",TEXT(Настройки!$J2,"ч:мм"),TEXT(Настройки!T102,"ч:мм"))+TIME(0,Декабрь!R13,0),"ч::мм"))</calculatedColumnFormula>
    </tableColumn>
    <tableColumn id="16" name="15" dataDxfId="39">
      <calculatedColumnFormula>IF(TEXT(IF(Настройки!U102="",TEXT(Настройки!$J2,"ч:мм"),TEXT(Настройки!U102,"ч:мм"))+TIME(0,Декабрь!S13,0),"ч::мм")=TEXT(IF(Настройки!U102="",TEXT(Настройки!$J2,"ч:мм"),TEXT(Настройки!U102,"ч:мм")),"ч:мм"),"",TEXT(IF(Настройки!U102="",TEXT(Настройки!$J2,"ч:мм"),TEXT(Настройки!U102,"ч:мм")),"ч:мм")&amp;"-"&amp;TEXT(IF(Настройки!U102="",TEXT(Настройки!$J2,"ч:мм"),TEXT(Настройки!U102,"ч:мм"))+TIME(0,Декабрь!S13,0),"ч::мм"))</calculatedColumnFormula>
    </tableColumn>
  </tableColumns>
  <tableStyleInfo name="TableStyleLight15" showFirstColumn="0" showLastColumn="0" showRowStripes="0" showColumnStripes="1"/>
</table>
</file>

<file path=xl/tables/table76.xml><?xml version="1.0" encoding="utf-8"?>
<table xmlns="http://schemas.openxmlformats.org/spreadsheetml/2006/main" id="49" name="ДекабрьГраф2" displayName="ДекабрьГраф2" ref="A23:P26" totalsRowShown="0" headerRowDxfId="38" dataDxfId="37">
  <autoFilter ref="A23:P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Посещение" dataDxfId="36">
      <calculatedColumnFormula>A14</calculatedColumnFormula>
    </tableColumn>
    <tableColumn id="2" name="16" dataDxfId="1">
      <calculatedColumnFormula>IF(TEXT(IF(Настройки!V102="",TEXT(Настройки!$J2,"ч:мм"),TEXT(Настройки!V102,"ч:мм"))+TIME(0,Декабрь!T13,0),"ч::мм")=TEXT(IF(Настройки!V102="",TEXT(Настройки!$J2,"ч:мм"),TEXT(Настройки!V102,"ч:мм")),"ч:мм"),"",TEXT(IF(Настройки!V102="",TEXT(Настройки!$J2,"ч:мм"),TEXT(Настройки!V102,"ч:мм")),"ч:мм")&amp;"-"&amp;TEXT(IF(Настройки!V102="",TEXT(Настройки!$J2,"ч:мм"),TEXT(Настройки!V102,"ч:мм"))+TIME(0,Декабрь!T13,0),"ч::мм"))</calculatedColumnFormula>
    </tableColumn>
    <tableColumn id="3" name="17" dataDxfId="35">
      <calculatedColumnFormula>IF(TEXT(IF(Настройки!W102="",TEXT(Настройки!$J2,"ч:мм"),TEXT(Настройки!W102,"ч:мм"))+TIME(0,Декабрь!U13,0),"ч::мм")=TEXT(IF(Настройки!W102="",TEXT(Настройки!$J2,"ч:мм"),TEXT(Настройки!W102,"ч:мм")),"ч:мм"),"",TEXT(IF(Настройки!W102="",TEXT(Настройки!$J2,"ч:мм"),TEXT(Настройки!W102,"ч:мм")),"ч:мм")&amp;"-"&amp;TEXT(IF(Настройки!W102="",TEXT(Настройки!$J2,"ч:мм"),TEXT(Настройки!W102,"ч:мм"))+TIME(0,Декабрь!U13,0),"ч::мм"))</calculatedColumnFormula>
    </tableColumn>
    <tableColumn id="4" name="18" dataDxfId="34">
      <calculatedColumnFormula>IF(TEXT(IF(Настройки!X102="",TEXT(Настройки!$J2,"ч:мм"),TEXT(Настройки!X102,"ч:мм"))+TIME(0,Декабрь!V13,0),"ч::мм")=TEXT(IF(Настройки!X102="",TEXT(Настройки!$J2,"ч:мм"),TEXT(Настройки!X102,"ч:мм")),"ч:мм"),"",TEXT(IF(Настройки!X102="",TEXT(Настройки!$J2,"ч:мм"),TEXT(Настройки!X102,"ч:мм")),"ч:мм")&amp;"-"&amp;TEXT(IF(Настройки!X102="",TEXT(Настройки!$J2,"ч:мм"),TEXT(Настройки!X102,"ч:мм"))+TIME(0,Декабрь!V13,0),"ч::мм"))</calculatedColumnFormula>
    </tableColumn>
    <tableColumn id="5" name="19" dataDxfId="33">
      <calculatedColumnFormula>IF(TEXT(IF(Настройки!Y102="",TEXT(Настройки!$J2,"ч:мм"),TEXT(Настройки!Y102,"ч:мм"))+TIME(0,Декабрь!W13,0),"ч::мм")=TEXT(IF(Настройки!Y102="",TEXT(Настройки!$J2,"ч:мм"),TEXT(Настройки!Y102,"ч:мм")),"ч:мм"),"",TEXT(IF(Настройки!Y102="",TEXT(Настройки!$J2,"ч:мм"),TEXT(Настройки!Y102,"ч:мм")),"ч:мм")&amp;"-"&amp;TEXT(IF(Настройки!Y102="",TEXT(Настройки!$J2,"ч:мм"),TEXT(Настройки!Y102,"ч:мм"))+TIME(0,Декабрь!W13,0),"ч::мм"))</calculatedColumnFormula>
    </tableColumn>
    <tableColumn id="6" name="20" dataDxfId="32">
      <calculatedColumnFormula>IF(TEXT(IF(Настройки!Z102="",TEXT(Настройки!$J2,"ч:мм"),TEXT(Настройки!Z102,"ч:мм"))+TIME(0,Декабрь!X13,0),"ч::мм")=TEXT(IF(Настройки!Z102="",TEXT(Настройки!$J2,"ч:мм"),TEXT(Настройки!Z102,"ч:мм")),"ч:мм"),"",TEXT(IF(Настройки!Z102="",TEXT(Настройки!$J2,"ч:мм"),TEXT(Настройки!Z102,"ч:мм")),"ч:мм")&amp;"-"&amp;TEXT(IF(Настройки!Z102="",TEXT(Настройки!$J2,"ч:мм"),TEXT(Настройки!Z102,"ч:мм"))+TIME(0,Декабрь!X13,0),"ч::мм"))</calculatedColumnFormula>
    </tableColumn>
    <tableColumn id="7" name="21" dataDxfId="31">
      <calculatedColumnFormula>IF(TEXT(IF(Настройки!AA102="",TEXT(Настройки!$J2,"ч:мм"),TEXT(Настройки!AA102,"ч:мм"))+TIME(0,Декабрь!Y13,0),"ч::мм")=TEXT(IF(Настройки!AA102="",TEXT(Настройки!$J2,"ч:мм"),TEXT(Настройки!AA102,"ч:мм")),"ч:мм"),"",TEXT(IF(Настройки!AA102="",TEXT(Настройки!$J2,"ч:мм"),TEXT(Настройки!AA102,"ч:мм")),"ч:мм")&amp;"-"&amp;TEXT(IF(Настройки!AA102="",TEXT(Настройки!$J2,"ч:мм"),TEXT(Настройки!AA102,"ч:мм"))+TIME(0,Декабрь!Y13,0),"ч::мм"))</calculatedColumnFormula>
    </tableColumn>
    <tableColumn id="8" name="22" dataDxfId="30">
      <calculatedColumnFormula>IF(TEXT(IF(Настройки!AB102="",TEXT(Настройки!$J2,"ч:мм"),TEXT(Настройки!AB102,"ч:мм"))+TIME(0,Декабрь!Z13,0),"ч::мм")=TEXT(IF(Настройки!AB102="",TEXT(Настройки!$J2,"ч:мм"),TEXT(Настройки!AB102,"ч:мм")),"ч:мм"),"",TEXT(IF(Настройки!AB102="",TEXT(Настройки!$J2,"ч:мм"),TEXT(Настройки!AB102,"ч:мм")),"ч:мм")&amp;"-"&amp;TEXT(IF(Настройки!AB102="",TEXT(Настройки!$J2,"ч:мм"),TEXT(Настройки!AB102,"ч:мм"))+TIME(0,Декабрь!Z13,0),"ч::мм"))</calculatedColumnFormula>
    </tableColumn>
    <tableColumn id="9" name="23" dataDxfId="29">
      <calculatedColumnFormula>IF(TEXT(IF(Настройки!AC102="",TEXT(Настройки!$J2,"ч:мм"),TEXT(Настройки!AC102,"ч:мм"))+TIME(0,Декабрь!AA13,0),"ч::мм")=TEXT(IF(Настройки!AC102="",TEXT(Настройки!$J2,"ч:мм"),TEXT(Настройки!AC102,"ч:мм")),"ч:мм"),"",TEXT(IF(Настройки!AC102="",TEXT(Настройки!$J2,"ч:мм"),TEXT(Настройки!AC102,"ч:мм")),"ч:мм")&amp;"-"&amp;TEXT(IF(Настройки!AC102="",TEXT(Настройки!$J2,"ч:мм"),TEXT(Настройки!AC102,"ч:мм"))+TIME(0,Декабрь!AA13,0),"ч::мм"))</calculatedColumnFormula>
    </tableColumn>
    <tableColumn id="10" name="24" dataDxfId="28">
      <calculatedColumnFormula>IF(TEXT(IF(Настройки!AD102="",TEXT(Настройки!$J2,"ч:мм"),TEXT(Настройки!AD102,"ч:мм"))+TIME(0,Декабрь!AB13,0),"ч::мм")=TEXT(IF(Настройки!AD102="",TEXT(Настройки!$J2,"ч:мм"),TEXT(Настройки!AD102,"ч:мм")),"ч:мм"),"",TEXT(IF(Настройки!AD102="",TEXT(Настройки!$J2,"ч:мм"),TEXT(Настройки!AD102,"ч:мм")),"ч:мм")&amp;"-"&amp;TEXT(IF(Настройки!AD102="",TEXT(Настройки!$J2,"ч:мм"),TEXT(Настройки!AD102,"ч:мм"))+TIME(0,Декабрь!AB13,0),"ч::мм"))</calculatedColumnFormula>
    </tableColumn>
    <tableColumn id="11" name="25" dataDxfId="27">
      <calculatedColumnFormula>IF(TEXT(IF(Настройки!AE102="",TEXT(Настройки!$J2,"ч:мм"),TEXT(Настройки!AE102,"ч:мм"))+TIME(0,Декабрь!AC13,0),"ч::мм")=TEXT(IF(Настройки!AE102="",TEXT(Настройки!$J2,"ч:мм"),TEXT(Настройки!AE102,"ч:мм")),"ч:мм"),"",TEXT(IF(Настройки!AE102="",TEXT(Настройки!$J2,"ч:мм"),TEXT(Настройки!AE102,"ч:мм")),"ч:мм")&amp;"-"&amp;TEXT(IF(Настройки!AE102="",TEXT(Настройки!$J2,"ч:мм"),TEXT(Настройки!AE102,"ч:мм"))+TIME(0,Декабрь!AC13,0),"ч::мм"))</calculatedColumnFormula>
    </tableColumn>
    <tableColumn id="12" name="26" dataDxfId="26">
      <calculatedColumnFormula>IF(TEXT(IF(Настройки!AF102="",TEXT(Настройки!$J2,"ч:мм"),TEXT(Настройки!AF102,"ч:мм"))+TIME(0,Декабрь!AD13,0),"ч::мм")=TEXT(IF(Настройки!AF102="",TEXT(Настройки!$J2,"ч:мм"),TEXT(Настройки!AF102,"ч:мм")),"ч:мм"),"",TEXT(IF(Настройки!AF102="",TEXT(Настройки!$J2,"ч:мм"),TEXT(Настройки!AF102,"ч:мм")),"ч:мм")&amp;"-"&amp;TEXT(IF(Настройки!AF102="",TEXT(Настройки!$J2,"ч:мм"),TEXT(Настройки!AF102,"ч:мм"))+TIME(0,Декабрь!AD13,0),"ч::мм"))</calculatedColumnFormula>
    </tableColumn>
    <tableColumn id="13" name="27" dataDxfId="25">
      <calculatedColumnFormula>IF(TEXT(IF(Настройки!AG102="",TEXT(Настройки!$J2,"ч:мм"),TEXT(Настройки!AG102,"ч:мм"))+TIME(0,Декабрь!AE13,0),"ч::мм")=TEXT(IF(Настройки!AG102="",TEXT(Настройки!$J2,"ч:мм"),TEXT(Настройки!AG102,"ч:мм")),"ч:мм"),"",TEXT(IF(Настройки!AG102="",TEXT(Настройки!$J2,"ч:мм"),TEXT(Настройки!AG102,"ч:мм")),"ч:мм")&amp;"-"&amp;TEXT(IF(Настройки!AG102="",TEXT(Настройки!$J2,"ч:мм"),TEXT(Настройки!AG102,"ч:мм"))+TIME(0,Декабрь!AE13,0),"ч::мм"))</calculatedColumnFormula>
    </tableColumn>
    <tableColumn id="14" name="28" dataDxfId="24">
      <calculatedColumnFormula>IF(TEXT(IF(Настройки!AH102="",TEXT(Настройки!$J2,"ч:мм"),TEXT(Настройки!AH102,"ч:мм"))+TIME(0,Декабрь!AF13,0),"ч::мм")=TEXT(IF(Настройки!AH102="",TEXT(Настройки!$J2,"ч:мм"),TEXT(Настройки!AH102,"ч:мм")),"ч:мм"),"",TEXT(IF(Настройки!AH102="",TEXT(Настройки!$J2,"ч:мм"),TEXT(Настройки!AH102,"ч:мм")),"ч:мм")&amp;"-"&amp;TEXT(IF(Настройки!AH102="",TEXT(Настройки!$J2,"ч:мм"),TEXT(Настройки!AH102,"ч:мм"))+TIME(0,Декабрь!AF13,0),"ч::мм"))</calculatedColumnFormula>
    </tableColumn>
    <tableColumn id="15" name="29" dataDxfId="23">
      <calculatedColumnFormula>IF(TEXT(IF(Настройки!AI102="",TEXT(Настройки!$J2,"ч:мм"),TEXT(Настройки!AI102,"ч:мм"))+TIME(0,Декабрь!AG13,0),"ч::мм")=TEXT(IF(Настройки!AI102="",TEXT(Настройки!$J2,"ч:мм"),TEXT(Настройки!AI102,"ч:мм")),"ч:мм"),"",TEXT(IF(Настройки!AI102="",TEXT(Настройки!$J2,"ч:мм"),TEXT(Настройки!AI102,"ч:мм")),"ч:мм")&amp;"-"&amp;TEXT(IF(Настройки!AI102="",TEXT(Настройки!$J2,"ч:мм"),TEXT(Настройки!AI102,"ч:мм"))+TIME(0,Декабрь!AG13,0),"ч::мм"))</calculatedColumnFormula>
    </tableColumn>
    <tableColumn id="16" name="30" dataDxfId="22">
      <calculatedColumnFormula>IF(TEXT(IF(Настройки!AJ102="",TEXT(Настройки!$J2,"ч:мм"),TEXT(Настройки!AJ102,"ч:мм"))+TIME(0,Декабрь!AH13,0),"ч::мм")=TEXT(IF(Настройки!AJ102="",TEXT(Настройки!$J2,"ч:мм"),TEXT(Настройки!AJ102,"ч:мм")),"ч:мм"),"",TEXT(IF(Настройки!AJ102="",TEXT(Настройки!$J2,"ч:мм"),TEXT(Настройки!AJ102,"ч:мм")),"ч:мм")&amp;"-"&amp;TEXT(IF(Настройки!AJ102="",TEXT(Настройки!$J2,"ч:мм"),TEXT(Настройки!AJ102,"ч:мм"))+TIME(0,Декабрь!AH13,0),"ч::мм"))</calculatedColumnFormula>
    </tableColumn>
  </tableColumns>
  <tableStyleInfo name="TableStyleLight15" showFirstColumn="0" showLastColumn="0" showRowStripes="0" showColumnStripes="1"/>
</table>
</file>

<file path=xl/tables/table77.xml><?xml version="1.0" encoding="utf-8"?>
<table xmlns="http://schemas.openxmlformats.org/spreadsheetml/2006/main" id="63" name="ДекабрьГраф3" displayName="ДекабрьГраф3" ref="A33:B36" totalsRowShown="0" headerRowDxfId="21" dataDxfId="20" tableBorderDxfId="19">
  <autoFilter ref="A33:B36">
    <filterColumn colId="0" hiddenButton="1"/>
    <filterColumn colId="1" hiddenButton="1"/>
  </autoFilter>
  <tableColumns count="2">
    <tableColumn id="1" name="Посещение" dataDxfId="18">
      <calculatedColumnFormula>A14</calculatedColumnFormula>
    </tableColumn>
    <tableColumn id="2" name="31" dataDxfId="0">
      <calculatedColumnFormula>IF(TEXT(IF(Настройки!AK102="",TEXT(Настройки!$J2,"ч:мм"),TEXT(Настройки!AK102,"ч:мм"))+TIME(0,Декабрь!AI13,0),"ч::мм")=TEXT(IF(Настройки!AK102="",TEXT(Настройки!$J2,"ч:мм"),TEXT(Настройки!AK102,"ч:мм")),"ч:мм"),"",TEXT(IF(Настройки!AK102="",TEXT(Настройки!$J2,"ч:мм"),TEXT(Настройки!AK102,"ч:мм")),"ч:мм")&amp;"-"&amp;TEXT(IF(Настройки!AK102="",TEXT(Настройки!$J2,"ч:мм"),TEXT(Настройки!AK102,"ч:мм"))+TIME(0,Декабрь!AI13,0),"ч::мм"))</calculatedColumnFormula>
    </tableColumn>
  </tableColumns>
  <tableStyleInfo name="TableStyleLight15" showFirstColumn="0" showLastColumn="0" showRowStripes="0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3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4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5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5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table" Target="../tables/table62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5.xml"/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7.xml"/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6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0.xml"/><Relationship Id="rId2" Type="http://schemas.openxmlformats.org/officeDocument/2006/relationships/table" Target="../tables/table6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2.xml"/><Relationship Id="rId2" Type="http://schemas.openxmlformats.org/officeDocument/2006/relationships/table" Target="../tables/table7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4.xml"/><Relationship Id="rId2" Type="http://schemas.openxmlformats.org/officeDocument/2006/relationships/table" Target="../tables/table7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6.xml"/><Relationship Id="rId2" Type="http://schemas.openxmlformats.org/officeDocument/2006/relationships/table" Target="../tables/table75.xml"/><Relationship Id="rId1" Type="http://schemas.openxmlformats.org/officeDocument/2006/relationships/printerSettings" Target="../printerSettings/printerSettings26.bin"/><Relationship Id="rId4" Type="http://schemas.openxmlformats.org/officeDocument/2006/relationships/table" Target="../tables/table7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6" tint="-0.249977111117893"/>
  </sheetPr>
  <dimension ref="A1:AL116"/>
  <sheetViews>
    <sheetView zoomScale="80" zoomScaleNormal="80" workbookViewId="0">
      <selection activeCell="E1" sqref="E1"/>
    </sheetView>
  </sheetViews>
  <sheetFormatPr defaultRowHeight="15.75" x14ac:dyDescent="0.25"/>
  <cols>
    <col min="1" max="1" width="71.42578125" style="1" customWidth="1"/>
    <col min="2" max="2" width="49.5703125" style="1" bestFit="1" customWidth="1"/>
    <col min="3" max="4" width="17" style="3" bestFit="1" customWidth="1"/>
    <col min="5" max="5" width="9.140625" style="1"/>
    <col min="6" max="6" width="14.7109375" style="1" bestFit="1" customWidth="1"/>
    <col min="7" max="7" width="11.28515625" style="1" bestFit="1" customWidth="1"/>
    <col min="8" max="8" width="15.7109375" style="1" bestFit="1" customWidth="1"/>
    <col min="9" max="9" width="11.28515625" style="1" bestFit="1" customWidth="1"/>
    <col min="10" max="10" width="11.28515625" style="1" customWidth="1"/>
    <col min="11" max="13" width="11.28515625" style="1" bestFit="1" customWidth="1"/>
    <col min="14" max="14" width="15.28515625" style="1" bestFit="1" customWidth="1"/>
    <col min="15" max="15" width="11.28515625" style="1" bestFit="1" customWidth="1"/>
    <col min="16" max="16" width="16" style="1" customWidth="1"/>
    <col min="17" max="38" width="11.28515625" style="1" bestFit="1" customWidth="1"/>
    <col min="39" max="16384" width="9.140625" style="1"/>
  </cols>
  <sheetData>
    <row r="1" spans="1:38" ht="16.5" customHeight="1" x14ac:dyDescent="0.25">
      <c r="A1" s="47" t="s">
        <v>0</v>
      </c>
      <c r="B1" s="47" t="s">
        <v>51</v>
      </c>
      <c r="C1" s="39" t="s">
        <v>57</v>
      </c>
      <c r="D1" s="39" t="s">
        <v>58</v>
      </c>
      <c r="F1" s="1" t="s">
        <v>140</v>
      </c>
      <c r="H1" s="1" t="s">
        <v>65</v>
      </c>
      <c r="J1" s="1" t="s">
        <v>134</v>
      </c>
      <c r="L1" s="1" t="s">
        <v>122</v>
      </c>
      <c r="N1" s="1" t="s">
        <v>132</v>
      </c>
      <c r="P1" s="28" t="s">
        <v>133</v>
      </c>
    </row>
    <row r="2" spans="1:38" x14ac:dyDescent="0.25">
      <c r="A2" s="1" t="s">
        <v>1</v>
      </c>
      <c r="B2" s="1" t="str">
        <f>LEFT(Услуги[[#This Row],[Соц. Услуги]],Ограничение[Кол-во симв.])</f>
        <v>01. Приготовление пищи</v>
      </c>
      <c r="C2" s="51">
        <v>0</v>
      </c>
      <c r="D2" s="50"/>
      <c r="F2" s="3">
        <v>40</v>
      </c>
      <c r="H2" s="3">
        <v>1</v>
      </c>
      <c r="J2" s="30">
        <v>0.375</v>
      </c>
      <c r="L2" s="3">
        <v>2024</v>
      </c>
      <c r="N2" s="35" t="s">
        <v>141</v>
      </c>
      <c r="P2" s="28" t="s">
        <v>141</v>
      </c>
    </row>
    <row r="3" spans="1:38" x14ac:dyDescent="0.25">
      <c r="A3" s="1" t="s">
        <v>2</v>
      </c>
      <c r="B3" s="1" t="str">
        <f>LEFT(Услуги[[#This Row],[Соц. Услуги]],Ограничение[Кол-во симв.])</f>
        <v>02. Помощь при приготовлении пищи</v>
      </c>
      <c r="C3" s="51">
        <v>0</v>
      </c>
      <c r="D3" s="50"/>
      <c r="H3" s="3">
        <v>2</v>
      </c>
      <c r="J3" s="30">
        <v>0.54166666666666663</v>
      </c>
    </row>
    <row r="4" spans="1:38" x14ac:dyDescent="0.25">
      <c r="A4" s="1" t="s">
        <v>3</v>
      </c>
      <c r="B4" s="1" t="str">
        <f>LEFT(Услуги[[#This Row],[Соц. Услуги]],Ограничение[Кол-во симв.])</f>
        <v>03. Подготовка и подача пищи</v>
      </c>
      <c r="C4" s="51">
        <v>0</v>
      </c>
      <c r="D4" s="50"/>
      <c r="H4" s="3">
        <v>3</v>
      </c>
      <c r="J4" s="30">
        <v>0.66666666666666663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</row>
    <row r="5" spans="1:38" x14ac:dyDescent="0.25">
      <c r="A5" s="1" t="s">
        <v>4</v>
      </c>
      <c r="B5" s="1" t="str">
        <f>LEFT(Услуги[[#This Row],[Соц. Услуги]],Ограничение[Кол-во симв.])</f>
        <v>04. Помощь при подготовке пищи к приему</v>
      </c>
      <c r="C5" s="51">
        <v>0</v>
      </c>
      <c r="D5" s="50"/>
    </row>
    <row r="6" spans="1:38" x14ac:dyDescent="0.25">
      <c r="A6" s="1" t="s">
        <v>5</v>
      </c>
      <c r="B6" s="1" t="str">
        <f>LEFT(Услуги[[#This Row],[Соц. Услуги]],Ограничение[Кол-во симв.])</f>
        <v>05. Кормление</v>
      </c>
      <c r="C6" s="51">
        <v>0</v>
      </c>
      <c r="D6" s="50"/>
      <c r="F6" s="1" t="s">
        <v>109</v>
      </c>
      <c r="G6" s="1" t="s">
        <v>75</v>
      </c>
      <c r="H6" s="1" t="s">
        <v>76</v>
      </c>
      <c r="I6" s="1" t="s">
        <v>77</v>
      </c>
      <c r="J6" s="1" t="s">
        <v>78</v>
      </c>
      <c r="K6" s="1" t="s">
        <v>79</v>
      </c>
      <c r="L6" s="1" t="s">
        <v>80</v>
      </c>
      <c r="M6" s="1" t="s">
        <v>81</v>
      </c>
      <c r="N6" s="1" t="s">
        <v>82</v>
      </c>
      <c r="O6" s="1" t="s">
        <v>83</v>
      </c>
      <c r="P6" s="1" t="s">
        <v>84</v>
      </c>
      <c r="Q6" s="1" t="s">
        <v>85</v>
      </c>
      <c r="R6" s="1" t="s">
        <v>86</v>
      </c>
      <c r="S6" s="1" t="s">
        <v>87</v>
      </c>
      <c r="T6" s="1" t="s">
        <v>88</v>
      </c>
      <c r="U6" s="1" t="s">
        <v>89</v>
      </c>
      <c r="V6" s="1" t="s">
        <v>90</v>
      </c>
      <c r="W6" s="1" t="s">
        <v>91</v>
      </c>
      <c r="X6" s="1" t="s">
        <v>92</v>
      </c>
      <c r="Y6" s="1" t="s">
        <v>93</v>
      </c>
      <c r="Z6" s="1" t="s">
        <v>94</v>
      </c>
      <c r="AA6" s="1" t="s">
        <v>95</v>
      </c>
      <c r="AB6" s="1" t="s">
        <v>96</v>
      </c>
      <c r="AC6" s="1" t="s">
        <v>97</v>
      </c>
      <c r="AD6" s="1" t="s">
        <v>98</v>
      </c>
      <c r="AE6" s="1" t="s">
        <v>99</v>
      </c>
      <c r="AF6" s="1" t="s">
        <v>100</v>
      </c>
      <c r="AG6" s="1" t="s">
        <v>101</v>
      </c>
      <c r="AH6" s="1" t="s">
        <v>102</v>
      </c>
      <c r="AI6" s="1" t="s">
        <v>103</v>
      </c>
      <c r="AJ6" s="1" t="s">
        <v>104</v>
      </c>
      <c r="AK6" s="1" t="s">
        <v>113</v>
      </c>
      <c r="AL6" s="18"/>
    </row>
    <row r="7" spans="1:38" x14ac:dyDescent="0.25">
      <c r="A7" s="1" t="s">
        <v>6</v>
      </c>
      <c r="B7" s="1" t="str">
        <f>LEFT(Услуги[[#This Row],[Соц. Услуги]],Ограничение[Кол-во симв.])</f>
        <v>06. Помощь при приеме пищи</v>
      </c>
      <c r="C7" s="51">
        <v>0</v>
      </c>
      <c r="D7" s="50"/>
      <c r="F7" s="22">
        <v>44927</v>
      </c>
      <c r="G7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45292</v>
      </c>
      <c r="H7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45293</v>
      </c>
      <c r="I7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45294</v>
      </c>
      <c r="J7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45295</v>
      </c>
      <c r="K7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45296</v>
      </c>
      <c r="L7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45297</v>
      </c>
      <c r="M7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45298</v>
      </c>
      <c r="N7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45299</v>
      </c>
      <c r="O7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45300</v>
      </c>
      <c r="P7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45301</v>
      </c>
      <c r="Q7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45302</v>
      </c>
      <c r="R7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45303</v>
      </c>
      <c r="S7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45304</v>
      </c>
      <c r="T7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45305</v>
      </c>
      <c r="U7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45306</v>
      </c>
      <c r="V7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45307</v>
      </c>
      <c r="W7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45308</v>
      </c>
      <c r="X7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45309</v>
      </c>
      <c r="Y7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45310</v>
      </c>
      <c r="Z7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45311</v>
      </c>
      <c r="AA7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45312</v>
      </c>
      <c r="AB7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45313</v>
      </c>
      <c r="AC7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45314</v>
      </c>
      <c r="AD7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45315</v>
      </c>
      <c r="AE7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45316</v>
      </c>
      <c r="AF7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45317</v>
      </c>
      <c r="AG7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45318</v>
      </c>
      <c r="AH7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45319</v>
      </c>
      <c r="AI7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45320</v>
      </c>
      <c r="AJ7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45321</v>
      </c>
      <c r="AK7" s="14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45322</v>
      </c>
      <c r="AL7" s="19"/>
    </row>
    <row r="8" spans="1:38" x14ac:dyDescent="0.25">
      <c r="A8" s="1" t="s">
        <v>7</v>
      </c>
      <c r="B8" s="1" t="str">
        <f>LEFT(Услуги[[#This Row],[Соц. Услуги]],Ограничение[Кол-во симв.])</f>
        <v>07. Помощь в соблюдении питьевого режима</v>
      </c>
      <c r="C8" s="51">
        <v>0</v>
      </c>
      <c r="D8" s="50"/>
      <c r="F8" s="22">
        <v>44958</v>
      </c>
      <c r="G8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45323</v>
      </c>
      <c r="H8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45324</v>
      </c>
      <c r="I8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45325</v>
      </c>
      <c r="J8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45326</v>
      </c>
      <c r="K8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45327</v>
      </c>
      <c r="L8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45328</v>
      </c>
      <c r="M8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45329</v>
      </c>
      <c r="N8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45330</v>
      </c>
      <c r="O8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45331</v>
      </c>
      <c r="P8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45332</v>
      </c>
      <c r="Q8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45333</v>
      </c>
      <c r="R8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45334</v>
      </c>
      <c r="S8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45335</v>
      </c>
      <c r="T8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45336</v>
      </c>
      <c r="U8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45337</v>
      </c>
      <c r="V8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45338</v>
      </c>
      <c r="W8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45339</v>
      </c>
      <c r="X8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45340</v>
      </c>
      <c r="Y8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45341</v>
      </c>
      <c r="Z8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45342</v>
      </c>
      <c r="AA8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45343</v>
      </c>
      <c r="AB8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45344</v>
      </c>
      <c r="AC8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45345</v>
      </c>
      <c r="AD8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45346</v>
      </c>
      <c r="AE8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45347</v>
      </c>
      <c r="AF8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45348</v>
      </c>
      <c r="AG8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45349</v>
      </c>
      <c r="AH8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45350</v>
      </c>
      <c r="AI8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45351</v>
      </c>
      <c r="AJ8" s="14" t="str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/>
      </c>
      <c r="AK8" s="14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9" spans="1:38" x14ac:dyDescent="0.25">
      <c r="A9" s="1" t="s">
        <v>8</v>
      </c>
      <c r="B9" s="1" t="str">
        <f>LEFT(Услуги[[#This Row],[Соц. Услуги]],Ограничение[Кол-во симв.])</f>
        <v>08. Умывание</v>
      </c>
      <c r="C9" s="51">
        <v>0</v>
      </c>
      <c r="D9" s="50"/>
      <c r="F9" s="22">
        <v>44986</v>
      </c>
      <c r="G9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45352</v>
      </c>
      <c r="H9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45353</v>
      </c>
      <c r="I9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45354</v>
      </c>
      <c r="J9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45355</v>
      </c>
      <c r="K9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45356</v>
      </c>
      <c r="L9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45357</v>
      </c>
      <c r="M9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45358</v>
      </c>
      <c r="N9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45359</v>
      </c>
      <c r="O9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45360</v>
      </c>
      <c r="P9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45361</v>
      </c>
      <c r="Q9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45362</v>
      </c>
      <c r="R9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45363</v>
      </c>
      <c r="S9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45364</v>
      </c>
      <c r="T9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45365</v>
      </c>
      <c r="U9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45366</v>
      </c>
      <c r="V9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45367</v>
      </c>
      <c r="W9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45368</v>
      </c>
      <c r="X9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45369</v>
      </c>
      <c r="Y9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45370</v>
      </c>
      <c r="Z9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45371</v>
      </c>
      <c r="AA9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45372</v>
      </c>
      <c r="AB9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45373</v>
      </c>
      <c r="AC9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45374</v>
      </c>
      <c r="AD9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45375</v>
      </c>
      <c r="AE9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45376</v>
      </c>
      <c r="AF9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45377</v>
      </c>
      <c r="AG9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45378</v>
      </c>
      <c r="AH9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45379</v>
      </c>
      <c r="AI9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45380</v>
      </c>
      <c r="AJ9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45381</v>
      </c>
      <c r="AK9" s="14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45382</v>
      </c>
    </row>
    <row r="10" spans="1:38" x14ac:dyDescent="0.25">
      <c r="A10" s="1" t="s">
        <v>9</v>
      </c>
      <c r="B10" s="1" t="str">
        <f>LEFT(Услуги[[#This Row],[Соц. Услуги]],Ограничение[Кол-во симв.])</f>
        <v>09. Помощь при умывании</v>
      </c>
      <c r="C10" s="51">
        <v>0</v>
      </c>
      <c r="D10" s="50"/>
      <c r="F10" s="22">
        <v>45017</v>
      </c>
      <c r="G10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45383</v>
      </c>
      <c r="H10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45384</v>
      </c>
      <c r="I10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45385</v>
      </c>
      <c r="J10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45386</v>
      </c>
      <c r="K10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45387</v>
      </c>
      <c r="L10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45388</v>
      </c>
      <c r="M10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45389</v>
      </c>
      <c r="N10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45390</v>
      </c>
      <c r="O10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45391</v>
      </c>
      <c r="P10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45392</v>
      </c>
      <c r="Q10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45393</v>
      </c>
      <c r="R10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45394</v>
      </c>
      <c r="S10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45395</v>
      </c>
      <c r="T10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45396</v>
      </c>
      <c r="U10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45397</v>
      </c>
      <c r="V10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45398</v>
      </c>
      <c r="W10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45399</v>
      </c>
      <c r="X10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45400</v>
      </c>
      <c r="Y10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45401</v>
      </c>
      <c r="Z10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45402</v>
      </c>
      <c r="AA10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45403</v>
      </c>
      <c r="AB10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45404</v>
      </c>
      <c r="AC10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45405</v>
      </c>
      <c r="AD10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45406</v>
      </c>
      <c r="AE10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45407</v>
      </c>
      <c r="AF10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45408</v>
      </c>
      <c r="AG10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45409</v>
      </c>
      <c r="AH10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45410</v>
      </c>
      <c r="AI10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45411</v>
      </c>
      <c r="AJ10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45412</v>
      </c>
      <c r="AK10" s="14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11" spans="1:38" x14ac:dyDescent="0.25">
      <c r="A11" s="1" t="s">
        <v>10</v>
      </c>
      <c r="B11" s="1" t="str">
        <f>LEFT(Услуги[[#This Row],[Соц. Услуги]],Ограничение[Кол-во симв.])</f>
        <v>10. Купание в кровати, включая мытье гол</v>
      </c>
      <c r="C11" s="51">
        <v>0</v>
      </c>
      <c r="D11" s="50"/>
      <c r="F11" s="22">
        <v>45047</v>
      </c>
      <c r="G11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45413</v>
      </c>
      <c r="H11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45414</v>
      </c>
      <c r="I11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45415</v>
      </c>
      <c r="J11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45416</v>
      </c>
      <c r="K11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45417</v>
      </c>
      <c r="L11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45418</v>
      </c>
      <c r="M11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45419</v>
      </c>
      <c r="N11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45420</v>
      </c>
      <c r="O11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45421</v>
      </c>
      <c r="P11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45422</v>
      </c>
      <c r="Q11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45423</v>
      </c>
      <c r="R11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45424</v>
      </c>
      <c r="S11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45425</v>
      </c>
      <c r="T11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45426</v>
      </c>
      <c r="U11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45427</v>
      </c>
      <c r="V11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45428</v>
      </c>
      <c r="W11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45429</v>
      </c>
      <c r="X11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45430</v>
      </c>
      <c r="Y11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45431</v>
      </c>
      <c r="Z11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45432</v>
      </c>
      <c r="AA11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45433</v>
      </c>
      <c r="AB11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45434</v>
      </c>
      <c r="AC11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45435</v>
      </c>
      <c r="AD11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45436</v>
      </c>
      <c r="AE11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45437</v>
      </c>
      <c r="AF11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45438</v>
      </c>
      <c r="AG11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45439</v>
      </c>
      <c r="AH11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45440</v>
      </c>
      <c r="AI11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45441</v>
      </c>
      <c r="AJ11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45442</v>
      </c>
      <c r="AK11" s="14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45443</v>
      </c>
    </row>
    <row r="12" spans="1:38" x14ac:dyDescent="0.25">
      <c r="A12" s="1" t="s">
        <v>11</v>
      </c>
      <c r="B12" s="1" t="str">
        <f>LEFT(Услуги[[#This Row],[Соц. Услуги]],Ограничение[Кол-во симв.])</f>
        <v xml:space="preserve">11. Купание в приспособленном помещении </v>
      </c>
      <c r="C12" s="51">
        <v>0</v>
      </c>
      <c r="D12" s="50"/>
      <c r="F12" s="22">
        <v>45078</v>
      </c>
      <c r="G12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45444</v>
      </c>
      <c r="H12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45445</v>
      </c>
      <c r="I12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45446</v>
      </c>
      <c r="J12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45447</v>
      </c>
      <c r="K12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45448</v>
      </c>
      <c r="L12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45449</v>
      </c>
      <c r="M12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45450</v>
      </c>
      <c r="N12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45451</v>
      </c>
      <c r="O12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45452</v>
      </c>
      <c r="P12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45453</v>
      </c>
      <c r="Q12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45454</v>
      </c>
      <c r="R12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45455</v>
      </c>
      <c r="S12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45456</v>
      </c>
      <c r="T12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45457</v>
      </c>
      <c r="U12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45458</v>
      </c>
      <c r="V12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45459</v>
      </c>
      <c r="W12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45460</v>
      </c>
      <c r="X12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45461</v>
      </c>
      <c r="Y12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45462</v>
      </c>
      <c r="Z12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45463</v>
      </c>
      <c r="AA12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45464</v>
      </c>
      <c r="AB12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45465</v>
      </c>
      <c r="AC12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45466</v>
      </c>
      <c r="AD12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45467</v>
      </c>
      <c r="AE12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45468</v>
      </c>
      <c r="AF12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45469</v>
      </c>
      <c r="AG12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45470</v>
      </c>
      <c r="AH12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45471</v>
      </c>
      <c r="AI12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45472</v>
      </c>
      <c r="AJ12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45473</v>
      </c>
      <c r="AK12" s="14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13" spans="1:38" x14ac:dyDescent="0.25">
      <c r="A13" s="1" t="s">
        <v>12</v>
      </c>
      <c r="B13" s="1" t="str">
        <f>LEFT(Услуги[[#This Row],[Соц. Услуги]],Ограничение[Кол-во симв.])</f>
        <v>12. Помощь при купании в приспособленном</v>
      </c>
      <c r="C13" s="51">
        <v>0</v>
      </c>
      <c r="D13" s="50"/>
      <c r="F13" s="22">
        <v>45108</v>
      </c>
      <c r="G13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45474</v>
      </c>
      <c r="H13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45475</v>
      </c>
      <c r="I13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45476</v>
      </c>
      <c r="J13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45477</v>
      </c>
      <c r="K13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45478</v>
      </c>
      <c r="L13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45479</v>
      </c>
      <c r="M13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45480</v>
      </c>
      <c r="N13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45481</v>
      </c>
      <c r="O13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45482</v>
      </c>
      <c r="P13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45483</v>
      </c>
      <c r="Q13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45484</v>
      </c>
      <c r="R13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45485</v>
      </c>
      <c r="S13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45486</v>
      </c>
      <c r="T13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45487</v>
      </c>
      <c r="U13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45488</v>
      </c>
      <c r="V13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45489</v>
      </c>
      <c r="W13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45490</v>
      </c>
      <c r="X13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45491</v>
      </c>
      <c r="Y13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45492</v>
      </c>
      <c r="Z13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45493</v>
      </c>
      <c r="AA13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45494</v>
      </c>
      <c r="AB13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45495</v>
      </c>
      <c r="AC13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45496</v>
      </c>
      <c r="AD13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45497</v>
      </c>
      <c r="AE13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45498</v>
      </c>
      <c r="AF13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45499</v>
      </c>
      <c r="AG13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45500</v>
      </c>
      <c r="AH13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45501</v>
      </c>
      <c r="AI13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45502</v>
      </c>
      <c r="AJ13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45503</v>
      </c>
      <c r="AK13" s="14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45504</v>
      </c>
    </row>
    <row r="14" spans="1:38" x14ac:dyDescent="0.25">
      <c r="A14" s="1" t="s">
        <v>13</v>
      </c>
      <c r="B14" s="1" t="str">
        <f>LEFT(Услуги[[#This Row],[Соц. Услуги]],Ограничение[Кол-во симв.])</f>
        <v>13. Гигиеническое обтирание</v>
      </c>
      <c r="C14" s="51">
        <v>0</v>
      </c>
      <c r="D14" s="50"/>
      <c r="F14" s="22">
        <v>45139</v>
      </c>
      <c r="G14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45505</v>
      </c>
      <c r="H14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45506</v>
      </c>
      <c r="I14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45507</v>
      </c>
      <c r="J14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45508</v>
      </c>
      <c r="K14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45509</v>
      </c>
      <c r="L14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45510</v>
      </c>
      <c r="M14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45511</v>
      </c>
      <c r="N14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45512</v>
      </c>
      <c r="O14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45513</v>
      </c>
      <c r="P14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45514</v>
      </c>
      <c r="Q14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45515</v>
      </c>
      <c r="R14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45516</v>
      </c>
      <c r="S14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45517</v>
      </c>
      <c r="T14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45518</v>
      </c>
      <c r="U14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45519</v>
      </c>
      <c r="V14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45520</v>
      </c>
      <c r="W14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45521</v>
      </c>
      <c r="X14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45522</v>
      </c>
      <c r="Y14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45523</v>
      </c>
      <c r="Z14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45524</v>
      </c>
      <c r="AA14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45525</v>
      </c>
      <c r="AB14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45526</v>
      </c>
      <c r="AC14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45527</v>
      </c>
      <c r="AD14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45528</v>
      </c>
      <c r="AE14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45529</v>
      </c>
      <c r="AF14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45530</v>
      </c>
      <c r="AG14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45531</v>
      </c>
      <c r="AH14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45532</v>
      </c>
      <c r="AI14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45533</v>
      </c>
      <c r="AJ14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45534</v>
      </c>
      <c r="AK14" s="14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45535</v>
      </c>
    </row>
    <row r="15" spans="1:38" x14ac:dyDescent="0.25">
      <c r="A15" s="1" t="s">
        <v>14</v>
      </c>
      <c r="B15" s="1" t="str">
        <f>LEFT(Услуги[[#This Row],[Соц. Услуги]],Ограничение[Кол-во симв.])</f>
        <v>14. Мытье головы, в том числе в кровати</v>
      </c>
      <c r="C15" s="51">
        <v>0</v>
      </c>
      <c r="D15" s="50"/>
      <c r="F15" s="22">
        <v>45170</v>
      </c>
      <c r="G15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45536</v>
      </c>
      <c r="H15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45537</v>
      </c>
      <c r="I15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45538</v>
      </c>
      <c r="J15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45539</v>
      </c>
      <c r="K15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45540</v>
      </c>
      <c r="L15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45541</v>
      </c>
      <c r="M15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45542</v>
      </c>
      <c r="N15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45543</v>
      </c>
      <c r="O15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45544</v>
      </c>
      <c r="P15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45545</v>
      </c>
      <c r="Q15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45546</v>
      </c>
      <c r="R15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45547</v>
      </c>
      <c r="S15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45548</v>
      </c>
      <c r="T15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45549</v>
      </c>
      <c r="U15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45550</v>
      </c>
      <c r="V15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45551</v>
      </c>
      <c r="W15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45552</v>
      </c>
      <c r="X15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45553</v>
      </c>
      <c r="Y15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45554</v>
      </c>
      <c r="Z15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45555</v>
      </c>
      <c r="AA15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45556</v>
      </c>
      <c r="AB15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45557</v>
      </c>
      <c r="AC15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45558</v>
      </c>
      <c r="AD15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45559</v>
      </c>
      <c r="AE15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45560</v>
      </c>
      <c r="AF15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45561</v>
      </c>
      <c r="AG15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45562</v>
      </c>
      <c r="AH15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45563</v>
      </c>
      <c r="AI15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45564</v>
      </c>
      <c r="AJ15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45565</v>
      </c>
      <c r="AK15" s="14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16" spans="1:38" x14ac:dyDescent="0.25">
      <c r="A16" s="1" t="s">
        <v>15</v>
      </c>
      <c r="B16" s="1" t="str">
        <f>LEFT(Услуги[[#This Row],[Соц. Услуги]],Ограничение[Кол-во симв.])</f>
        <v>15. Помощь при мытье головы</v>
      </c>
      <c r="C16" s="51">
        <v>0</v>
      </c>
      <c r="D16" s="50"/>
      <c r="F16" s="22">
        <v>45200</v>
      </c>
      <c r="G16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45566</v>
      </c>
      <c r="H16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45567</v>
      </c>
      <c r="I16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45568</v>
      </c>
      <c r="J16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45569</v>
      </c>
      <c r="K16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45570</v>
      </c>
      <c r="L16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45571</v>
      </c>
      <c r="M16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45572</v>
      </c>
      <c r="N16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45573</v>
      </c>
      <c r="O16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45574</v>
      </c>
      <c r="P16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45575</v>
      </c>
      <c r="Q16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45576</v>
      </c>
      <c r="R16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45577</v>
      </c>
      <c r="S16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45578</v>
      </c>
      <c r="T16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45579</v>
      </c>
      <c r="U16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45580</v>
      </c>
      <c r="V16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45581</v>
      </c>
      <c r="W16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45582</v>
      </c>
      <c r="X16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45583</v>
      </c>
      <c r="Y16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45584</v>
      </c>
      <c r="Z16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45585</v>
      </c>
      <c r="AA16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45586</v>
      </c>
      <c r="AB16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45587</v>
      </c>
      <c r="AC16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45588</v>
      </c>
      <c r="AD16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45589</v>
      </c>
      <c r="AE16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45590</v>
      </c>
      <c r="AF16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45591</v>
      </c>
      <c r="AG16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45592</v>
      </c>
      <c r="AH16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45593</v>
      </c>
      <c r="AI16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45594</v>
      </c>
      <c r="AJ16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45595</v>
      </c>
      <c r="AK16" s="14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45596</v>
      </c>
    </row>
    <row r="17" spans="1:37" x14ac:dyDescent="0.25">
      <c r="A17" s="1" t="s">
        <v>16</v>
      </c>
      <c r="B17" s="1" t="str">
        <f>LEFT(Услуги[[#This Row],[Соц. Услуги]],Ограничение[Кол-во симв.])</f>
        <v>16. Подмывание</v>
      </c>
      <c r="C17" s="51">
        <v>0</v>
      </c>
      <c r="D17" s="50"/>
      <c r="F17" s="22">
        <v>45231</v>
      </c>
      <c r="G17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45597</v>
      </c>
      <c r="H17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45598</v>
      </c>
      <c r="I17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45599</v>
      </c>
      <c r="J17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45600</v>
      </c>
      <c r="K17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45601</v>
      </c>
      <c r="L17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45602</v>
      </c>
      <c r="M17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45603</v>
      </c>
      <c r="N17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45604</v>
      </c>
      <c r="O17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45605</v>
      </c>
      <c r="P17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45606</v>
      </c>
      <c r="Q17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45607</v>
      </c>
      <c r="R17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45608</v>
      </c>
      <c r="S17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45609</v>
      </c>
      <c r="T17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45610</v>
      </c>
      <c r="U17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45611</v>
      </c>
      <c r="V17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45612</v>
      </c>
      <c r="W17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45613</v>
      </c>
      <c r="X17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45614</v>
      </c>
      <c r="Y17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45615</v>
      </c>
      <c r="Z17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45616</v>
      </c>
      <c r="AA17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45617</v>
      </c>
      <c r="AB17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45618</v>
      </c>
      <c r="AC17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45619</v>
      </c>
      <c r="AD17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45620</v>
      </c>
      <c r="AE17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45621</v>
      </c>
      <c r="AF17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45622</v>
      </c>
      <c r="AG17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45623</v>
      </c>
      <c r="AH17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45624</v>
      </c>
      <c r="AI17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45625</v>
      </c>
      <c r="AJ17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45626</v>
      </c>
      <c r="AK17" s="14" t="str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/>
      </c>
    </row>
    <row r="18" spans="1:37" x14ac:dyDescent="0.25">
      <c r="A18" s="1" t="s">
        <v>17</v>
      </c>
      <c r="B18" s="1" t="str">
        <f>LEFT(Услуги[[#This Row],[Соц. Услуги]],Ограничение[Кол-во симв.])</f>
        <v>17. Гигиеническая обработка рук и ногтей</v>
      </c>
      <c r="C18" s="51">
        <v>0</v>
      </c>
      <c r="D18" s="50"/>
      <c r="F18" s="22">
        <v>45261</v>
      </c>
      <c r="G18" s="14">
        <f>IF(MONTH(DATE(Год[Год],MONTH(КалендарьПолн[[#This Row],[Месяц]]),КалендарьПолн[[#Headers],[1]]))=MONTH(КалендарьПолн[[#This Row],[Месяц]]),DATE(Год[Год],MONTH(КалендарьПолн[[#This Row],[Месяц]]),КалендарьПолн[[#Headers],[1]]),"")</f>
        <v>45627</v>
      </c>
      <c r="H18" s="14">
        <f>IF(MONTH(DATE(Год[Год],MONTH(КалендарьПолн[[#This Row],[Месяц]]),КалендарьПолн[[#Headers],[2]]))=MONTH(КалендарьПолн[[#This Row],[Месяц]]),DATE(Год[Год],MONTH(КалендарьПолн[[#This Row],[Месяц]]),КалендарьПолн[[#Headers],[2]]),"")</f>
        <v>45628</v>
      </c>
      <c r="I18" s="14">
        <f>IF(MONTH(DATE(Год[Год],MONTH(КалендарьПолн[[#This Row],[Месяц]]),КалендарьПолн[[#Headers],[3]]))=MONTH(КалендарьПолн[[#This Row],[Месяц]]),DATE(Год[Год],MONTH(КалендарьПолн[[#This Row],[Месяц]]),КалендарьПолн[[#Headers],[3]]),"")</f>
        <v>45629</v>
      </c>
      <c r="J18" s="14">
        <f>IF(MONTH(DATE(Год[Год],MONTH(КалендарьПолн[[#This Row],[Месяц]]),КалендарьПолн[[#Headers],[4]]))=MONTH(КалендарьПолн[[#This Row],[Месяц]]),DATE(Год[Год],MONTH(КалендарьПолн[[#This Row],[Месяц]]),КалендарьПолн[[#Headers],[4]]),"")</f>
        <v>45630</v>
      </c>
      <c r="K18" s="14">
        <f>IF(MONTH(DATE(Год[Год],MONTH(КалендарьПолн[[#This Row],[Месяц]]),КалендарьПолн[[#Headers],[5]]))=MONTH(КалендарьПолн[[#This Row],[Месяц]]),DATE(Год[Год],MONTH(КалендарьПолн[[#This Row],[Месяц]]),КалендарьПолн[[#Headers],[5]]),"")</f>
        <v>45631</v>
      </c>
      <c r="L18" s="14">
        <f>IF(MONTH(DATE(Год[Год],MONTH(КалендарьПолн[[#This Row],[Месяц]]),КалендарьПолн[[#Headers],[6]]))=MONTH(КалендарьПолн[[#This Row],[Месяц]]),DATE(Год[Год],MONTH(КалендарьПолн[[#This Row],[Месяц]]),КалендарьПолн[[#Headers],[6]]),"")</f>
        <v>45632</v>
      </c>
      <c r="M18" s="14">
        <f>IF(MONTH(DATE(Год[Год],MONTH(КалендарьПолн[[#This Row],[Месяц]]),КалендарьПолн[[#Headers],[7]]))=MONTH(КалендарьПолн[[#This Row],[Месяц]]),DATE(Год[Год],MONTH(КалендарьПолн[[#This Row],[Месяц]]),КалендарьПолн[[#Headers],[7]]),"")</f>
        <v>45633</v>
      </c>
      <c r="N18" s="14">
        <f>IF(MONTH(DATE(Год[Год],MONTH(КалендарьПолн[[#This Row],[Месяц]]),КалендарьПолн[[#Headers],[8]]))=MONTH(КалендарьПолн[[#This Row],[Месяц]]),DATE(Год[Год],MONTH(КалендарьПолн[[#This Row],[Месяц]]),КалендарьПолн[[#Headers],[8]]),"")</f>
        <v>45634</v>
      </c>
      <c r="O18" s="14">
        <f>IF(MONTH(DATE(Год[Год],MONTH(КалендарьПолн[[#This Row],[Месяц]]),КалендарьПолн[[#Headers],[9]]))=MONTH(КалендарьПолн[[#This Row],[Месяц]]),DATE(Год[Год],MONTH(КалендарьПолн[[#This Row],[Месяц]]),КалендарьПолн[[#Headers],[9]]),"")</f>
        <v>45635</v>
      </c>
      <c r="P18" s="14">
        <f>IF(MONTH(DATE(Год[Год],MONTH(КалендарьПолн[[#This Row],[Месяц]]),КалендарьПолн[[#Headers],[10]]))=MONTH(КалендарьПолн[[#This Row],[Месяц]]),DATE(Год[Год],MONTH(КалендарьПолн[[#This Row],[Месяц]]),КалендарьПолн[[#Headers],[10]]),"")</f>
        <v>45636</v>
      </c>
      <c r="Q18" s="14">
        <f>IF(MONTH(DATE(Год[Год],MONTH(КалендарьПолн[[#This Row],[Месяц]]),КалендарьПолн[[#Headers],[11]]))=MONTH(КалендарьПолн[[#This Row],[Месяц]]),DATE(Год[Год],MONTH(КалендарьПолн[[#This Row],[Месяц]]),КалендарьПолн[[#Headers],[11]]),"")</f>
        <v>45637</v>
      </c>
      <c r="R18" s="14">
        <f>IF(MONTH(DATE(Год[Год],MONTH(КалендарьПолн[[#This Row],[Месяц]]),КалендарьПолн[[#Headers],[12]]))=MONTH(КалендарьПолн[[#This Row],[Месяц]]),DATE(Год[Год],MONTH(КалендарьПолн[[#This Row],[Месяц]]),КалендарьПолн[[#Headers],[12]]),"")</f>
        <v>45638</v>
      </c>
      <c r="S18" s="14">
        <f>IF(MONTH(DATE(Год[Год],MONTH(КалендарьПолн[[#This Row],[Месяц]]),КалендарьПолн[[#Headers],[13]]))=MONTH(КалендарьПолн[[#This Row],[Месяц]]),DATE(Год[Год],MONTH(КалендарьПолн[[#This Row],[Месяц]]),КалендарьПолн[[#Headers],[13]]),"")</f>
        <v>45639</v>
      </c>
      <c r="T18" s="14">
        <f>IF(MONTH(DATE(Год[Год],MONTH(КалендарьПолн[[#This Row],[Месяц]]),КалендарьПолн[[#Headers],[14]]))=MONTH(КалендарьПолн[[#This Row],[Месяц]]),DATE(Год[Год],MONTH(КалендарьПолн[[#This Row],[Месяц]]),КалендарьПолн[[#Headers],[14]]),"")</f>
        <v>45640</v>
      </c>
      <c r="U18" s="14">
        <f>IF(MONTH(DATE(Год[Год],MONTH(КалендарьПолн[[#This Row],[Месяц]]),КалендарьПолн[[#Headers],[15]]))=MONTH(КалендарьПолн[[#This Row],[Месяц]]),DATE(Год[Год],MONTH(КалендарьПолн[[#This Row],[Месяц]]),КалендарьПолн[[#Headers],[15]]),"")</f>
        <v>45641</v>
      </c>
      <c r="V18" s="14">
        <f>IF(MONTH(DATE(Год[Год],MONTH(КалендарьПолн[[#This Row],[Месяц]]),КалендарьПолн[[#Headers],[16]]))=MONTH(КалендарьПолн[[#This Row],[Месяц]]),DATE(Год[Год],MONTH(КалендарьПолн[[#This Row],[Месяц]]),КалендарьПолн[[#Headers],[16]]),"")</f>
        <v>45642</v>
      </c>
      <c r="W18" s="14">
        <f>IF(MONTH(DATE(Год[Год],MONTH(КалендарьПолн[[#This Row],[Месяц]]),КалендарьПолн[[#Headers],[17]]))=MONTH(КалендарьПолн[[#This Row],[Месяц]]),DATE(Год[Год],MONTH(КалендарьПолн[[#This Row],[Месяц]]),КалендарьПолн[[#Headers],[17]]),"")</f>
        <v>45643</v>
      </c>
      <c r="X18" s="14">
        <f>IF(MONTH(DATE(Год[Год],MONTH(КалендарьПолн[[#This Row],[Месяц]]),КалендарьПолн[[#Headers],[18]]))=MONTH(КалендарьПолн[[#This Row],[Месяц]]),DATE(Год[Год],MONTH(КалендарьПолн[[#This Row],[Месяц]]),КалендарьПолн[[#Headers],[18]]),"")</f>
        <v>45644</v>
      </c>
      <c r="Y18" s="14">
        <f>IF(MONTH(DATE(Год[Год],MONTH(КалендарьПолн[[#This Row],[Месяц]]),КалендарьПолн[[#Headers],[19]]))=MONTH(КалендарьПолн[[#This Row],[Месяц]]),DATE(Год[Год],MONTH(КалендарьПолн[[#This Row],[Месяц]]),КалендарьПолн[[#Headers],[19]]),"")</f>
        <v>45645</v>
      </c>
      <c r="Z18" s="14">
        <f>IF(MONTH(DATE(Год[Год],MONTH(КалендарьПолн[[#This Row],[Месяц]]),КалендарьПолн[[#Headers],[20]]))=MONTH(КалендарьПолн[[#This Row],[Месяц]]),DATE(Год[Год],MONTH(КалендарьПолн[[#This Row],[Месяц]]),КалендарьПолн[[#Headers],[20]]),"")</f>
        <v>45646</v>
      </c>
      <c r="AA18" s="14">
        <f>IF(MONTH(DATE(Год[Год],MONTH(КалендарьПолн[[#This Row],[Месяц]]),КалендарьПолн[[#Headers],[21]]))=MONTH(КалендарьПолн[[#This Row],[Месяц]]),DATE(Год[Год],MONTH(КалендарьПолн[[#This Row],[Месяц]]),КалендарьПолн[[#Headers],[21]]),"")</f>
        <v>45647</v>
      </c>
      <c r="AB18" s="14">
        <f>IF(MONTH(DATE(Год[Год],MONTH(КалендарьПолн[[#This Row],[Месяц]]),КалендарьПолн[[#Headers],[22]]))=MONTH(КалендарьПолн[[#This Row],[Месяц]]),DATE(Год[Год],MONTH(КалендарьПолн[[#This Row],[Месяц]]),КалендарьПолн[[#Headers],[22]]),"")</f>
        <v>45648</v>
      </c>
      <c r="AC18" s="14">
        <f>IF(MONTH(DATE(Год[Год],MONTH(КалендарьПолн[[#This Row],[Месяц]]),КалендарьПолн[[#Headers],[23]]))=MONTH(КалендарьПолн[[#This Row],[Месяц]]),DATE(Год[Год],MONTH(КалендарьПолн[[#This Row],[Месяц]]),КалендарьПолн[[#Headers],[23]]),"")</f>
        <v>45649</v>
      </c>
      <c r="AD18" s="14">
        <f>IF(MONTH(DATE(Год[Год],MONTH(КалендарьПолн[[#This Row],[Месяц]]),КалендарьПолн[[#Headers],[24]]))=MONTH(КалендарьПолн[[#This Row],[Месяц]]),DATE(Год[Год],MONTH(КалендарьПолн[[#This Row],[Месяц]]),КалендарьПолн[[#Headers],[24]]),"")</f>
        <v>45650</v>
      </c>
      <c r="AE18" s="14">
        <f>IF(MONTH(DATE(Год[Год],MONTH(КалендарьПолн[[#This Row],[Месяц]]),КалендарьПолн[[#Headers],[25]]))=MONTH(КалендарьПолн[[#This Row],[Месяц]]),DATE(Год[Год],MONTH(КалендарьПолн[[#This Row],[Месяц]]),КалендарьПолн[[#Headers],[25]]),"")</f>
        <v>45651</v>
      </c>
      <c r="AF18" s="14">
        <f>IF(MONTH(DATE(Год[Год],MONTH(КалендарьПолн[[#This Row],[Месяц]]),КалендарьПолн[[#Headers],[26]]))=MONTH(КалендарьПолн[[#This Row],[Месяц]]),DATE(Год[Год],MONTH(КалендарьПолн[[#This Row],[Месяц]]),КалендарьПолн[[#Headers],[26]]),"")</f>
        <v>45652</v>
      </c>
      <c r="AG18" s="14">
        <f>IF(MONTH(DATE(Год[Год],MONTH(КалендарьПолн[[#This Row],[Месяц]]),КалендарьПолн[[#Headers],[27]]))=MONTH(КалендарьПолн[[#This Row],[Месяц]]),DATE(Год[Год],MONTH(КалендарьПолн[[#This Row],[Месяц]]),КалендарьПолн[[#Headers],[27]]),"")</f>
        <v>45653</v>
      </c>
      <c r="AH18" s="14">
        <f>IF(MONTH(DATE(Год[Год],MONTH(КалендарьПолн[[#This Row],[Месяц]]),КалендарьПолн[[#Headers],[28]]))=MONTH(КалендарьПолн[[#This Row],[Месяц]]),DATE(Год[Год],MONTH(КалендарьПолн[[#This Row],[Месяц]]),КалендарьПолн[[#Headers],[28]]),"")</f>
        <v>45654</v>
      </c>
      <c r="AI18" s="14">
        <f>IF(MONTH(DATE(Год[Год],MONTH(КалендарьПолн[[#This Row],[Месяц]]),КалендарьПолн[[#Headers],[29]]))=MONTH(КалендарьПолн[[#This Row],[Месяц]]),DATE(Год[Год],MONTH(КалендарьПолн[[#This Row],[Месяц]]),КалендарьПолн[[#Headers],[29]]),"")</f>
        <v>45655</v>
      </c>
      <c r="AJ18" s="14">
        <f>IF(MONTH(DATE(Год[Год],MONTH(КалендарьПолн[[#This Row],[Месяц]]),КалендарьПолн[[#Headers],[30]]))=MONTH(КалендарьПолн[[#This Row],[Месяц]]),DATE(Год[Год],MONTH(КалендарьПолн[[#This Row],[Месяц]]),КалендарьПолн[[#Headers],[30]]),"")</f>
        <v>45656</v>
      </c>
      <c r="AK18" s="14">
        <f>IF(MONTH(DATE(Год[Год],MONTH(КалендарьПолн[[#This Row],[Месяц]]),КалендарьПолн[[#Headers],[31]]))=MONTH(КалендарьПолн[[#This Row],[Месяц]]),DATE(Год[Год],MONTH(КалендарьПолн[[#This Row],[Месяц]]),КалендарьПолн[[#Headers],[31]]),"")</f>
        <v>45657</v>
      </c>
    </row>
    <row r="19" spans="1:37" x14ac:dyDescent="0.25">
      <c r="A19" s="1" t="s">
        <v>18</v>
      </c>
      <c r="B19" s="1" t="str">
        <f>LEFT(Услуги[[#This Row],[Соц. Услуги]],Ограничение[Кол-во симв.])</f>
        <v>18. Помощь при гигиенической обработке р</v>
      </c>
      <c r="C19" s="51">
        <v>0</v>
      </c>
      <c r="D19" s="50"/>
    </row>
    <row r="20" spans="1:37" x14ac:dyDescent="0.25">
      <c r="A20" s="1" t="s">
        <v>19</v>
      </c>
      <c r="B20" s="1" t="str">
        <f>LEFT(Услуги[[#This Row],[Соц. Услуги]],Ограничение[Кол-во симв.])</f>
        <v>19. Мытье ног</v>
      </c>
      <c r="C20" s="51">
        <v>0</v>
      </c>
      <c r="D20" s="50"/>
      <c r="F20" s="1" t="s">
        <v>109</v>
      </c>
      <c r="G20" s="1" t="s">
        <v>75</v>
      </c>
      <c r="H20" s="1" t="s">
        <v>76</v>
      </c>
      <c r="I20" s="1" t="s">
        <v>77</v>
      </c>
      <c r="J20" s="1" t="s">
        <v>78</v>
      </c>
      <c r="K20" s="1" t="s">
        <v>79</v>
      </c>
      <c r="L20" s="1" t="s">
        <v>80</v>
      </c>
      <c r="M20" s="1" t="s">
        <v>81</v>
      </c>
      <c r="N20" s="1" t="s">
        <v>82</v>
      </c>
      <c r="O20" s="1" t="s">
        <v>83</v>
      </c>
      <c r="P20" s="1" t="s">
        <v>84</v>
      </c>
      <c r="Q20" s="1" t="s">
        <v>85</v>
      </c>
      <c r="R20" s="1" t="s">
        <v>86</v>
      </c>
      <c r="S20" s="1" t="s">
        <v>87</v>
      </c>
      <c r="T20" s="1" t="s">
        <v>88</v>
      </c>
      <c r="U20" s="1" t="s">
        <v>89</v>
      </c>
      <c r="V20" s="1" t="s">
        <v>90</v>
      </c>
      <c r="W20" s="1" t="s">
        <v>91</v>
      </c>
      <c r="X20" s="1" t="s">
        <v>92</v>
      </c>
      <c r="Y20" s="1" t="s">
        <v>93</v>
      </c>
      <c r="Z20" s="1" t="s">
        <v>94</v>
      </c>
      <c r="AA20" s="1" t="s">
        <v>95</v>
      </c>
      <c r="AB20" s="1" t="s">
        <v>96</v>
      </c>
      <c r="AC20" s="1" t="s">
        <v>97</v>
      </c>
      <c r="AD20" s="1" t="s">
        <v>98</v>
      </c>
      <c r="AE20" s="1" t="s">
        <v>99</v>
      </c>
      <c r="AF20" s="1" t="s">
        <v>100</v>
      </c>
      <c r="AG20" s="1" t="s">
        <v>101</v>
      </c>
      <c r="AH20" s="1" t="s">
        <v>102</v>
      </c>
      <c r="AI20" s="1" t="s">
        <v>103</v>
      </c>
      <c r="AJ20" s="1" t="s">
        <v>104</v>
      </c>
      <c r="AK20" s="1" t="s">
        <v>113</v>
      </c>
    </row>
    <row r="21" spans="1:37" x14ac:dyDescent="0.25">
      <c r="A21" s="1" t="s">
        <v>20</v>
      </c>
      <c r="B21" s="1" t="str">
        <f>LEFT(Услуги[[#This Row],[Соц. Услуги]],Ограничение[Кол-во симв.])</f>
        <v>20. Помощь при мытье ног</v>
      </c>
      <c r="C21" s="51">
        <v>0</v>
      </c>
      <c r="D21" s="50"/>
      <c r="F21" s="11" t="s">
        <v>119</v>
      </c>
      <c r="G21" s="48">
        <f t="shared" ref="G21:V21" si="0">IF(G7="",0,ROUNDUP(DAY(G7)/7,0)+(WEEKDAY(G7-DAY(G7)+1,11)&gt;WEEKDAY(G7,11)))</f>
        <v>1</v>
      </c>
      <c r="H21" s="48">
        <f t="shared" si="0"/>
        <v>1</v>
      </c>
      <c r="I21" s="48">
        <f t="shared" si="0"/>
        <v>1</v>
      </c>
      <c r="J21" s="48">
        <f t="shared" si="0"/>
        <v>1</v>
      </c>
      <c r="K21" s="48">
        <f t="shared" si="0"/>
        <v>1</v>
      </c>
      <c r="L21" s="48">
        <f t="shared" si="0"/>
        <v>1</v>
      </c>
      <c r="M21" s="48">
        <f t="shared" si="0"/>
        <v>1</v>
      </c>
      <c r="N21" s="48">
        <f t="shared" si="0"/>
        <v>2</v>
      </c>
      <c r="O21" s="48">
        <f t="shared" si="0"/>
        <v>2</v>
      </c>
      <c r="P21" s="48">
        <f t="shared" si="0"/>
        <v>2</v>
      </c>
      <c r="Q21" s="48">
        <f t="shared" si="0"/>
        <v>2</v>
      </c>
      <c r="R21" s="48">
        <f t="shared" si="0"/>
        <v>2</v>
      </c>
      <c r="S21" s="48">
        <f t="shared" si="0"/>
        <v>2</v>
      </c>
      <c r="T21" s="48">
        <f t="shared" si="0"/>
        <v>2</v>
      </c>
      <c r="U21" s="48">
        <f t="shared" si="0"/>
        <v>3</v>
      </c>
      <c r="V21" s="48">
        <f t="shared" si="0"/>
        <v>3</v>
      </c>
      <c r="W21" s="48">
        <f t="shared" ref="H21:AK29" si="1">IF(W7="",0,ROUNDUP(DAY(W7)/7,0)+(WEEKDAY(W7-DAY(W7)+1,11)&gt;WEEKDAY(W7,11)))</f>
        <v>3</v>
      </c>
      <c r="X21" s="48">
        <f t="shared" si="1"/>
        <v>3</v>
      </c>
      <c r="Y21" s="48">
        <f t="shared" si="1"/>
        <v>3</v>
      </c>
      <c r="Z21" s="48">
        <f t="shared" si="1"/>
        <v>3</v>
      </c>
      <c r="AA21" s="48">
        <f t="shared" si="1"/>
        <v>3</v>
      </c>
      <c r="AB21" s="48">
        <f t="shared" si="1"/>
        <v>4</v>
      </c>
      <c r="AC21" s="48">
        <f t="shared" si="1"/>
        <v>4</v>
      </c>
      <c r="AD21" s="48">
        <f t="shared" si="1"/>
        <v>4</v>
      </c>
      <c r="AE21" s="48">
        <f t="shared" si="1"/>
        <v>4</v>
      </c>
      <c r="AF21" s="48">
        <f t="shared" si="1"/>
        <v>4</v>
      </c>
      <c r="AG21" s="48">
        <f t="shared" si="1"/>
        <v>4</v>
      </c>
      <c r="AH21" s="48">
        <f t="shared" si="1"/>
        <v>4</v>
      </c>
      <c r="AI21" s="48">
        <f t="shared" si="1"/>
        <v>5</v>
      </c>
      <c r="AJ21" s="48">
        <f t="shared" si="1"/>
        <v>5</v>
      </c>
      <c r="AK21" s="48">
        <f t="shared" si="1"/>
        <v>5</v>
      </c>
    </row>
    <row r="22" spans="1:37" x14ac:dyDescent="0.25">
      <c r="A22" s="1" t="s">
        <v>21</v>
      </c>
      <c r="B22" s="1" t="str">
        <f>LEFT(Услуги[[#This Row],[Соц. Услуги]],Ограничение[Кол-во симв.])</f>
        <v>21. Гигиеническая обработка ног и ногтей</v>
      </c>
      <c r="C22" s="51">
        <v>0</v>
      </c>
      <c r="D22" s="50"/>
      <c r="F22" s="11" t="s">
        <v>118</v>
      </c>
      <c r="G22" s="48">
        <f t="shared" ref="G22:G32" si="2">IF(G8="",0,ROUNDUP(DAY(G8)/7,0)+(WEEKDAY(G8-DAY(G8)+1,11)&gt;WEEKDAY(G8,11)))</f>
        <v>1</v>
      </c>
      <c r="H22" s="48">
        <f t="shared" si="1"/>
        <v>1</v>
      </c>
      <c r="I22" s="48">
        <f t="shared" si="1"/>
        <v>1</v>
      </c>
      <c r="J22" s="48">
        <f t="shared" si="1"/>
        <v>1</v>
      </c>
      <c r="K22" s="48">
        <f t="shared" si="1"/>
        <v>2</v>
      </c>
      <c r="L22" s="48">
        <f t="shared" si="1"/>
        <v>2</v>
      </c>
      <c r="M22" s="48">
        <f t="shared" si="1"/>
        <v>2</v>
      </c>
      <c r="N22" s="48">
        <f t="shared" si="1"/>
        <v>2</v>
      </c>
      <c r="O22" s="48">
        <f t="shared" si="1"/>
        <v>2</v>
      </c>
      <c r="P22" s="48">
        <f t="shared" si="1"/>
        <v>2</v>
      </c>
      <c r="Q22" s="48">
        <f t="shared" si="1"/>
        <v>2</v>
      </c>
      <c r="R22" s="48">
        <f t="shared" si="1"/>
        <v>3</v>
      </c>
      <c r="S22" s="48">
        <f t="shared" si="1"/>
        <v>3</v>
      </c>
      <c r="T22" s="48">
        <f t="shared" si="1"/>
        <v>3</v>
      </c>
      <c r="U22" s="48">
        <f t="shared" si="1"/>
        <v>3</v>
      </c>
      <c r="V22" s="48">
        <f t="shared" si="1"/>
        <v>3</v>
      </c>
      <c r="W22" s="48">
        <f t="shared" si="1"/>
        <v>3</v>
      </c>
      <c r="X22" s="48">
        <f t="shared" si="1"/>
        <v>3</v>
      </c>
      <c r="Y22" s="48">
        <f t="shared" si="1"/>
        <v>4</v>
      </c>
      <c r="Z22" s="48">
        <f t="shared" si="1"/>
        <v>4</v>
      </c>
      <c r="AA22" s="48">
        <f t="shared" si="1"/>
        <v>4</v>
      </c>
      <c r="AB22" s="48">
        <f t="shared" si="1"/>
        <v>4</v>
      </c>
      <c r="AC22" s="48">
        <f t="shared" si="1"/>
        <v>4</v>
      </c>
      <c r="AD22" s="48">
        <f t="shared" si="1"/>
        <v>4</v>
      </c>
      <c r="AE22" s="48">
        <f t="shared" si="1"/>
        <v>4</v>
      </c>
      <c r="AF22" s="48">
        <f t="shared" si="1"/>
        <v>5</v>
      </c>
      <c r="AG22" s="48">
        <f t="shared" si="1"/>
        <v>5</v>
      </c>
      <c r="AH22" s="48">
        <f t="shared" si="1"/>
        <v>5</v>
      </c>
      <c r="AI22" s="48">
        <f t="shared" si="1"/>
        <v>5</v>
      </c>
      <c r="AJ22" s="48">
        <f t="shared" si="1"/>
        <v>0</v>
      </c>
      <c r="AK22" s="48">
        <f t="shared" si="1"/>
        <v>0</v>
      </c>
    </row>
    <row r="23" spans="1:37" x14ac:dyDescent="0.25">
      <c r="A23" s="1" t="s">
        <v>22</v>
      </c>
      <c r="B23" s="1" t="str">
        <f>LEFT(Услуги[[#This Row],[Соц. Услуги]],Ограничение[Кол-во симв.])</f>
        <v>22. Помощь при гигиенической обработка н</v>
      </c>
      <c r="C23" s="51">
        <v>0</v>
      </c>
      <c r="D23" s="50"/>
      <c r="F23" s="11" t="s">
        <v>117</v>
      </c>
      <c r="G23" s="48">
        <f t="shared" si="2"/>
        <v>1</v>
      </c>
      <c r="H23" s="48">
        <f t="shared" si="1"/>
        <v>1</v>
      </c>
      <c r="I23" s="48">
        <f t="shared" si="1"/>
        <v>1</v>
      </c>
      <c r="J23" s="48">
        <f t="shared" si="1"/>
        <v>2</v>
      </c>
      <c r="K23" s="48">
        <f t="shared" si="1"/>
        <v>2</v>
      </c>
      <c r="L23" s="48">
        <f t="shared" si="1"/>
        <v>2</v>
      </c>
      <c r="M23" s="48">
        <f t="shared" si="1"/>
        <v>2</v>
      </c>
      <c r="N23" s="48">
        <f t="shared" si="1"/>
        <v>2</v>
      </c>
      <c r="O23" s="48">
        <f t="shared" si="1"/>
        <v>2</v>
      </c>
      <c r="P23" s="48">
        <f t="shared" si="1"/>
        <v>2</v>
      </c>
      <c r="Q23" s="48">
        <f t="shared" si="1"/>
        <v>3</v>
      </c>
      <c r="R23" s="48">
        <f t="shared" si="1"/>
        <v>3</v>
      </c>
      <c r="S23" s="48">
        <f t="shared" si="1"/>
        <v>3</v>
      </c>
      <c r="T23" s="48">
        <f t="shared" si="1"/>
        <v>3</v>
      </c>
      <c r="U23" s="48">
        <f t="shared" si="1"/>
        <v>3</v>
      </c>
      <c r="V23" s="48">
        <f t="shared" si="1"/>
        <v>3</v>
      </c>
      <c r="W23" s="48">
        <f t="shared" si="1"/>
        <v>3</v>
      </c>
      <c r="X23" s="48">
        <f t="shared" si="1"/>
        <v>4</v>
      </c>
      <c r="Y23" s="48">
        <f t="shared" si="1"/>
        <v>4</v>
      </c>
      <c r="Z23" s="48">
        <f t="shared" si="1"/>
        <v>4</v>
      </c>
      <c r="AA23" s="48">
        <f t="shared" si="1"/>
        <v>4</v>
      </c>
      <c r="AB23" s="48">
        <f t="shared" si="1"/>
        <v>4</v>
      </c>
      <c r="AC23" s="48">
        <f t="shared" si="1"/>
        <v>4</v>
      </c>
      <c r="AD23" s="48">
        <f t="shared" si="1"/>
        <v>4</v>
      </c>
      <c r="AE23" s="48">
        <f t="shared" si="1"/>
        <v>5</v>
      </c>
      <c r="AF23" s="48">
        <f t="shared" si="1"/>
        <v>5</v>
      </c>
      <c r="AG23" s="48">
        <f t="shared" si="1"/>
        <v>5</v>
      </c>
      <c r="AH23" s="48">
        <f t="shared" si="1"/>
        <v>5</v>
      </c>
      <c r="AI23" s="48">
        <f t="shared" si="1"/>
        <v>5</v>
      </c>
      <c r="AJ23" s="48">
        <f t="shared" si="1"/>
        <v>5</v>
      </c>
      <c r="AK23" s="48">
        <f t="shared" si="1"/>
        <v>5</v>
      </c>
    </row>
    <row r="24" spans="1:37" x14ac:dyDescent="0.25">
      <c r="A24" s="1" t="s">
        <v>23</v>
      </c>
      <c r="B24" s="1" t="str">
        <f>LEFT(Услуги[[#This Row],[Соц. Услуги]],Ограничение[Кол-во симв.])</f>
        <v>23. Гигиенииеское бритье</v>
      </c>
      <c r="C24" s="51">
        <v>0</v>
      </c>
      <c r="D24" s="50"/>
      <c r="F24" s="11" t="s">
        <v>116</v>
      </c>
      <c r="G24" s="48">
        <f t="shared" si="2"/>
        <v>1</v>
      </c>
      <c r="H24" s="48">
        <f t="shared" si="1"/>
        <v>1</v>
      </c>
      <c r="I24" s="48">
        <f t="shared" si="1"/>
        <v>1</v>
      </c>
      <c r="J24" s="48">
        <f t="shared" si="1"/>
        <v>1</v>
      </c>
      <c r="K24" s="48">
        <f t="shared" si="1"/>
        <v>1</v>
      </c>
      <c r="L24" s="48">
        <f t="shared" si="1"/>
        <v>1</v>
      </c>
      <c r="M24" s="48">
        <f t="shared" si="1"/>
        <v>1</v>
      </c>
      <c r="N24" s="48">
        <f t="shared" si="1"/>
        <v>2</v>
      </c>
      <c r="O24" s="48">
        <f t="shared" si="1"/>
        <v>2</v>
      </c>
      <c r="P24" s="48">
        <f t="shared" si="1"/>
        <v>2</v>
      </c>
      <c r="Q24" s="48">
        <f t="shared" si="1"/>
        <v>2</v>
      </c>
      <c r="R24" s="48">
        <f t="shared" si="1"/>
        <v>2</v>
      </c>
      <c r="S24" s="48">
        <f t="shared" si="1"/>
        <v>2</v>
      </c>
      <c r="T24" s="48">
        <f t="shared" si="1"/>
        <v>2</v>
      </c>
      <c r="U24" s="48">
        <f t="shared" si="1"/>
        <v>3</v>
      </c>
      <c r="V24" s="48">
        <f t="shared" si="1"/>
        <v>3</v>
      </c>
      <c r="W24" s="48">
        <f t="shared" si="1"/>
        <v>3</v>
      </c>
      <c r="X24" s="48">
        <f t="shared" si="1"/>
        <v>3</v>
      </c>
      <c r="Y24" s="48">
        <f t="shared" si="1"/>
        <v>3</v>
      </c>
      <c r="Z24" s="48">
        <f t="shared" si="1"/>
        <v>3</v>
      </c>
      <c r="AA24" s="48">
        <f t="shared" si="1"/>
        <v>3</v>
      </c>
      <c r="AB24" s="48">
        <f t="shared" si="1"/>
        <v>4</v>
      </c>
      <c r="AC24" s="48">
        <f t="shared" si="1"/>
        <v>4</v>
      </c>
      <c r="AD24" s="48">
        <f t="shared" si="1"/>
        <v>4</v>
      </c>
      <c r="AE24" s="48">
        <f t="shared" si="1"/>
        <v>4</v>
      </c>
      <c r="AF24" s="48">
        <f t="shared" si="1"/>
        <v>4</v>
      </c>
      <c r="AG24" s="48">
        <f t="shared" si="1"/>
        <v>4</v>
      </c>
      <c r="AH24" s="48">
        <f t="shared" si="1"/>
        <v>4</v>
      </c>
      <c r="AI24" s="48">
        <f t="shared" si="1"/>
        <v>5</v>
      </c>
      <c r="AJ24" s="48">
        <f t="shared" si="1"/>
        <v>5</v>
      </c>
      <c r="AK24" s="48">
        <f t="shared" si="1"/>
        <v>0</v>
      </c>
    </row>
    <row r="25" spans="1:37" x14ac:dyDescent="0.25">
      <c r="A25" s="1" t="s">
        <v>24</v>
      </c>
      <c r="B25" s="1" t="str">
        <f>LEFT(Услуги[[#This Row],[Соц. Услуги]],Ограничение[Кол-во симв.])</f>
        <v>24. Гигиеническая стрижка</v>
      </c>
      <c r="C25" s="51">
        <v>0</v>
      </c>
      <c r="D25" s="50"/>
      <c r="F25" s="11" t="s">
        <v>115</v>
      </c>
      <c r="G25" s="48">
        <f t="shared" si="2"/>
        <v>1</v>
      </c>
      <c r="H25" s="48">
        <f t="shared" si="1"/>
        <v>1</v>
      </c>
      <c r="I25" s="48">
        <f t="shared" si="1"/>
        <v>1</v>
      </c>
      <c r="J25" s="48">
        <f t="shared" si="1"/>
        <v>1</v>
      </c>
      <c r="K25" s="48">
        <f t="shared" si="1"/>
        <v>1</v>
      </c>
      <c r="L25" s="48">
        <f t="shared" si="1"/>
        <v>2</v>
      </c>
      <c r="M25" s="48">
        <f t="shared" si="1"/>
        <v>2</v>
      </c>
      <c r="N25" s="48">
        <f t="shared" si="1"/>
        <v>2</v>
      </c>
      <c r="O25" s="48">
        <f t="shared" si="1"/>
        <v>2</v>
      </c>
      <c r="P25" s="48">
        <f t="shared" si="1"/>
        <v>2</v>
      </c>
      <c r="Q25" s="48">
        <f t="shared" si="1"/>
        <v>2</v>
      </c>
      <c r="R25" s="48">
        <f t="shared" si="1"/>
        <v>2</v>
      </c>
      <c r="S25" s="48">
        <f t="shared" si="1"/>
        <v>3</v>
      </c>
      <c r="T25" s="48">
        <f t="shared" si="1"/>
        <v>3</v>
      </c>
      <c r="U25" s="48">
        <f t="shared" si="1"/>
        <v>3</v>
      </c>
      <c r="V25" s="48">
        <f t="shared" si="1"/>
        <v>3</v>
      </c>
      <c r="W25" s="48">
        <f t="shared" si="1"/>
        <v>3</v>
      </c>
      <c r="X25" s="48">
        <f t="shared" si="1"/>
        <v>3</v>
      </c>
      <c r="Y25" s="48">
        <f t="shared" si="1"/>
        <v>3</v>
      </c>
      <c r="Z25" s="48">
        <f t="shared" si="1"/>
        <v>4</v>
      </c>
      <c r="AA25" s="48">
        <f t="shared" si="1"/>
        <v>4</v>
      </c>
      <c r="AB25" s="48">
        <f t="shared" si="1"/>
        <v>4</v>
      </c>
      <c r="AC25" s="48">
        <f t="shared" si="1"/>
        <v>4</v>
      </c>
      <c r="AD25" s="48">
        <f t="shared" si="1"/>
        <v>4</v>
      </c>
      <c r="AE25" s="48">
        <f t="shared" si="1"/>
        <v>4</v>
      </c>
      <c r="AF25" s="48">
        <f t="shared" si="1"/>
        <v>4</v>
      </c>
      <c r="AG25" s="48">
        <f t="shared" si="1"/>
        <v>5</v>
      </c>
      <c r="AH25" s="48">
        <f t="shared" si="1"/>
        <v>5</v>
      </c>
      <c r="AI25" s="48">
        <f t="shared" si="1"/>
        <v>5</v>
      </c>
      <c r="AJ25" s="48">
        <f t="shared" si="1"/>
        <v>5</v>
      </c>
      <c r="AK25" s="48">
        <f t="shared" si="1"/>
        <v>5</v>
      </c>
    </row>
    <row r="26" spans="1:37" x14ac:dyDescent="0.25">
      <c r="A26" s="1" t="s">
        <v>25</v>
      </c>
      <c r="B26" s="1" t="str">
        <f>LEFT(Услуги[[#This Row],[Соц. Услуги]],Ограничение[Кол-во симв.])</f>
        <v>25. Смена одежды (обуви)</v>
      </c>
      <c r="C26" s="51">
        <v>0</v>
      </c>
      <c r="D26" s="50"/>
      <c r="F26" s="11" t="s">
        <v>114</v>
      </c>
      <c r="G26" s="48">
        <f t="shared" si="2"/>
        <v>1</v>
      </c>
      <c r="H26" s="48">
        <f t="shared" si="1"/>
        <v>1</v>
      </c>
      <c r="I26" s="48">
        <f t="shared" si="1"/>
        <v>2</v>
      </c>
      <c r="J26" s="48">
        <f t="shared" si="1"/>
        <v>2</v>
      </c>
      <c r="K26" s="48">
        <f t="shared" si="1"/>
        <v>2</v>
      </c>
      <c r="L26" s="48">
        <f t="shared" si="1"/>
        <v>2</v>
      </c>
      <c r="M26" s="48">
        <f t="shared" si="1"/>
        <v>2</v>
      </c>
      <c r="N26" s="48">
        <f t="shared" si="1"/>
        <v>2</v>
      </c>
      <c r="O26" s="48">
        <f t="shared" si="1"/>
        <v>2</v>
      </c>
      <c r="P26" s="48">
        <f t="shared" si="1"/>
        <v>3</v>
      </c>
      <c r="Q26" s="48">
        <f t="shared" si="1"/>
        <v>3</v>
      </c>
      <c r="R26" s="48">
        <f t="shared" si="1"/>
        <v>3</v>
      </c>
      <c r="S26" s="48">
        <f t="shared" si="1"/>
        <v>3</v>
      </c>
      <c r="T26" s="48">
        <f t="shared" si="1"/>
        <v>3</v>
      </c>
      <c r="U26" s="48">
        <f t="shared" si="1"/>
        <v>3</v>
      </c>
      <c r="V26" s="48">
        <f t="shared" si="1"/>
        <v>3</v>
      </c>
      <c r="W26" s="48">
        <f t="shared" si="1"/>
        <v>4</v>
      </c>
      <c r="X26" s="48">
        <f t="shared" si="1"/>
        <v>4</v>
      </c>
      <c r="Y26" s="48">
        <f t="shared" si="1"/>
        <v>4</v>
      </c>
      <c r="Z26" s="48">
        <f t="shared" si="1"/>
        <v>4</v>
      </c>
      <c r="AA26" s="48">
        <f t="shared" si="1"/>
        <v>4</v>
      </c>
      <c r="AB26" s="48">
        <f t="shared" si="1"/>
        <v>4</v>
      </c>
      <c r="AC26" s="48">
        <f t="shared" si="1"/>
        <v>4</v>
      </c>
      <c r="AD26" s="48">
        <f t="shared" si="1"/>
        <v>5</v>
      </c>
      <c r="AE26" s="48">
        <f t="shared" si="1"/>
        <v>5</v>
      </c>
      <c r="AF26" s="48">
        <f t="shared" si="1"/>
        <v>5</v>
      </c>
      <c r="AG26" s="48">
        <f t="shared" si="1"/>
        <v>5</v>
      </c>
      <c r="AH26" s="48">
        <f t="shared" si="1"/>
        <v>5</v>
      </c>
      <c r="AI26" s="48">
        <f t="shared" si="1"/>
        <v>5</v>
      </c>
      <c r="AJ26" s="48">
        <f t="shared" si="1"/>
        <v>5</v>
      </c>
      <c r="AK26" s="48">
        <f t="shared" si="1"/>
        <v>0</v>
      </c>
    </row>
    <row r="27" spans="1:37" x14ac:dyDescent="0.25">
      <c r="A27" s="1" t="s">
        <v>26</v>
      </c>
      <c r="B27" s="1" t="str">
        <f>LEFT(Услуги[[#This Row],[Соц. Услуги]],Ограничение[Кол-во симв.])</f>
        <v>26. Помощь при смене одежды (обуви)</v>
      </c>
      <c r="C27" s="51">
        <v>0</v>
      </c>
      <c r="D27" s="50"/>
      <c r="F27" s="11" t="s">
        <v>112</v>
      </c>
      <c r="G27" s="48">
        <f t="shared" si="2"/>
        <v>1</v>
      </c>
      <c r="H27" s="48">
        <f t="shared" si="1"/>
        <v>1</v>
      </c>
      <c r="I27" s="48">
        <f t="shared" si="1"/>
        <v>1</v>
      </c>
      <c r="J27" s="48">
        <f t="shared" si="1"/>
        <v>1</v>
      </c>
      <c r="K27" s="48">
        <f t="shared" si="1"/>
        <v>1</v>
      </c>
      <c r="L27" s="48">
        <f t="shared" si="1"/>
        <v>1</v>
      </c>
      <c r="M27" s="48">
        <f t="shared" si="1"/>
        <v>1</v>
      </c>
      <c r="N27" s="48">
        <f t="shared" si="1"/>
        <v>2</v>
      </c>
      <c r="O27" s="48">
        <f t="shared" si="1"/>
        <v>2</v>
      </c>
      <c r="P27" s="48">
        <f t="shared" si="1"/>
        <v>2</v>
      </c>
      <c r="Q27" s="48">
        <f t="shared" si="1"/>
        <v>2</v>
      </c>
      <c r="R27" s="48">
        <f t="shared" si="1"/>
        <v>2</v>
      </c>
      <c r="S27" s="48">
        <f t="shared" si="1"/>
        <v>2</v>
      </c>
      <c r="T27" s="48">
        <f t="shared" si="1"/>
        <v>2</v>
      </c>
      <c r="U27" s="48">
        <f t="shared" si="1"/>
        <v>3</v>
      </c>
      <c r="V27" s="48">
        <f t="shared" si="1"/>
        <v>3</v>
      </c>
      <c r="W27" s="48">
        <f t="shared" si="1"/>
        <v>3</v>
      </c>
      <c r="X27" s="48">
        <f t="shared" si="1"/>
        <v>3</v>
      </c>
      <c r="Y27" s="48">
        <f t="shared" si="1"/>
        <v>3</v>
      </c>
      <c r="Z27" s="48">
        <f t="shared" si="1"/>
        <v>3</v>
      </c>
      <c r="AA27" s="48">
        <f t="shared" si="1"/>
        <v>3</v>
      </c>
      <c r="AB27" s="48">
        <f t="shared" si="1"/>
        <v>4</v>
      </c>
      <c r="AC27" s="48">
        <f t="shared" si="1"/>
        <v>4</v>
      </c>
      <c r="AD27" s="48">
        <f t="shared" si="1"/>
        <v>4</v>
      </c>
      <c r="AE27" s="48">
        <f t="shared" si="1"/>
        <v>4</v>
      </c>
      <c r="AF27" s="48">
        <f t="shared" si="1"/>
        <v>4</v>
      </c>
      <c r="AG27" s="48">
        <f t="shared" si="1"/>
        <v>4</v>
      </c>
      <c r="AH27" s="48">
        <f t="shared" si="1"/>
        <v>4</v>
      </c>
      <c r="AI27" s="48">
        <f t="shared" si="1"/>
        <v>5</v>
      </c>
      <c r="AJ27" s="48">
        <f t="shared" si="1"/>
        <v>5</v>
      </c>
      <c r="AK27" s="48">
        <f t="shared" si="1"/>
        <v>5</v>
      </c>
    </row>
    <row r="28" spans="1:37" x14ac:dyDescent="0.25">
      <c r="A28" s="1" t="s">
        <v>27</v>
      </c>
      <c r="B28" s="1" t="str">
        <f>LEFT(Услуги[[#This Row],[Соц. Услуги]],Ограничение[Кол-во симв.])</f>
        <v>27. Смена нательного белья</v>
      </c>
      <c r="C28" s="51">
        <v>0</v>
      </c>
      <c r="D28" s="50"/>
      <c r="F28" s="11" t="s">
        <v>111</v>
      </c>
      <c r="G28" s="48">
        <f t="shared" si="2"/>
        <v>1</v>
      </c>
      <c r="H28" s="48">
        <f t="shared" si="1"/>
        <v>1</v>
      </c>
      <c r="I28" s="48">
        <f t="shared" si="1"/>
        <v>1</v>
      </c>
      <c r="J28" s="48">
        <f t="shared" si="1"/>
        <v>1</v>
      </c>
      <c r="K28" s="48">
        <f t="shared" si="1"/>
        <v>2</v>
      </c>
      <c r="L28" s="48">
        <f t="shared" si="1"/>
        <v>2</v>
      </c>
      <c r="M28" s="48">
        <f t="shared" si="1"/>
        <v>2</v>
      </c>
      <c r="N28" s="48">
        <f t="shared" si="1"/>
        <v>2</v>
      </c>
      <c r="O28" s="48">
        <f t="shared" si="1"/>
        <v>2</v>
      </c>
      <c r="P28" s="48">
        <f t="shared" si="1"/>
        <v>2</v>
      </c>
      <c r="Q28" s="48">
        <f t="shared" si="1"/>
        <v>2</v>
      </c>
      <c r="R28" s="48">
        <f t="shared" si="1"/>
        <v>3</v>
      </c>
      <c r="S28" s="48">
        <f t="shared" si="1"/>
        <v>3</v>
      </c>
      <c r="T28" s="48">
        <f t="shared" si="1"/>
        <v>3</v>
      </c>
      <c r="U28" s="48">
        <f t="shared" si="1"/>
        <v>3</v>
      </c>
      <c r="V28" s="48">
        <f t="shared" si="1"/>
        <v>3</v>
      </c>
      <c r="W28" s="48">
        <f t="shared" si="1"/>
        <v>3</v>
      </c>
      <c r="X28" s="48">
        <f t="shared" si="1"/>
        <v>3</v>
      </c>
      <c r="Y28" s="48">
        <f t="shared" si="1"/>
        <v>4</v>
      </c>
      <c r="Z28" s="48">
        <f t="shared" si="1"/>
        <v>4</v>
      </c>
      <c r="AA28" s="48">
        <f t="shared" si="1"/>
        <v>4</v>
      </c>
      <c r="AB28" s="48">
        <f t="shared" si="1"/>
        <v>4</v>
      </c>
      <c r="AC28" s="48">
        <f t="shared" si="1"/>
        <v>4</v>
      </c>
      <c r="AD28" s="48">
        <f t="shared" si="1"/>
        <v>4</v>
      </c>
      <c r="AE28" s="48">
        <f t="shared" si="1"/>
        <v>4</v>
      </c>
      <c r="AF28" s="48">
        <f t="shared" si="1"/>
        <v>5</v>
      </c>
      <c r="AG28" s="48">
        <f t="shared" si="1"/>
        <v>5</v>
      </c>
      <c r="AH28" s="48">
        <f t="shared" si="1"/>
        <v>5</v>
      </c>
      <c r="AI28" s="48">
        <f t="shared" si="1"/>
        <v>5</v>
      </c>
      <c r="AJ28" s="48">
        <f t="shared" si="1"/>
        <v>5</v>
      </c>
      <c r="AK28" s="48">
        <f t="shared" si="1"/>
        <v>5</v>
      </c>
    </row>
    <row r="29" spans="1:37" x14ac:dyDescent="0.25">
      <c r="A29" s="1" t="s">
        <v>28</v>
      </c>
      <c r="B29" s="1" t="str">
        <f>LEFT(Услуги[[#This Row],[Соц. Услуги]],Ограничение[Кол-во симв.])</f>
        <v>28. Помощь при смене нательного белья</v>
      </c>
      <c r="C29" s="51">
        <v>0</v>
      </c>
      <c r="D29" s="50"/>
      <c r="F29" s="11" t="s">
        <v>108</v>
      </c>
      <c r="G29" s="48">
        <f t="shared" si="2"/>
        <v>1</v>
      </c>
      <c r="H29" s="48">
        <f t="shared" si="1"/>
        <v>2</v>
      </c>
      <c r="I29" s="48">
        <f t="shared" si="1"/>
        <v>2</v>
      </c>
      <c r="J29" s="48">
        <f t="shared" si="1"/>
        <v>2</v>
      </c>
      <c r="K29" s="48">
        <f t="shared" si="1"/>
        <v>2</v>
      </c>
      <c r="L29" s="48">
        <f t="shared" si="1"/>
        <v>2</v>
      </c>
      <c r="M29" s="48">
        <f t="shared" si="1"/>
        <v>2</v>
      </c>
      <c r="N29" s="48">
        <f t="shared" si="1"/>
        <v>2</v>
      </c>
      <c r="O29" s="48">
        <f t="shared" si="1"/>
        <v>3</v>
      </c>
      <c r="P29" s="48">
        <f t="shared" si="1"/>
        <v>3</v>
      </c>
      <c r="Q29" s="48">
        <f t="shared" si="1"/>
        <v>3</v>
      </c>
      <c r="R29" s="48">
        <f t="shared" si="1"/>
        <v>3</v>
      </c>
      <c r="S29" s="48">
        <f t="shared" si="1"/>
        <v>3</v>
      </c>
      <c r="T29" s="48">
        <f t="shared" si="1"/>
        <v>3</v>
      </c>
      <c r="U29" s="48">
        <f t="shared" si="1"/>
        <v>3</v>
      </c>
      <c r="V29" s="48">
        <f t="shared" si="1"/>
        <v>4</v>
      </c>
      <c r="W29" s="48">
        <f t="shared" si="1"/>
        <v>4</v>
      </c>
      <c r="X29" s="48">
        <f t="shared" si="1"/>
        <v>4</v>
      </c>
      <c r="Y29" s="48">
        <f t="shared" si="1"/>
        <v>4</v>
      </c>
      <c r="Z29" s="48">
        <f t="shared" si="1"/>
        <v>4</v>
      </c>
      <c r="AA29" s="48">
        <f t="shared" si="1"/>
        <v>4</v>
      </c>
      <c r="AB29" s="48">
        <f t="shared" si="1"/>
        <v>4</v>
      </c>
      <c r="AC29" s="48">
        <f t="shared" si="1"/>
        <v>5</v>
      </c>
      <c r="AD29" s="48">
        <f t="shared" si="1"/>
        <v>5</v>
      </c>
      <c r="AE29" s="48">
        <f t="shared" si="1"/>
        <v>5</v>
      </c>
      <c r="AF29" s="48">
        <f t="shared" si="1"/>
        <v>5</v>
      </c>
      <c r="AG29" s="48">
        <f t="shared" si="1"/>
        <v>5</v>
      </c>
      <c r="AH29" s="48">
        <f t="shared" si="1"/>
        <v>5</v>
      </c>
      <c r="AI29" s="48">
        <f t="shared" si="1"/>
        <v>5</v>
      </c>
      <c r="AJ29" s="48">
        <f t="shared" si="1"/>
        <v>6</v>
      </c>
      <c r="AK29" s="48">
        <f t="shared" si="1"/>
        <v>0</v>
      </c>
    </row>
    <row r="30" spans="1:37" x14ac:dyDescent="0.25">
      <c r="A30" s="1" t="s">
        <v>29</v>
      </c>
      <c r="B30" s="1" t="str">
        <f>LEFT(Услуги[[#This Row],[Соц. Услуги]],Ограничение[Кол-во симв.])</f>
        <v>29. Смена постельного белья</v>
      </c>
      <c r="C30" s="51">
        <v>0</v>
      </c>
      <c r="D30" s="50"/>
      <c r="F30" s="11" t="s">
        <v>110</v>
      </c>
      <c r="G30" s="48">
        <f t="shared" si="2"/>
        <v>1</v>
      </c>
      <c r="H30" s="48">
        <f t="shared" ref="H30:AK32" si="3">IF(H16="",0,ROUNDUP(DAY(H16)/7,0)+(WEEKDAY(H16-DAY(H16)+1,11)&gt;WEEKDAY(H16,11)))</f>
        <v>1</v>
      </c>
      <c r="I30" s="48">
        <f t="shared" si="3"/>
        <v>1</v>
      </c>
      <c r="J30" s="48">
        <f t="shared" si="3"/>
        <v>1</v>
      </c>
      <c r="K30" s="48">
        <f t="shared" si="3"/>
        <v>1</v>
      </c>
      <c r="L30" s="48">
        <f t="shared" si="3"/>
        <v>1</v>
      </c>
      <c r="M30" s="48">
        <f t="shared" si="3"/>
        <v>2</v>
      </c>
      <c r="N30" s="48">
        <f t="shared" si="3"/>
        <v>2</v>
      </c>
      <c r="O30" s="48">
        <f t="shared" si="3"/>
        <v>2</v>
      </c>
      <c r="P30" s="48">
        <f t="shared" si="3"/>
        <v>2</v>
      </c>
      <c r="Q30" s="48">
        <f t="shared" si="3"/>
        <v>2</v>
      </c>
      <c r="R30" s="48">
        <f t="shared" si="3"/>
        <v>2</v>
      </c>
      <c r="S30" s="48">
        <f t="shared" si="3"/>
        <v>2</v>
      </c>
      <c r="T30" s="48">
        <f t="shared" si="3"/>
        <v>3</v>
      </c>
      <c r="U30" s="48">
        <f t="shared" si="3"/>
        <v>3</v>
      </c>
      <c r="V30" s="48">
        <f t="shared" si="3"/>
        <v>3</v>
      </c>
      <c r="W30" s="48">
        <f t="shared" si="3"/>
        <v>3</v>
      </c>
      <c r="X30" s="48">
        <f t="shared" si="3"/>
        <v>3</v>
      </c>
      <c r="Y30" s="48">
        <f t="shared" si="3"/>
        <v>3</v>
      </c>
      <c r="Z30" s="48">
        <f t="shared" si="3"/>
        <v>3</v>
      </c>
      <c r="AA30" s="48">
        <f t="shared" si="3"/>
        <v>4</v>
      </c>
      <c r="AB30" s="48">
        <f t="shared" si="3"/>
        <v>4</v>
      </c>
      <c r="AC30" s="48">
        <f t="shared" si="3"/>
        <v>4</v>
      </c>
      <c r="AD30" s="48">
        <f t="shared" si="3"/>
        <v>4</v>
      </c>
      <c r="AE30" s="48">
        <f t="shared" si="3"/>
        <v>4</v>
      </c>
      <c r="AF30" s="48">
        <f t="shared" si="3"/>
        <v>4</v>
      </c>
      <c r="AG30" s="48">
        <f t="shared" si="3"/>
        <v>4</v>
      </c>
      <c r="AH30" s="48">
        <f t="shared" si="3"/>
        <v>5</v>
      </c>
      <c r="AI30" s="48">
        <f t="shared" si="3"/>
        <v>5</v>
      </c>
      <c r="AJ30" s="48">
        <f t="shared" si="3"/>
        <v>5</v>
      </c>
      <c r="AK30" s="48">
        <f t="shared" si="3"/>
        <v>5</v>
      </c>
    </row>
    <row r="31" spans="1:37" x14ac:dyDescent="0.25">
      <c r="A31" s="1" t="s">
        <v>30</v>
      </c>
      <c r="B31" s="1" t="str">
        <f>LEFT(Услуги[[#This Row],[Соц. Услуги]],Ограничение[Кол-во симв.])</f>
        <v>30. Помощь при смене постельного белья</v>
      </c>
      <c r="C31" s="51">
        <v>0</v>
      </c>
      <c r="D31" s="50"/>
      <c r="F31" s="11" t="s">
        <v>120</v>
      </c>
      <c r="G31" s="48">
        <f t="shared" si="2"/>
        <v>1</v>
      </c>
      <c r="H31" s="48">
        <f t="shared" si="3"/>
        <v>1</v>
      </c>
      <c r="I31" s="48">
        <f t="shared" si="3"/>
        <v>1</v>
      </c>
      <c r="J31" s="48">
        <f t="shared" si="3"/>
        <v>2</v>
      </c>
      <c r="K31" s="48">
        <f t="shared" si="3"/>
        <v>2</v>
      </c>
      <c r="L31" s="48">
        <f t="shared" si="3"/>
        <v>2</v>
      </c>
      <c r="M31" s="48">
        <f t="shared" si="3"/>
        <v>2</v>
      </c>
      <c r="N31" s="48">
        <f t="shared" si="3"/>
        <v>2</v>
      </c>
      <c r="O31" s="48">
        <f t="shared" si="3"/>
        <v>2</v>
      </c>
      <c r="P31" s="48">
        <f t="shared" si="3"/>
        <v>2</v>
      </c>
      <c r="Q31" s="48">
        <f t="shared" si="3"/>
        <v>3</v>
      </c>
      <c r="R31" s="48">
        <f t="shared" si="3"/>
        <v>3</v>
      </c>
      <c r="S31" s="48">
        <f t="shared" si="3"/>
        <v>3</v>
      </c>
      <c r="T31" s="48">
        <f t="shared" si="3"/>
        <v>3</v>
      </c>
      <c r="U31" s="48">
        <f t="shared" si="3"/>
        <v>3</v>
      </c>
      <c r="V31" s="48">
        <f t="shared" si="3"/>
        <v>3</v>
      </c>
      <c r="W31" s="48">
        <f t="shared" si="3"/>
        <v>3</v>
      </c>
      <c r="X31" s="48">
        <f t="shared" si="3"/>
        <v>4</v>
      </c>
      <c r="Y31" s="48">
        <f t="shared" si="3"/>
        <v>4</v>
      </c>
      <c r="Z31" s="48">
        <f t="shared" si="3"/>
        <v>4</v>
      </c>
      <c r="AA31" s="48">
        <f t="shared" si="3"/>
        <v>4</v>
      </c>
      <c r="AB31" s="48">
        <f t="shared" si="3"/>
        <v>4</v>
      </c>
      <c r="AC31" s="48">
        <f t="shared" si="3"/>
        <v>4</v>
      </c>
      <c r="AD31" s="48">
        <f t="shared" si="3"/>
        <v>4</v>
      </c>
      <c r="AE31" s="48">
        <f t="shared" si="3"/>
        <v>5</v>
      </c>
      <c r="AF31" s="48">
        <f t="shared" si="3"/>
        <v>5</v>
      </c>
      <c r="AG31" s="48">
        <f t="shared" si="3"/>
        <v>5</v>
      </c>
      <c r="AH31" s="48">
        <f t="shared" si="3"/>
        <v>5</v>
      </c>
      <c r="AI31" s="48">
        <f t="shared" si="3"/>
        <v>5</v>
      </c>
      <c r="AJ31" s="48">
        <f t="shared" si="3"/>
        <v>5</v>
      </c>
      <c r="AK31" s="48">
        <f t="shared" si="3"/>
        <v>0</v>
      </c>
    </row>
    <row r="32" spans="1:37" x14ac:dyDescent="0.25">
      <c r="A32" s="1" t="s">
        <v>31</v>
      </c>
      <c r="B32" s="1" t="str">
        <f>LEFT(Услуги[[#This Row],[Соц. Услуги]],Ограничение[Кол-во симв.])</f>
        <v xml:space="preserve">31. Смена абсорбирующего белья, включая </v>
      </c>
      <c r="C32" s="51">
        <v>0</v>
      </c>
      <c r="D32" s="50"/>
      <c r="F32" s="11" t="s">
        <v>121</v>
      </c>
      <c r="G32" s="48">
        <f t="shared" si="2"/>
        <v>1</v>
      </c>
      <c r="H32" s="48">
        <f t="shared" si="3"/>
        <v>2</v>
      </c>
      <c r="I32" s="48">
        <f t="shared" si="3"/>
        <v>2</v>
      </c>
      <c r="J32" s="48">
        <f t="shared" si="3"/>
        <v>2</v>
      </c>
      <c r="K32" s="48">
        <f t="shared" si="3"/>
        <v>2</v>
      </c>
      <c r="L32" s="48">
        <f t="shared" si="3"/>
        <v>2</v>
      </c>
      <c r="M32" s="48">
        <f t="shared" si="3"/>
        <v>2</v>
      </c>
      <c r="N32" s="48">
        <f t="shared" si="3"/>
        <v>2</v>
      </c>
      <c r="O32" s="48">
        <f t="shared" si="3"/>
        <v>3</v>
      </c>
      <c r="P32" s="48">
        <f t="shared" si="3"/>
        <v>3</v>
      </c>
      <c r="Q32" s="48">
        <f t="shared" si="3"/>
        <v>3</v>
      </c>
      <c r="R32" s="48">
        <f t="shared" si="3"/>
        <v>3</v>
      </c>
      <c r="S32" s="48">
        <f t="shared" si="3"/>
        <v>3</v>
      </c>
      <c r="T32" s="48">
        <f t="shared" si="3"/>
        <v>3</v>
      </c>
      <c r="U32" s="48">
        <f t="shared" si="3"/>
        <v>3</v>
      </c>
      <c r="V32" s="48">
        <f t="shared" si="3"/>
        <v>4</v>
      </c>
      <c r="W32" s="48">
        <f t="shared" si="3"/>
        <v>4</v>
      </c>
      <c r="X32" s="48">
        <f t="shared" si="3"/>
        <v>4</v>
      </c>
      <c r="Y32" s="48">
        <f t="shared" si="3"/>
        <v>4</v>
      </c>
      <c r="Z32" s="48">
        <f t="shared" si="3"/>
        <v>4</v>
      </c>
      <c r="AA32" s="48">
        <f t="shared" si="3"/>
        <v>4</v>
      </c>
      <c r="AB32" s="48">
        <f t="shared" si="3"/>
        <v>4</v>
      </c>
      <c r="AC32" s="48">
        <f t="shared" si="3"/>
        <v>5</v>
      </c>
      <c r="AD32" s="48">
        <f t="shared" si="3"/>
        <v>5</v>
      </c>
      <c r="AE32" s="48">
        <f t="shared" si="3"/>
        <v>5</v>
      </c>
      <c r="AF32" s="48">
        <f t="shared" si="3"/>
        <v>5</v>
      </c>
      <c r="AG32" s="48">
        <f t="shared" si="3"/>
        <v>5</v>
      </c>
      <c r="AH32" s="48">
        <f t="shared" si="3"/>
        <v>5</v>
      </c>
      <c r="AI32" s="48">
        <f t="shared" si="3"/>
        <v>5</v>
      </c>
      <c r="AJ32" s="48">
        <f t="shared" si="3"/>
        <v>6</v>
      </c>
      <c r="AK32" s="48">
        <f t="shared" si="3"/>
        <v>6</v>
      </c>
    </row>
    <row r="33" spans="1:38" x14ac:dyDescent="0.25">
      <c r="A33" s="1" t="s">
        <v>32</v>
      </c>
      <c r="B33" s="1" t="str">
        <f>LEFT(Услуги[[#This Row],[Соц. Услуги]],Ограничение[Кол-во симв.])</f>
        <v>32. Помощь при смене абсорбирующего бель</v>
      </c>
      <c r="C33" s="51">
        <v>0</v>
      </c>
      <c r="D33" s="50"/>
    </row>
    <row r="34" spans="1:38" x14ac:dyDescent="0.25">
      <c r="A34" s="1" t="s">
        <v>33</v>
      </c>
      <c r="B34" s="1" t="str">
        <f>LEFT(Услуги[[#This Row],[Соц. Услуги]],Ограничение[Кол-во симв.])</f>
        <v>33. Помощь при пользовании туалетом (ины</v>
      </c>
      <c r="C34" s="51">
        <v>0</v>
      </c>
      <c r="D34" s="50"/>
      <c r="F34" s="54" t="s">
        <v>119</v>
      </c>
      <c r="L34" s="54" t="s">
        <v>119</v>
      </c>
      <c r="V34" s="54" t="s">
        <v>119</v>
      </c>
      <c r="AE34" s="54" t="s">
        <v>119</v>
      </c>
      <c r="AK34" s="54" t="s">
        <v>119</v>
      </c>
    </row>
    <row r="35" spans="1:38" x14ac:dyDescent="0.25">
      <c r="A35" s="1" t="s">
        <v>34</v>
      </c>
      <c r="B35" s="1" t="str">
        <f>LEFT(Услуги[[#This Row],[Соц. Услуги]],Ограничение[Кол-во симв.])</f>
        <v>34. Замена мочеприемника и (или) калопри</v>
      </c>
      <c r="C35" s="51">
        <v>0</v>
      </c>
      <c r="D35" s="50"/>
      <c r="F35" s="3" t="s">
        <v>142</v>
      </c>
      <c r="G35" s="3" t="s">
        <v>75</v>
      </c>
      <c r="H35" s="3" t="s">
        <v>76</v>
      </c>
      <c r="I35" s="3" t="s">
        <v>77</v>
      </c>
      <c r="J35" s="3" t="s">
        <v>78</v>
      </c>
      <c r="K35" s="3" t="s">
        <v>79</v>
      </c>
      <c r="L35" s="3" t="s">
        <v>80</v>
      </c>
      <c r="M35" s="3" t="s">
        <v>81</v>
      </c>
      <c r="N35" s="3" t="s">
        <v>82</v>
      </c>
      <c r="O35" s="3" t="s">
        <v>83</v>
      </c>
      <c r="P35" s="3" t="s">
        <v>84</v>
      </c>
      <c r="Q35" s="3" t="s">
        <v>85</v>
      </c>
      <c r="R35" s="3" t="s">
        <v>86</v>
      </c>
      <c r="S35" s="3" t="s">
        <v>87</v>
      </c>
      <c r="T35" s="3" t="s">
        <v>88</v>
      </c>
      <c r="U35" s="3" t="s">
        <v>89</v>
      </c>
      <c r="V35" s="3" t="s">
        <v>90</v>
      </c>
      <c r="W35" s="3" t="s">
        <v>91</v>
      </c>
      <c r="X35" s="3" t="s">
        <v>92</v>
      </c>
      <c r="Y35" s="3" t="s">
        <v>93</v>
      </c>
      <c r="Z35" s="3" t="s">
        <v>94</v>
      </c>
      <c r="AA35" s="3" t="s">
        <v>95</v>
      </c>
      <c r="AB35" s="3" t="s">
        <v>96</v>
      </c>
      <c r="AC35" s="3" t="s">
        <v>97</v>
      </c>
      <c r="AD35" s="3" t="s">
        <v>98</v>
      </c>
      <c r="AE35" s="3" t="s">
        <v>99</v>
      </c>
      <c r="AF35" s="3" t="s">
        <v>100</v>
      </c>
      <c r="AG35" s="3" t="s">
        <v>101</v>
      </c>
      <c r="AH35" s="3" t="s">
        <v>102</v>
      </c>
      <c r="AI35" s="3" t="s">
        <v>103</v>
      </c>
      <c r="AJ35" s="3" t="s">
        <v>104</v>
      </c>
      <c r="AK35" s="3" t="s">
        <v>113</v>
      </c>
    </row>
    <row r="36" spans="1:38" x14ac:dyDescent="0.25">
      <c r="A36" s="1" t="s">
        <v>35</v>
      </c>
      <c r="B36" s="1" t="str">
        <f>LEFT(Услуги[[#This Row],[Соц. Услуги]],Ограничение[Кол-во симв.])</f>
        <v>35. Помощь при замене мочеприемника и (и</v>
      </c>
      <c r="C36" s="51">
        <v>0</v>
      </c>
      <c r="D36" s="50"/>
      <c r="F36" s="1">
        <v>1</v>
      </c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18"/>
    </row>
    <row r="37" spans="1:38" x14ac:dyDescent="0.25">
      <c r="A37" s="1" t="s">
        <v>36</v>
      </c>
      <c r="B37" s="1" t="str">
        <f>LEFT(Услуги[[#This Row],[Соц. Услуги]],Ограничение[Кол-во симв.])</f>
        <v>36. Позиционирование</v>
      </c>
      <c r="C37" s="51">
        <v>0</v>
      </c>
      <c r="D37" s="50"/>
      <c r="F37" s="53">
        <v>2</v>
      </c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19"/>
    </row>
    <row r="38" spans="1:38" x14ac:dyDescent="0.25">
      <c r="A38" s="1" t="s">
        <v>37</v>
      </c>
      <c r="B38" s="1" t="str">
        <f>LEFT(Услуги[[#This Row],[Соц. Услуги]],Ограничение[Кол-во симв.])</f>
        <v>37. Помощь при позиционировании</v>
      </c>
      <c r="C38" s="51">
        <v>0</v>
      </c>
      <c r="D38" s="50"/>
      <c r="F38" s="53">
        <v>3</v>
      </c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</row>
    <row r="39" spans="1:38" x14ac:dyDescent="0.25">
      <c r="A39" s="1" t="s">
        <v>38</v>
      </c>
      <c r="B39" s="1" t="str">
        <f>LEFT(Услуги[[#This Row],[Соц. Услуги]],Ограничение[Кол-во симв.])</f>
        <v>38. Пересаживание</v>
      </c>
      <c r="C39" s="51">
        <v>0</v>
      </c>
      <c r="D39" s="50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18"/>
    </row>
    <row r="40" spans="1:38" x14ac:dyDescent="0.25">
      <c r="A40" s="1" t="s">
        <v>39</v>
      </c>
      <c r="B40" s="1" t="str">
        <f>LEFT(Услуги[[#This Row],[Соц. Услуги]],Ограничение[Кол-во симв.])</f>
        <v>39. Помощь при пересаживании.</v>
      </c>
      <c r="C40" s="51">
        <v>0</v>
      </c>
      <c r="D40" s="50"/>
      <c r="F40" s="54" t="s">
        <v>118</v>
      </c>
      <c r="H40" s="19"/>
      <c r="I40" s="19"/>
      <c r="J40" s="19"/>
      <c r="K40" s="19"/>
      <c r="L40" s="54" t="s">
        <v>118</v>
      </c>
      <c r="M40" s="19"/>
      <c r="N40" s="19"/>
      <c r="O40" s="19"/>
      <c r="P40" s="19"/>
      <c r="Q40" s="19"/>
      <c r="R40" s="19"/>
      <c r="S40" s="19"/>
      <c r="T40" s="19"/>
      <c r="U40" s="19"/>
      <c r="V40" s="54" t="s">
        <v>118</v>
      </c>
      <c r="W40" s="19"/>
      <c r="X40" s="19"/>
      <c r="Y40" s="19"/>
      <c r="Z40" s="19"/>
      <c r="AA40" s="19"/>
      <c r="AB40" s="54" t="s">
        <v>118</v>
      </c>
      <c r="AC40" s="19"/>
      <c r="AD40" s="19"/>
      <c r="AE40" s="19"/>
      <c r="AF40" s="19"/>
      <c r="AG40" s="19"/>
      <c r="AH40" s="19"/>
      <c r="AI40" s="54" t="s">
        <v>118</v>
      </c>
      <c r="AJ40" s="19"/>
      <c r="AK40" s="19"/>
      <c r="AL40" s="19"/>
    </row>
    <row r="41" spans="1:38" x14ac:dyDescent="0.25">
      <c r="A41" s="1" t="s">
        <v>40</v>
      </c>
      <c r="B41" s="1" t="str">
        <f>LEFT(Услуги[[#This Row],[Соц. Услуги]],Ограничение[Кол-во симв.])</f>
        <v>40. Помощь при передвижении по помещению</v>
      </c>
      <c r="C41" s="51">
        <v>0</v>
      </c>
      <c r="D41" s="50"/>
      <c r="F41" s="1" t="s">
        <v>142</v>
      </c>
      <c r="G41" s="1" t="s">
        <v>75</v>
      </c>
      <c r="H41" s="1" t="s">
        <v>76</v>
      </c>
      <c r="I41" s="1" t="s">
        <v>77</v>
      </c>
      <c r="J41" s="1" t="s">
        <v>78</v>
      </c>
      <c r="K41" s="1" t="s">
        <v>79</v>
      </c>
      <c r="L41" s="1" t="s">
        <v>80</v>
      </c>
      <c r="M41" s="1" t="s">
        <v>81</v>
      </c>
      <c r="N41" s="1" t="s">
        <v>82</v>
      </c>
      <c r="O41" s="1" t="s">
        <v>83</v>
      </c>
      <c r="P41" s="1" t="s">
        <v>84</v>
      </c>
      <c r="Q41" s="1" t="s">
        <v>85</v>
      </c>
      <c r="R41" s="1" t="s">
        <v>86</v>
      </c>
      <c r="S41" s="1" t="s">
        <v>87</v>
      </c>
      <c r="T41" s="1" t="s">
        <v>88</v>
      </c>
      <c r="U41" s="1" t="s">
        <v>89</v>
      </c>
      <c r="V41" s="1" t="s">
        <v>90</v>
      </c>
      <c r="W41" s="1" t="s">
        <v>91</v>
      </c>
      <c r="X41" s="1" t="s">
        <v>92</v>
      </c>
      <c r="Y41" s="1" t="s">
        <v>93</v>
      </c>
      <c r="Z41" s="1" t="s">
        <v>94</v>
      </c>
      <c r="AA41" s="1" t="s">
        <v>95</v>
      </c>
      <c r="AB41" s="1" t="s">
        <v>96</v>
      </c>
      <c r="AC41" s="1" t="s">
        <v>97</v>
      </c>
      <c r="AD41" s="1" t="s">
        <v>98</v>
      </c>
      <c r="AE41" s="1" t="s">
        <v>99</v>
      </c>
      <c r="AF41" s="1" t="s">
        <v>100</v>
      </c>
      <c r="AG41" s="1" t="s">
        <v>101</v>
      </c>
      <c r="AH41" s="1" t="s">
        <v>102</v>
      </c>
      <c r="AI41" s="1" t="s">
        <v>103</v>
      </c>
    </row>
    <row r="42" spans="1:38" x14ac:dyDescent="0.25">
      <c r="A42" s="1" t="s">
        <v>41</v>
      </c>
      <c r="B42" s="1" t="str">
        <f>LEFT(Услуги[[#This Row],[Соц. Услуги]],Ограничение[Кол-во симв.])</f>
        <v>41. Измерение температуры тела, артериал</v>
      </c>
      <c r="C42" s="51">
        <v>0</v>
      </c>
      <c r="D42" s="50"/>
      <c r="F42" s="1">
        <v>1</v>
      </c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18"/>
    </row>
    <row r="43" spans="1:38" x14ac:dyDescent="0.25">
      <c r="A43" s="1" t="s">
        <v>42</v>
      </c>
      <c r="B43" s="1" t="str">
        <f>LEFT(Услуги[[#This Row],[Соц. Услуги]],Ограничение[Кол-во симв.])</f>
        <v>42. Помощь в соблюдении медицинских реко</v>
      </c>
      <c r="C43" s="51">
        <v>0</v>
      </c>
      <c r="D43" s="50"/>
      <c r="F43" s="1">
        <v>2</v>
      </c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</row>
    <row r="44" spans="1:38" x14ac:dyDescent="0.25">
      <c r="A44" s="1" t="s">
        <v>43</v>
      </c>
      <c r="B44" s="1" t="str">
        <f>LEFT(Услуги[[#This Row],[Соц. Услуги]],Ограничение[Кол-во симв.])</f>
        <v xml:space="preserve">43. Подготовка лекарственных препаратов </v>
      </c>
      <c r="C44" s="51">
        <v>0</v>
      </c>
      <c r="D44" s="50"/>
      <c r="F44" s="1">
        <v>3</v>
      </c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</row>
    <row r="45" spans="1:38" x14ac:dyDescent="0.25">
      <c r="A45" s="1" t="s">
        <v>44</v>
      </c>
      <c r="B45" s="1" t="str">
        <f>LEFT(Услуги[[#This Row],[Соц. Услуги]],Ограничение[Кол-во симв.])</f>
        <v>44. Помощь в соблюдении приема лекарстве</v>
      </c>
      <c r="C45" s="51">
        <v>0</v>
      </c>
      <c r="D45" s="50"/>
    </row>
    <row r="46" spans="1:38" x14ac:dyDescent="0.25">
      <c r="A46" s="1" t="s">
        <v>45</v>
      </c>
      <c r="B46" s="1" t="str">
        <f>LEFT(Услуги[[#This Row],[Соц. Услуги]],Ограничение[Кол-во симв.])</f>
        <v>45. Помощь в использовании очков и (или)</v>
      </c>
      <c r="C46" s="51">
        <v>0</v>
      </c>
      <c r="D46" s="50"/>
      <c r="F46" s="54" t="s">
        <v>117</v>
      </c>
      <c r="H46" s="19"/>
      <c r="I46" s="19"/>
      <c r="J46" s="19"/>
      <c r="K46" s="19"/>
      <c r="L46" s="54" t="s">
        <v>117</v>
      </c>
      <c r="M46" s="19"/>
      <c r="N46" s="19"/>
      <c r="O46" s="19"/>
      <c r="P46" s="19"/>
      <c r="Q46" s="19"/>
      <c r="R46" s="19"/>
      <c r="S46" s="19"/>
      <c r="T46" s="19"/>
      <c r="U46" s="19"/>
      <c r="V46" s="54" t="s">
        <v>117</v>
      </c>
      <c r="W46" s="19"/>
      <c r="X46" s="19"/>
      <c r="Y46" s="19"/>
      <c r="Z46" s="19"/>
      <c r="AA46" s="19"/>
      <c r="AB46" s="19"/>
      <c r="AC46" s="54" t="s">
        <v>117</v>
      </c>
      <c r="AD46" s="19"/>
      <c r="AE46" s="19"/>
      <c r="AF46" s="19"/>
      <c r="AG46" s="19"/>
      <c r="AH46" s="19"/>
      <c r="AI46" s="19"/>
      <c r="AJ46" s="19"/>
      <c r="AK46" s="54" t="s">
        <v>117</v>
      </c>
    </row>
    <row r="47" spans="1:38" x14ac:dyDescent="0.25">
      <c r="A47" s="1" t="s">
        <v>46</v>
      </c>
      <c r="B47" s="1" t="str">
        <f>LEFT(Услуги[[#This Row],[Соц. Услуги]],Ограничение[Кол-во симв.])</f>
        <v xml:space="preserve">46. Помощь в использовании протезов или </v>
      </c>
      <c r="C47" s="51">
        <v>0</v>
      </c>
      <c r="D47" s="50"/>
      <c r="F47" s="1" t="s">
        <v>142</v>
      </c>
      <c r="G47" s="1" t="s">
        <v>75</v>
      </c>
      <c r="H47" s="1" t="s">
        <v>76</v>
      </c>
      <c r="I47" s="1" t="s">
        <v>77</v>
      </c>
      <c r="J47" s="1" t="s">
        <v>78</v>
      </c>
      <c r="K47" s="1" t="s">
        <v>79</v>
      </c>
      <c r="L47" s="1" t="s">
        <v>80</v>
      </c>
      <c r="M47" s="1" t="s">
        <v>81</v>
      </c>
      <c r="N47" s="1" t="s">
        <v>82</v>
      </c>
      <c r="O47" s="1" t="s">
        <v>83</v>
      </c>
      <c r="P47" s="1" t="s">
        <v>84</v>
      </c>
      <c r="Q47" s="1" t="s">
        <v>85</v>
      </c>
      <c r="R47" s="1" t="s">
        <v>86</v>
      </c>
      <c r="S47" s="1" t="s">
        <v>87</v>
      </c>
      <c r="T47" s="1" t="s">
        <v>88</v>
      </c>
      <c r="U47" s="1" t="s">
        <v>89</v>
      </c>
      <c r="V47" s="1" t="s">
        <v>90</v>
      </c>
      <c r="W47" s="1" t="s">
        <v>91</v>
      </c>
      <c r="X47" s="1" t="s">
        <v>92</v>
      </c>
      <c r="Y47" s="1" t="s">
        <v>93</v>
      </c>
      <c r="Z47" s="1" t="s">
        <v>94</v>
      </c>
      <c r="AA47" s="1" t="s">
        <v>95</v>
      </c>
      <c r="AB47" s="1" t="s">
        <v>96</v>
      </c>
      <c r="AC47" s="1" t="s">
        <v>97</v>
      </c>
      <c r="AD47" s="1" t="s">
        <v>98</v>
      </c>
      <c r="AE47" s="1" t="s">
        <v>99</v>
      </c>
      <c r="AF47" s="1" t="s">
        <v>100</v>
      </c>
      <c r="AG47" s="1" t="s">
        <v>101</v>
      </c>
      <c r="AH47" s="1" t="s">
        <v>102</v>
      </c>
      <c r="AI47" s="1" t="s">
        <v>103</v>
      </c>
      <c r="AJ47" s="1" t="s">
        <v>104</v>
      </c>
      <c r="AK47" s="1" t="s">
        <v>113</v>
      </c>
    </row>
    <row r="48" spans="1:38" x14ac:dyDescent="0.25">
      <c r="A48" s="1" t="s">
        <v>47</v>
      </c>
      <c r="B48" s="1" t="str">
        <f>LEFT(Услуги[[#This Row],[Соц. Услуги]],Ограничение[Кол-во симв.])</f>
        <v>47. Помощь в поддержании посильной социа</v>
      </c>
      <c r="C48" s="51">
        <v>0</v>
      </c>
      <c r="D48" s="50"/>
      <c r="F48" s="1">
        <v>1</v>
      </c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</row>
    <row r="49" spans="1:37" x14ac:dyDescent="0.25">
      <c r="A49" s="1" t="s">
        <v>48</v>
      </c>
      <c r="B49" s="1" t="str">
        <f>LEFT(Услуги[[#This Row],[Соц. Услуги]],Ограничение[Кол-во симв.])</f>
        <v>48. Помощь в поддержании  посильной физи</v>
      </c>
      <c r="C49" s="51">
        <v>0</v>
      </c>
      <c r="D49" s="50"/>
      <c r="F49" s="1">
        <v>2</v>
      </c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</row>
    <row r="50" spans="1:37" x14ac:dyDescent="0.25">
      <c r="A50" s="1" t="s">
        <v>49</v>
      </c>
      <c r="B50" s="1" t="str">
        <f>LEFT(Услуги[[#This Row],[Соц. Услуги]],Ограничение[Кол-во симв.])</f>
        <v>49. Помощь в поддержании посильной бытов</v>
      </c>
      <c r="C50" s="51">
        <v>0</v>
      </c>
      <c r="D50" s="50"/>
      <c r="F50" s="1">
        <v>3</v>
      </c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</row>
    <row r="51" spans="1:37" x14ac:dyDescent="0.25">
      <c r="A51" s="1" t="s">
        <v>50</v>
      </c>
      <c r="B51" s="1" t="str">
        <f>LEFT(Услуги[[#This Row],[Соц. Услуги]],Ограничение[Кол-во симв.])</f>
        <v>50. Помощь в поддержании когнитивных фун</v>
      </c>
      <c r="C51" s="51">
        <v>0</v>
      </c>
      <c r="D51" s="50"/>
    </row>
    <row r="52" spans="1:37" x14ac:dyDescent="0.25">
      <c r="F52" s="54" t="s">
        <v>116</v>
      </c>
      <c r="H52" s="19"/>
      <c r="I52" s="19"/>
      <c r="J52" s="19"/>
      <c r="K52" s="19"/>
      <c r="L52" s="54" t="s">
        <v>116</v>
      </c>
      <c r="M52" s="19"/>
      <c r="N52" s="19"/>
      <c r="O52" s="19"/>
      <c r="P52" s="19"/>
      <c r="Q52" s="19"/>
      <c r="R52" s="19"/>
      <c r="S52" s="19"/>
      <c r="T52" s="19"/>
      <c r="U52" s="19"/>
      <c r="V52" s="54" t="s">
        <v>116</v>
      </c>
      <c r="W52" s="19"/>
      <c r="X52" s="19"/>
      <c r="Y52" s="19"/>
      <c r="Z52" s="19"/>
      <c r="AA52" s="19"/>
      <c r="AB52" s="19"/>
      <c r="AC52" s="54" t="s">
        <v>116</v>
      </c>
      <c r="AD52" s="19"/>
      <c r="AE52" s="19"/>
      <c r="AF52" s="19"/>
      <c r="AG52" s="19"/>
      <c r="AH52" s="19"/>
      <c r="AI52" s="19"/>
      <c r="AJ52" s="54" t="s">
        <v>116</v>
      </c>
      <c r="AK52" s="19"/>
    </row>
    <row r="53" spans="1:37" x14ac:dyDescent="0.25">
      <c r="F53" s="1" t="s">
        <v>142</v>
      </c>
      <c r="G53" s="1" t="s">
        <v>75</v>
      </c>
      <c r="H53" s="1" t="s">
        <v>76</v>
      </c>
      <c r="I53" s="1" t="s">
        <v>77</v>
      </c>
      <c r="J53" s="1" t="s">
        <v>78</v>
      </c>
      <c r="K53" s="1" t="s">
        <v>79</v>
      </c>
      <c r="L53" s="1" t="s">
        <v>80</v>
      </c>
      <c r="M53" s="1" t="s">
        <v>81</v>
      </c>
      <c r="N53" s="1" t="s">
        <v>82</v>
      </c>
      <c r="O53" s="1" t="s">
        <v>83</v>
      </c>
      <c r="P53" s="1" t="s">
        <v>84</v>
      </c>
      <c r="Q53" s="1" t="s">
        <v>85</v>
      </c>
      <c r="R53" s="1" t="s">
        <v>86</v>
      </c>
      <c r="S53" s="1" t="s">
        <v>87</v>
      </c>
      <c r="T53" s="1" t="s">
        <v>88</v>
      </c>
      <c r="U53" s="1" t="s">
        <v>89</v>
      </c>
      <c r="V53" s="1" t="s">
        <v>90</v>
      </c>
      <c r="W53" s="1" t="s">
        <v>91</v>
      </c>
      <c r="X53" s="1" t="s">
        <v>92</v>
      </c>
      <c r="Y53" s="1" t="s">
        <v>93</v>
      </c>
      <c r="Z53" s="1" t="s">
        <v>94</v>
      </c>
      <c r="AA53" s="1" t="s">
        <v>95</v>
      </c>
      <c r="AB53" s="1" t="s">
        <v>96</v>
      </c>
      <c r="AC53" s="1" t="s">
        <v>97</v>
      </c>
      <c r="AD53" s="1" t="s">
        <v>98</v>
      </c>
      <c r="AE53" s="1" t="s">
        <v>99</v>
      </c>
      <c r="AF53" s="1" t="s">
        <v>100</v>
      </c>
      <c r="AG53" s="1" t="s">
        <v>101</v>
      </c>
      <c r="AH53" s="1" t="s">
        <v>102</v>
      </c>
      <c r="AI53" s="1" t="s">
        <v>103</v>
      </c>
      <c r="AJ53" s="1" t="s">
        <v>104</v>
      </c>
    </row>
    <row r="54" spans="1:37" x14ac:dyDescent="0.25">
      <c r="F54" s="1">
        <v>1</v>
      </c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</row>
    <row r="55" spans="1:37" x14ac:dyDescent="0.25">
      <c r="F55" s="1">
        <v>2</v>
      </c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</row>
    <row r="56" spans="1:37" x14ac:dyDescent="0.25">
      <c r="F56" s="1">
        <v>3</v>
      </c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</row>
    <row r="58" spans="1:37" x14ac:dyDescent="0.25">
      <c r="F58" s="54" t="s">
        <v>115</v>
      </c>
      <c r="H58" s="19"/>
      <c r="I58" s="19"/>
      <c r="J58" s="19"/>
      <c r="K58" s="19"/>
      <c r="L58" s="54" t="s">
        <v>115</v>
      </c>
      <c r="M58" s="19"/>
      <c r="N58" s="19"/>
      <c r="O58" s="19"/>
      <c r="P58" s="19"/>
      <c r="Q58" s="19"/>
      <c r="R58" s="19"/>
      <c r="S58" s="19"/>
      <c r="T58" s="19"/>
      <c r="U58" s="19"/>
      <c r="V58" s="54" t="s">
        <v>115</v>
      </c>
      <c r="W58" s="19"/>
      <c r="X58" s="19"/>
      <c r="Y58" s="19"/>
      <c r="Z58" s="19"/>
      <c r="AA58" s="19"/>
      <c r="AB58" s="19"/>
      <c r="AC58" s="54" t="s">
        <v>115</v>
      </c>
      <c r="AD58" s="19"/>
      <c r="AE58" s="19"/>
      <c r="AF58" s="19"/>
      <c r="AG58" s="19"/>
      <c r="AH58" s="19"/>
      <c r="AI58" s="19"/>
      <c r="AJ58" s="19"/>
      <c r="AK58" s="54" t="s">
        <v>115</v>
      </c>
    </row>
    <row r="59" spans="1:37" x14ac:dyDescent="0.25">
      <c r="F59" s="1" t="s">
        <v>142</v>
      </c>
      <c r="G59" s="1" t="s">
        <v>75</v>
      </c>
      <c r="H59" s="1" t="s">
        <v>76</v>
      </c>
      <c r="I59" s="1" t="s">
        <v>77</v>
      </c>
      <c r="J59" s="1" t="s">
        <v>78</v>
      </c>
      <c r="K59" s="1" t="s">
        <v>79</v>
      </c>
      <c r="L59" s="1" t="s">
        <v>80</v>
      </c>
      <c r="M59" s="1" t="s">
        <v>81</v>
      </c>
      <c r="N59" s="1" t="s">
        <v>82</v>
      </c>
      <c r="O59" s="1" t="s">
        <v>83</v>
      </c>
      <c r="P59" s="1" t="s">
        <v>84</v>
      </c>
      <c r="Q59" s="1" t="s">
        <v>85</v>
      </c>
      <c r="R59" s="1" t="s">
        <v>86</v>
      </c>
      <c r="S59" s="1" t="s">
        <v>87</v>
      </c>
      <c r="T59" s="1" t="s">
        <v>88</v>
      </c>
      <c r="U59" s="1" t="s">
        <v>89</v>
      </c>
      <c r="V59" s="1" t="s">
        <v>90</v>
      </c>
      <c r="W59" s="1" t="s">
        <v>91</v>
      </c>
      <c r="X59" s="1" t="s">
        <v>92</v>
      </c>
      <c r="Y59" s="1" t="s">
        <v>93</v>
      </c>
      <c r="Z59" s="1" t="s">
        <v>94</v>
      </c>
      <c r="AA59" s="1" t="s">
        <v>95</v>
      </c>
      <c r="AB59" s="1" t="s">
        <v>96</v>
      </c>
      <c r="AC59" s="1" t="s">
        <v>97</v>
      </c>
      <c r="AD59" s="1" t="s">
        <v>98</v>
      </c>
      <c r="AE59" s="1" t="s">
        <v>99</v>
      </c>
      <c r="AF59" s="1" t="s">
        <v>100</v>
      </c>
      <c r="AG59" s="1" t="s">
        <v>101</v>
      </c>
      <c r="AH59" s="1" t="s">
        <v>102</v>
      </c>
      <c r="AI59" s="1" t="s">
        <v>103</v>
      </c>
      <c r="AJ59" s="1" t="s">
        <v>104</v>
      </c>
      <c r="AK59" s="1" t="s">
        <v>113</v>
      </c>
    </row>
    <row r="60" spans="1:37" x14ac:dyDescent="0.25">
      <c r="F60" s="1">
        <v>1</v>
      </c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</row>
    <row r="61" spans="1:37" x14ac:dyDescent="0.25">
      <c r="F61" s="1">
        <v>2</v>
      </c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</row>
    <row r="62" spans="1:37" x14ac:dyDescent="0.25">
      <c r="F62" s="1">
        <v>3</v>
      </c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</row>
    <row r="64" spans="1:37" x14ac:dyDescent="0.25">
      <c r="F64" s="54" t="s">
        <v>114</v>
      </c>
      <c r="H64" s="19"/>
      <c r="I64" s="19"/>
      <c r="J64" s="19"/>
      <c r="K64" s="19"/>
      <c r="L64" s="54" t="s">
        <v>114</v>
      </c>
      <c r="M64" s="19"/>
      <c r="N64" s="19"/>
      <c r="O64" s="19"/>
      <c r="P64" s="19"/>
      <c r="Q64" s="19"/>
      <c r="R64" s="19"/>
      <c r="S64" s="19"/>
      <c r="T64" s="19"/>
      <c r="U64" s="19"/>
      <c r="V64" s="54" t="s">
        <v>114</v>
      </c>
      <c r="W64" s="19"/>
      <c r="X64" s="19"/>
      <c r="Y64" s="19"/>
      <c r="Z64" s="19"/>
      <c r="AA64" s="19"/>
      <c r="AB64" s="54" t="s">
        <v>114</v>
      </c>
      <c r="AC64" s="19"/>
      <c r="AD64" s="19"/>
      <c r="AE64" s="19"/>
      <c r="AF64" s="19"/>
      <c r="AG64" s="19"/>
      <c r="AH64" s="19"/>
      <c r="AI64" s="19"/>
      <c r="AJ64" s="54" t="s">
        <v>114</v>
      </c>
      <c r="AK64" s="19"/>
    </row>
    <row r="65" spans="6:37" x14ac:dyDescent="0.25">
      <c r="F65" s="1" t="s">
        <v>142</v>
      </c>
      <c r="G65" s="1" t="s">
        <v>75</v>
      </c>
      <c r="H65" s="1" t="s">
        <v>76</v>
      </c>
      <c r="I65" s="1" t="s">
        <v>77</v>
      </c>
      <c r="J65" s="1" t="s">
        <v>78</v>
      </c>
      <c r="K65" s="1" t="s">
        <v>79</v>
      </c>
      <c r="L65" s="1" t="s">
        <v>80</v>
      </c>
      <c r="M65" s="1" t="s">
        <v>81</v>
      </c>
      <c r="N65" s="1" t="s">
        <v>82</v>
      </c>
      <c r="O65" s="1" t="s">
        <v>83</v>
      </c>
      <c r="P65" s="1" t="s">
        <v>84</v>
      </c>
      <c r="Q65" s="1" t="s">
        <v>85</v>
      </c>
      <c r="R65" s="1" t="s">
        <v>86</v>
      </c>
      <c r="S65" s="1" t="s">
        <v>87</v>
      </c>
      <c r="T65" s="1" t="s">
        <v>88</v>
      </c>
      <c r="U65" s="1" t="s">
        <v>89</v>
      </c>
      <c r="V65" s="1" t="s">
        <v>90</v>
      </c>
      <c r="W65" s="1" t="s">
        <v>91</v>
      </c>
      <c r="X65" s="1" t="s">
        <v>92</v>
      </c>
      <c r="Y65" s="1" t="s">
        <v>93</v>
      </c>
      <c r="Z65" s="1" t="s">
        <v>94</v>
      </c>
      <c r="AA65" s="1" t="s">
        <v>95</v>
      </c>
      <c r="AB65" s="1" t="s">
        <v>96</v>
      </c>
      <c r="AC65" s="1" t="s">
        <v>97</v>
      </c>
      <c r="AD65" s="1" t="s">
        <v>98</v>
      </c>
      <c r="AE65" s="1" t="s">
        <v>99</v>
      </c>
      <c r="AF65" s="1" t="s">
        <v>100</v>
      </c>
      <c r="AG65" s="1" t="s">
        <v>101</v>
      </c>
      <c r="AH65" s="1" t="s">
        <v>102</v>
      </c>
      <c r="AI65" s="1" t="s">
        <v>103</v>
      </c>
      <c r="AJ65" s="1" t="s">
        <v>104</v>
      </c>
    </row>
    <row r="66" spans="6:37" x14ac:dyDescent="0.25">
      <c r="F66" s="1">
        <v>1</v>
      </c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</row>
    <row r="67" spans="6:37" x14ac:dyDescent="0.25">
      <c r="F67" s="1">
        <v>2</v>
      </c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</row>
    <row r="68" spans="6:37" x14ac:dyDescent="0.25">
      <c r="F68" s="1">
        <v>3</v>
      </c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</row>
    <row r="70" spans="6:37" x14ac:dyDescent="0.25">
      <c r="F70" s="54" t="s">
        <v>112</v>
      </c>
      <c r="H70" s="19"/>
      <c r="I70" s="19"/>
      <c r="J70" s="19"/>
      <c r="K70" s="19"/>
      <c r="L70" s="54" t="s">
        <v>112</v>
      </c>
      <c r="M70" s="19"/>
      <c r="N70" s="19"/>
      <c r="O70" s="19"/>
      <c r="P70" s="19"/>
      <c r="Q70" s="19"/>
      <c r="R70" s="19"/>
      <c r="S70" s="19"/>
      <c r="T70" s="19"/>
      <c r="U70" s="19"/>
      <c r="V70" s="54" t="s">
        <v>112</v>
      </c>
      <c r="W70" s="19"/>
      <c r="X70" s="19"/>
      <c r="Y70" s="19"/>
      <c r="Z70" s="19"/>
      <c r="AA70" s="19"/>
      <c r="AB70" s="19"/>
      <c r="AC70" s="54" t="s">
        <v>112</v>
      </c>
      <c r="AD70" s="19"/>
      <c r="AE70" s="19"/>
      <c r="AF70" s="19"/>
      <c r="AG70" s="19"/>
      <c r="AH70" s="19"/>
      <c r="AI70" s="19"/>
      <c r="AJ70" s="19"/>
      <c r="AK70" s="54" t="s">
        <v>112</v>
      </c>
    </row>
    <row r="71" spans="6:37" x14ac:dyDescent="0.25">
      <c r="F71" s="1" t="s">
        <v>142</v>
      </c>
      <c r="G71" s="1" t="s">
        <v>75</v>
      </c>
      <c r="H71" s="1" t="s">
        <v>76</v>
      </c>
      <c r="I71" s="1" t="s">
        <v>77</v>
      </c>
      <c r="J71" s="1" t="s">
        <v>78</v>
      </c>
      <c r="K71" s="1" t="s">
        <v>79</v>
      </c>
      <c r="L71" s="1" t="s">
        <v>80</v>
      </c>
      <c r="M71" s="1" t="s">
        <v>81</v>
      </c>
      <c r="N71" s="1" t="s">
        <v>82</v>
      </c>
      <c r="O71" s="1" t="s">
        <v>83</v>
      </c>
      <c r="P71" s="1" t="s">
        <v>84</v>
      </c>
      <c r="Q71" s="1" t="s">
        <v>85</v>
      </c>
      <c r="R71" s="1" t="s">
        <v>86</v>
      </c>
      <c r="S71" s="1" t="s">
        <v>87</v>
      </c>
      <c r="T71" s="1" t="s">
        <v>88</v>
      </c>
      <c r="U71" s="1" t="s">
        <v>89</v>
      </c>
      <c r="V71" s="1" t="s">
        <v>90</v>
      </c>
      <c r="W71" s="1" t="s">
        <v>91</v>
      </c>
      <c r="X71" s="1" t="s">
        <v>92</v>
      </c>
      <c r="Y71" s="1" t="s">
        <v>93</v>
      </c>
      <c r="Z71" s="1" t="s">
        <v>94</v>
      </c>
      <c r="AA71" s="1" t="s">
        <v>95</v>
      </c>
      <c r="AB71" s="1" t="s">
        <v>96</v>
      </c>
      <c r="AC71" s="1" t="s">
        <v>97</v>
      </c>
      <c r="AD71" s="1" t="s">
        <v>98</v>
      </c>
      <c r="AE71" s="1" t="s">
        <v>99</v>
      </c>
      <c r="AF71" s="1" t="s">
        <v>100</v>
      </c>
      <c r="AG71" s="1" t="s">
        <v>101</v>
      </c>
      <c r="AH71" s="1" t="s">
        <v>102</v>
      </c>
      <c r="AI71" s="1" t="s">
        <v>103</v>
      </c>
      <c r="AJ71" s="1" t="s">
        <v>104</v>
      </c>
      <c r="AK71" s="1" t="s">
        <v>113</v>
      </c>
    </row>
    <row r="72" spans="6:37" x14ac:dyDescent="0.25">
      <c r="F72" s="1">
        <v>1</v>
      </c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</row>
    <row r="73" spans="6:37" x14ac:dyDescent="0.25">
      <c r="F73" s="1">
        <v>2</v>
      </c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</row>
    <row r="74" spans="6:37" x14ac:dyDescent="0.25">
      <c r="F74" s="1">
        <v>3</v>
      </c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</row>
    <row r="76" spans="6:37" x14ac:dyDescent="0.25">
      <c r="F76" s="54" t="s">
        <v>111</v>
      </c>
      <c r="H76" s="19"/>
      <c r="I76" s="19"/>
      <c r="J76" s="19"/>
      <c r="K76" s="19"/>
      <c r="L76" s="54" t="s">
        <v>111</v>
      </c>
      <c r="M76" s="19"/>
      <c r="N76" s="19"/>
      <c r="O76" s="19"/>
      <c r="P76" s="19"/>
      <c r="Q76" s="19"/>
      <c r="R76" s="19"/>
      <c r="S76" s="19"/>
      <c r="T76" s="19"/>
      <c r="U76" s="19"/>
      <c r="V76" s="54" t="s">
        <v>111</v>
      </c>
      <c r="W76" s="19"/>
      <c r="X76" s="19"/>
      <c r="Y76" s="19"/>
      <c r="Z76" s="19"/>
      <c r="AA76" s="19"/>
      <c r="AB76" s="54" t="s">
        <v>111</v>
      </c>
      <c r="AD76" s="19"/>
      <c r="AE76" s="19"/>
      <c r="AF76" s="19"/>
      <c r="AG76" s="19"/>
      <c r="AH76" s="19"/>
      <c r="AI76" s="19"/>
      <c r="AJ76" s="19"/>
      <c r="AK76" s="54" t="s">
        <v>111</v>
      </c>
    </row>
    <row r="77" spans="6:37" x14ac:dyDescent="0.25">
      <c r="F77" s="1" t="s">
        <v>142</v>
      </c>
      <c r="G77" s="1" t="s">
        <v>75</v>
      </c>
      <c r="H77" s="1" t="s">
        <v>76</v>
      </c>
      <c r="I77" s="1" t="s">
        <v>77</v>
      </c>
      <c r="J77" s="1" t="s">
        <v>78</v>
      </c>
      <c r="K77" s="1" t="s">
        <v>79</v>
      </c>
      <c r="L77" s="1" t="s">
        <v>80</v>
      </c>
      <c r="M77" s="1" t="s">
        <v>81</v>
      </c>
      <c r="N77" s="1" t="s">
        <v>82</v>
      </c>
      <c r="O77" s="1" t="s">
        <v>83</v>
      </c>
      <c r="P77" s="1" t="s">
        <v>84</v>
      </c>
      <c r="Q77" s="1" t="s">
        <v>85</v>
      </c>
      <c r="R77" s="1" t="s">
        <v>86</v>
      </c>
      <c r="S77" s="1" t="s">
        <v>87</v>
      </c>
      <c r="T77" s="1" t="s">
        <v>88</v>
      </c>
      <c r="U77" s="1" t="s">
        <v>89</v>
      </c>
      <c r="V77" s="1" t="s">
        <v>90</v>
      </c>
      <c r="W77" s="1" t="s">
        <v>91</v>
      </c>
      <c r="X77" s="1" t="s">
        <v>92</v>
      </c>
      <c r="Y77" s="1" t="s">
        <v>93</v>
      </c>
      <c r="Z77" s="1" t="s">
        <v>94</v>
      </c>
      <c r="AA77" s="1" t="s">
        <v>95</v>
      </c>
      <c r="AB77" s="1" t="s">
        <v>96</v>
      </c>
      <c r="AC77" s="1" t="s">
        <v>97</v>
      </c>
      <c r="AD77" s="1" t="s">
        <v>98</v>
      </c>
      <c r="AE77" s="1" t="s">
        <v>99</v>
      </c>
      <c r="AF77" s="1" t="s">
        <v>100</v>
      </c>
      <c r="AG77" s="1" t="s">
        <v>101</v>
      </c>
      <c r="AH77" s="1" t="s">
        <v>102</v>
      </c>
      <c r="AI77" s="1" t="s">
        <v>103</v>
      </c>
      <c r="AJ77" s="1" t="s">
        <v>104</v>
      </c>
      <c r="AK77" s="1" t="s">
        <v>113</v>
      </c>
    </row>
    <row r="78" spans="6:37" x14ac:dyDescent="0.25">
      <c r="F78" s="1">
        <v>1</v>
      </c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</row>
    <row r="79" spans="6:37" x14ac:dyDescent="0.25">
      <c r="F79" s="1">
        <v>2</v>
      </c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</row>
    <row r="80" spans="6:37" x14ac:dyDescent="0.25">
      <c r="F80" s="1">
        <v>3</v>
      </c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</row>
    <row r="82" spans="6:37" x14ac:dyDescent="0.25">
      <c r="F82" s="54" t="s">
        <v>108</v>
      </c>
      <c r="H82" s="19"/>
      <c r="I82" s="19"/>
      <c r="J82" s="19"/>
      <c r="K82" s="19"/>
      <c r="L82" s="54" t="s">
        <v>108</v>
      </c>
      <c r="M82" s="19"/>
      <c r="N82" s="19"/>
      <c r="O82" s="19"/>
      <c r="P82" s="19"/>
      <c r="Q82" s="19"/>
      <c r="R82" s="19"/>
      <c r="S82" s="19"/>
      <c r="T82" s="19"/>
      <c r="U82" s="19"/>
      <c r="V82" s="54" t="s">
        <v>108</v>
      </c>
      <c r="W82" s="19"/>
      <c r="X82" s="19"/>
      <c r="Y82" s="19"/>
      <c r="Z82" s="19"/>
      <c r="AA82" s="19"/>
      <c r="AB82" s="54" t="s">
        <v>108</v>
      </c>
      <c r="AC82" s="19"/>
      <c r="AD82" s="19"/>
      <c r="AE82" s="19"/>
      <c r="AF82" s="19"/>
      <c r="AG82" s="19"/>
      <c r="AH82" s="19"/>
      <c r="AI82" s="19"/>
      <c r="AJ82" s="54" t="s">
        <v>108</v>
      </c>
      <c r="AK82" s="19"/>
    </row>
    <row r="83" spans="6:37" x14ac:dyDescent="0.25">
      <c r="F83" s="1" t="s">
        <v>142</v>
      </c>
      <c r="G83" s="1" t="s">
        <v>75</v>
      </c>
      <c r="H83" s="1" t="s">
        <v>76</v>
      </c>
      <c r="I83" s="1" t="s">
        <v>77</v>
      </c>
      <c r="J83" s="1" t="s">
        <v>78</v>
      </c>
      <c r="K83" s="1" t="s">
        <v>79</v>
      </c>
      <c r="L83" s="1" t="s">
        <v>80</v>
      </c>
      <c r="M83" s="1" t="s">
        <v>81</v>
      </c>
      <c r="N83" s="1" t="s">
        <v>82</v>
      </c>
      <c r="O83" s="1" t="s">
        <v>83</v>
      </c>
      <c r="P83" s="1" t="s">
        <v>84</v>
      </c>
      <c r="Q83" s="1" t="s">
        <v>85</v>
      </c>
      <c r="R83" s="1" t="s">
        <v>86</v>
      </c>
      <c r="S83" s="1" t="s">
        <v>87</v>
      </c>
      <c r="T83" s="1" t="s">
        <v>88</v>
      </c>
      <c r="U83" s="1" t="s">
        <v>89</v>
      </c>
      <c r="V83" s="1" t="s">
        <v>90</v>
      </c>
      <c r="W83" s="1" t="s">
        <v>91</v>
      </c>
      <c r="X83" s="1" t="s">
        <v>92</v>
      </c>
      <c r="Y83" s="1" t="s">
        <v>93</v>
      </c>
      <c r="Z83" s="1" t="s">
        <v>94</v>
      </c>
      <c r="AA83" s="1" t="s">
        <v>95</v>
      </c>
      <c r="AB83" s="1" t="s">
        <v>96</v>
      </c>
      <c r="AC83" s="1" t="s">
        <v>97</v>
      </c>
      <c r="AD83" s="1" t="s">
        <v>98</v>
      </c>
      <c r="AE83" s="1" t="s">
        <v>99</v>
      </c>
      <c r="AF83" s="1" t="s">
        <v>100</v>
      </c>
      <c r="AG83" s="1" t="s">
        <v>101</v>
      </c>
      <c r="AH83" s="1" t="s">
        <v>102</v>
      </c>
      <c r="AI83" s="1" t="s">
        <v>103</v>
      </c>
      <c r="AJ83" s="1" t="s">
        <v>104</v>
      </c>
    </row>
    <row r="84" spans="6:37" x14ac:dyDescent="0.25">
      <c r="F84" s="1">
        <v>1</v>
      </c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</row>
    <row r="85" spans="6:37" x14ac:dyDescent="0.25">
      <c r="F85" s="1">
        <v>2</v>
      </c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</row>
    <row r="86" spans="6:37" x14ac:dyDescent="0.25">
      <c r="F86" s="1">
        <v>3</v>
      </c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</row>
    <row r="88" spans="6:37" x14ac:dyDescent="0.25">
      <c r="F88" s="54" t="s">
        <v>110</v>
      </c>
      <c r="H88" s="19"/>
      <c r="I88" s="19"/>
      <c r="J88" s="19"/>
      <c r="K88" s="19"/>
      <c r="L88" s="54" t="s">
        <v>110</v>
      </c>
      <c r="M88" s="19"/>
      <c r="N88" s="19"/>
      <c r="O88" s="19"/>
      <c r="P88" s="19"/>
      <c r="Q88" s="19"/>
      <c r="R88" s="19"/>
      <c r="S88" s="19"/>
      <c r="T88" s="19"/>
      <c r="U88" s="19"/>
      <c r="V88" s="54" t="s">
        <v>110</v>
      </c>
      <c r="W88" s="19"/>
      <c r="X88" s="19"/>
      <c r="Y88" s="19"/>
      <c r="Z88" s="19"/>
      <c r="AA88" s="19"/>
      <c r="AB88" s="54" t="s">
        <v>110</v>
      </c>
      <c r="AD88" s="19"/>
      <c r="AE88" s="19"/>
      <c r="AF88" s="19"/>
      <c r="AG88" s="19"/>
      <c r="AH88" s="19"/>
      <c r="AI88" s="19"/>
      <c r="AJ88" s="19"/>
      <c r="AK88" s="54" t="s">
        <v>110</v>
      </c>
    </row>
    <row r="89" spans="6:37" x14ac:dyDescent="0.25">
      <c r="F89" s="1" t="s">
        <v>142</v>
      </c>
      <c r="G89" s="1" t="s">
        <v>75</v>
      </c>
      <c r="H89" s="1" t="s">
        <v>76</v>
      </c>
      <c r="I89" s="1" t="s">
        <v>77</v>
      </c>
      <c r="J89" s="1" t="s">
        <v>78</v>
      </c>
      <c r="K89" s="1" t="s">
        <v>79</v>
      </c>
      <c r="L89" s="1" t="s">
        <v>80</v>
      </c>
      <c r="M89" s="1" t="s">
        <v>81</v>
      </c>
      <c r="N89" s="1" t="s">
        <v>82</v>
      </c>
      <c r="O89" s="1" t="s">
        <v>83</v>
      </c>
      <c r="P89" s="1" t="s">
        <v>84</v>
      </c>
      <c r="Q89" s="1" t="s">
        <v>85</v>
      </c>
      <c r="R89" s="1" t="s">
        <v>86</v>
      </c>
      <c r="S89" s="1" t="s">
        <v>87</v>
      </c>
      <c r="T89" s="1" t="s">
        <v>88</v>
      </c>
      <c r="U89" s="1" t="s">
        <v>89</v>
      </c>
      <c r="V89" s="1" t="s">
        <v>90</v>
      </c>
      <c r="W89" s="1" t="s">
        <v>91</v>
      </c>
      <c r="X89" s="1" t="s">
        <v>92</v>
      </c>
      <c r="Y89" s="1" t="s">
        <v>93</v>
      </c>
      <c r="Z89" s="1" t="s">
        <v>94</v>
      </c>
      <c r="AA89" s="1" t="s">
        <v>95</v>
      </c>
      <c r="AB89" s="1" t="s">
        <v>96</v>
      </c>
      <c r="AC89" s="1" t="s">
        <v>97</v>
      </c>
      <c r="AD89" s="1" t="s">
        <v>98</v>
      </c>
      <c r="AE89" s="1" t="s">
        <v>99</v>
      </c>
      <c r="AF89" s="1" t="s">
        <v>100</v>
      </c>
      <c r="AG89" s="1" t="s">
        <v>101</v>
      </c>
      <c r="AH89" s="1" t="s">
        <v>102</v>
      </c>
      <c r="AI89" s="1" t="s">
        <v>103</v>
      </c>
      <c r="AJ89" s="1" t="s">
        <v>104</v>
      </c>
      <c r="AK89" s="1" t="s">
        <v>113</v>
      </c>
    </row>
    <row r="90" spans="6:37" x14ac:dyDescent="0.25">
      <c r="F90" s="1">
        <v>1</v>
      </c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</row>
    <row r="91" spans="6:37" x14ac:dyDescent="0.25">
      <c r="F91" s="1">
        <v>2</v>
      </c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</row>
    <row r="92" spans="6:37" x14ac:dyDescent="0.25">
      <c r="F92" s="1">
        <v>3</v>
      </c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</row>
    <row r="94" spans="6:37" x14ac:dyDescent="0.25">
      <c r="F94" s="54" t="s">
        <v>120</v>
      </c>
      <c r="H94" s="19"/>
      <c r="I94" s="19"/>
      <c r="J94" s="19"/>
      <c r="K94" s="19"/>
      <c r="L94" s="54" t="s">
        <v>120</v>
      </c>
      <c r="M94" s="19"/>
      <c r="N94" s="19"/>
      <c r="O94" s="19"/>
      <c r="P94" s="19"/>
      <c r="Q94" s="19"/>
      <c r="R94" s="19"/>
      <c r="S94" s="19"/>
      <c r="T94" s="19"/>
      <c r="U94" s="19"/>
      <c r="V94" s="54" t="s">
        <v>120</v>
      </c>
      <c r="W94" s="19"/>
      <c r="X94" s="19"/>
      <c r="Y94" s="19"/>
      <c r="Z94" s="19"/>
      <c r="AA94" s="19"/>
      <c r="AB94" s="54" t="s">
        <v>120</v>
      </c>
      <c r="AC94" s="19"/>
      <c r="AD94" s="19"/>
      <c r="AE94" s="19"/>
      <c r="AF94" s="19"/>
      <c r="AG94" s="19"/>
      <c r="AH94" s="19"/>
      <c r="AI94" s="19"/>
      <c r="AJ94" s="54" t="s">
        <v>120</v>
      </c>
      <c r="AK94" s="19"/>
    </row>
    <row r="95" spans="6:37" x14ac:dyDescent="0.25">
      <c r="F95" s="1" t="s">
        <v>142</v>
      </c>
      <c r="G95" s="1" t="s">
        <v>75</v>
      </c>
      <c r="H95" s="1" t="s">
        <v>76</v>
      </c>
      <c r="I95" s="1" t="s">
        <v>77</v>
      </c>
      <c r="J95" s="1" t="s">
        <v>78</v>
      </c>
      <c r="K95" s="1" t="s">
        <v>79</v>
      </c>
      <c r="L95" s="1" t="s">
        <v>80</v>
      </c>
      <c r="M95" s="1" t="s">
        <v>81</v>
      </c>
      <c r="N95" s="1" t="s">
        <v>82</v>
      </c>
      <c r="O95" s="1" t="s">
        <v>83</v>
      </c>
      <c r="P95" s="1" t="s">
        <v>84</v>
      </c>
      <c r="Q95" s="1" t="s">
        <v>85</v>
      </c>
      <c r="R95" s="1" t="s">
        <v>86</v>
      </c>
      <c r="S95" s="1" t="s">
        <v>87</v>
      </c>
      <c r="T95" s="1" t="s">
        <v>88</v>
      </c>
      <c r="U95" s="1" t="s">
        <v>89</v>
      </c>
      <c r="V95" s="1" t="s">
        <v>90</v>
      </c>
      <c r="W95" s="1" t="s">
        <v>91</v>
      </c>
      <c r="X95" s="1" t="s">
        <v>92</v>
      </c>
      <c r="Y95" s="1" t="s">
        <v>93</v>
      </c>
      <c r="Z95" s="1" t="s">
        <v>94</v>
      </c>
      <c r="AA95" s="1" t="s">
        <v>95</v>
      </c>
      <c r="AB95" s="1" t="s">
        <v>96</v>
      </c>
      <c r="AC95" s="1" t="s">
        <v>97</v>
      </c>
      <c r="AD95" s="1" t="s">
        <v>98</v>
      </c>
      <c r="AE95" s="1" t="s">
        <v>99</v>
      </c>
      <c r="AF95" s="1" t="s">
        <v>100</v>
      </c>
      <c r="AG95" s="1" t="s">
        <v>101</v>
      </c>
      <c r="AH95" s="1" t="s">
        <v>102</v>
      </c>
      <c r="AI95" s="1" t="s">
        <v>103</v>
      </c>
      <c r="AJ95" s="1" t="s">
        <v>104</v>
      </c>
    </row>
    <row r="96" spans="6:37" x14ac:dyDescent="0.25">
      <c r="F96" s="1">
        <v>1</v>
      </c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</row>
    <row r="97" spans="6:37" x14ac:dyDescent="0.25">
      <c r="F97" s="1">
        <v>2</v>
      </c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</row>
    <row r="98" spans="6:37" x14ac:dyDescent="0.25">
      <c r="F98" s="1">
        <v>3</v>
      </c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</row>
    <row r="100" spans="6:37" x14ac:dyDescent="0.25">
      <c r="F100" s="54" t="s">
        <v>121</v>
      </c>
      <c r="H100" s="19"/>
      <c r="I100" s="19"/>
      <c r="J100" s="19"/>
      <c r="K100" s="19"/>
      <c r="L100" s="54" t="s">
        <v>121</v>
      </c>
      <c r="M100" s="19"/>
      <c r="N100" s="19"/>
      <c r="O100" s="19"/>
      <c r="P100" s="19"/>
      <c r="Q100" s="19"/>
      <c r="R100" s="19"/>
      <c r="S100" s="19"/>
      <c r="T100" s="19"/>
      <c r="U100" s="19"/>
      <c r="V100" s="54" t="s">
        <v>121</v>
      </c>
      <c r="W100" s="19"/>
      <c r="X100" s="19"/>
      <c r="Y100" s="19"/>
      <c r="Z100" s="19"/>
      <c r="AA100" s="19"/>
      <c r="AB100" s="54" t="s">
        <v>121</v>
      </c>
      <c r="AC100" s="19"/>
      <c r="AD100" s="19"/>
      <c r="AE100" s="19"/>
      <c r="AF100" s="19"/>
      <c r="AG100" s="19"/>
      <c r="AH100" s="19"/>
      <c r="AI100" s="19"/>
      <c r="AJ100" s="19"/>
      <c r="AK100" s="54" t="s">
        <v>121</v>
      </c>
    </row>
    <row r="101" spans="6:37" x14ac:dyDescent="0.25">
      <c r="F101" s="1" t="s">
        <v>142</v>
      </c>
      <c r="G101" s="1" t="s">
        <v>75</v>
      </c>
      <c r="H101" s="1" t="s">
        <v>76</v>
      </c>
      <c r="I101" s="1" t="s">
        <v>77</v>
      </c>
      <c r="J101" s="1" t="s">
        <v>78</v>
      </c>
      <c r="K101" s="1" t="s">
        <v>79</v>
      </c>
      <c r="L101" s="1" t="s">
        <v>80</v>
      </c>
      <c r="M101" s="1" t="s">
        <v>81</v>
      </c>
      <c r="N101" s="1" t="s">
        <v>82</v>
      </c>
      <c r="O101" s="1" t="s">
        <v>83</v>
      </c>
      <c r="P101" s="1" t="s">
        <v>84</v>
      </c>
      <c r="Q101" s="1" t="s">
        <v>85</v>
      </c>
      <c r="R101" s="1" t="s">
        <v>86</v>
      </c>
      <c r="S101" s="1" t="s">
        <v>87</v>
      </c>
      <c r="T101" s="1" t="s">
        <v>88</v>
      </c>
      <c r="U101" s="1" t="s">
        <v>89</v>
      </c>
      <c r="V101" s="1" t="s">
        <v>90</v>
      </c>
      <c r="W101" s="1" t="s">
        <v>91</v>
      </c>
      <c r="X101" s="1" t="s">
        <v>92</v>
      </c>
      <c r="Y101" s="1" t="s">
        <v>93</v>
      </c>
      <c r="Z101" s="1" t="s">
        <v>94</v>
      </c>
      <c r="AA101" s="1" t="s">
        <v>95</v>
      </c>
      <c r="AB101" s="1" t="s">
        <v>96</v>
      </c>
      <c r="AC101" s="1" t="s">
        <v>97</v>
      </c>
      <c r="AD101" s="1" t="s">
        <v>98</v>
      </c>
      <c r="AE101" s="1" t="s">
        <v>99</v>
      </c>
      <c r="AF101" s="1" t="s">
        <v>100</v>
      </c>
      <c r="AG101" s="1" t="s">
        <v>101</v>
      </c>
      <c r="AH101" s="1" t="s">
        <v>102</v>
      </c>
      <c r="AI101" s="1" t="s">
        <v>103</v>
      </c>
      <c r="AJ101" s="1" t="s">
        <v>104</v>
      </c>
      <c r="AK101" s="1" t="s">
        <v>113</v>
      </c>
    </row>
    <row r="102" spans="6:37" x14ac:dyDescent="0.25">
      <c r="F102" s="1">
        <v>1</v>
      </c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</row>
    <row r="103" spans="6:37" x14ac:dyDescent="0.25">
      <c r="F103" s="1">
        <v>2</v>
      </c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</row>
    <row r="104" spans="6:37" x14ac:dyDescent="0.25">
      <c r="F104" s="1">
        <v>3</v>
      </c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</row>
    <row r="106" spans="6:37" x14ac:dyDescent="0.25"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</row>
    <row r="108" spans="6:37" x14ac:dyDescent="0.25"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</row>
    <row r="109" spans="6:37" x14ac:dyDescent="0.25"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</row>
    <row r="110" spans="6:37" x14ac:dyDescent="0.25"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</row>
    <row r="112" spans="6:37" x14ac:dyDescent="0.25"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</row>
    <row r="114" spans="7:37" x14ac:dyDescent="0.25"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</row>
    <row r="115" spans="7:37" x14ac:dyDescent="0.25"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</row>
    <row r="116" spans="7:37" x14ac:dyDescent="0.25"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</row>
  </sheetData>
  <dataValidations disablePrompts="1" count="1">
    <dataValidation type="list" allowBlank="1" showInputMessage="1" showErrorMessage="1" sqref="F36:F38 F42:F44 F48:F50 F108:F110 F54:F56 F60:F62 F66:F68 F72:F74 F78:F80 F84:F86 F90:F92 F96:F98 F102:F104 F114:F116">
      <formula1>INDIRECT("Посещения")</formula1>
    </dataValidation>
  </dataValidations>
  <pageMargins left="0.7" right="0.7" top="0.75" bottom="0.75" header="0.3" footer="0.3"/>
  <pageSetup paperSize="9" orientation="portrait" horizontalDpi="0" verticalDpi="0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A2"/>
  <sheetViews>
    <sheetView workbookViewId="0">
      <selection activeCell="C1" sqref="C1"/>
    </sheetView>
  </sheetViews>
  <sheetFormatPr defaultRowHeight="15" x14ac:dyDescent="0.25"/>
  <cols>
    <col min="1" max="1" width="50" customWidth="1"/>
  </cols>
  <sheetData>
    <row r="1" spans="1:1" x14ac:dyDescent="0.25">
      <c r="A1" t="s">
        <v>139</v>
      </c>
    </row>
    <row r="2" spans="1:1" x14ac:dyDescent="0.25">
      <c r="A2" t="s">
        <v>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4" tint="0.39997558519241921"/>
    <pageSetUpPr fitToPage="1"/>
  </sheetPr>
  <dimension ref="A2:AL29"/>
  <sheetViews>
    <sheetView tabSelected="1" zoomScale="70" zoomScaleNormal="70" workbookViewId="0">
      <selection activeCell="D1" sqref="D1"/>
    </sheetView>
  </sheetViews>
  <sheetFormatPr defaultRowHeight="15.75" x14ac:dyDescent="0.25"/>
  <cols>
    <col min="1" max="1" width="21.42578125" style="3" customWidth="1"/>
    <col min="2" max="2" width="18.28515625" style="3" bestFit="1" customWidth="1"/>
    <col min="3" max="3" width="14.42578125" style="3" bestFit="1" customWidth="1"/>
    <col min="4" max="4" width="8.7109375" style="3" customWidth="1"/>
    <col min="5" max="17" width="4.42578125" style="3" bestFit="1" customWidth="1"/>
    <col min="18" max="18" width="6.42578125" style="3" bestFit="1" customWidth="1"/>
    <col min="19" max="35" width="4.42578125" style="3" bestFit="1" customWidth="1"/>
    <col min="36" max="36" width="9.5703125" style="3" bestFit="1" customWidth="1"/>
    <col min="37" max="37" width="10" style="3" bestFit="1" customWidth="1"/>
    <col min="38" max="38" width="14" style="3" bestFit="1" customWidth="1"/>
    <col min="39" max="16384" width="9.140625" style="3"/>
  </cols>
  <sheetData>
    <row r="2" spans="1:38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8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8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8" ht="18.75" x14ac:dyDescent="0.25">
      <c r="L5" s="10" t="s">
        <v>69</v>
      </c>
      <c r="M5" s="61" t="s">
        <v>128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7" spans="1:38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9"/>
      <c r="AJ7" s="63" t="s">
        <v>64</v>
      </c>
      <c r="AK7" s="64" t="s">
        <v>64</v>
      </c>
    </row>
    <row r="8" spans="1:38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78"/>
      <c r="AJ8" s="63"/>
      <c r="AK8" s="65"/>
    </row>
    <row r="9" spans="1:38" x14ac:dyDescent="0.25">
      <c r="A9" s="73"/>
      <c r="B9" s="76"/>
      <c r="C9" s="76"/>
      <c r="D9" s="82"/>
      <c r="E9" s="17">
        <f>Настройки!G7</f>
        <v>45292</v>
      </c>
      <c r="F9" s="17">
        <f>Настройки!H7</f>
        <v>45293</v>
      </c>
      <c r="G9" s="17">
        <f>Настройки!I7</f>
        <v>45294</v>
      </c>
      <c r="H9" s="17">
        <f>Настройки!J7</f>
        <v>45295</v>
      </c>
      <c r="I9" s="17">
        <f>Настройки!K7</f>
        <v>45296</v>
      </c>
      <c r="J9" s="17">
        <f>Настройки!L7</f>
        <v>45297</v>
      </c>
      <c r="K9" s="17">
        <f>Настройки!M7</f>
        <v>45298</v>
      </c>
      <c r="L9" s="17">
        <f>Настройки!N7</f>
        <v>45299</v>
      </c>
      <c r="M9" s="17">
        <f>Настройки!O7</f>
        <v>45300</v>
      </c>
      <c r="N9" s="17">
        <f>Настройки!P7</f>
        <v>45301</v>
      </c>
      <c r="O9" s="17">
        <f>Настройки!Q7</f>
        <v>45302</v>
      </c>
      <c r="P9" s="17">
        <f>Настройки!R7</f>
        <v>45303</v>
      </c>
      <c r="Q9" s="17">
        <f>Настройки!S7</f>
        <v>45304</v>
      </c>
      <c r="R9" s="17">
        <f>Настройки!T7</f>
        <v>45305</v>
      </c>
      <c r="S9" s="17">
        <f>Настройки!U7</f>
        <v>45306</v>
      </c>
      <c r="T9" s="17">
        <f>Настройки!V7</f>
        <v>45307</v>
      </c>
      <c r="U9" s="17">
        <f>Настройки!W7</f>
        <v>45308</v>
      </c>
      <c r="V9" s="17">
        <f>Настройки!X7</f>
        <v>45309</v>
      </c>
      <c r="W9" s="17">
        <f>Настройки!Y7</f>
        <v>45310</v>
      </c>
      <c r="X9" s="17">
        <f>Настройки!Z7</f>
        <v>45311</v>
      </c>
      <c r="Y9" s="17">
        <f>Настройки!AA7</f>
        <v>45312</v>
      </c>
      <c r="Z9" s="17">
        <f>Настройки!AB7</f>
        <v>45313</v>
      </c>
      <c r="AA9" s="17">
        <f>Настройки!AC7</f>
        <v>45314</v>
      </c>
      <c r="AB9" s="17">
        <f>Настройки!AD7</f>
        <v>45315</v>
      </c>
      <c r="AC9" s="17">
        <f>Настройки!AE7</f>
        <v>45316</v>
      </c>
      <c r="AD9" s="17">
        <f>Настройки!AF7</f>
        <v>45317</v>
      </c>
      <c r="AE9" s="17">
        <f>Настройки!AG7</f>
        <v>45318</v>
      </c>
      <c r="AF9" s="17">
        <f>Настройки!AH7</f>
        <v>45319</v>
      </c>
      <c r="AG9" s="17">
        <f>Настройки!AI7</f>
        <v>45320</v>
      </c>
      <c r="AH9" s="17">
        <f>Настройки!AJ7</f>
        <v>45321</v>
      </c>
      <c r="AI9" s="17">
        <f>Настройки!AK7</f>
        <v>45322</v>
      </c>
      <c r="AJ9" s="63"/>
      <c r="AK9" s="65"/>
    </row>
    <row r="10" spans="1:38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9"/>
      <c r="AJ10" s="63"/>
      <c r="AK10" s="65"/>
    </row>
    <row r="11" spans="1:38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2"/>
      <c r="AJ11" s="63"/>
      <c r="AK11" s="66"/>
    </row>
    <row r="12" spans="1:38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SUMPRODUCT((Настройки!$G$21:$AK$21=1)*E16:AI16)</f>
        <v>0</v>
      </c>
      <c r="D13" s="5">
        <v>1</v>
      </c>
      <c r="E13" s="23">
        <f>SUMPRODUCT((Январь[№]=1)*Январь[1],Январь[Объем])</f>
        <v>0</v>
      </c>
      <c r="F13" s="23">
        <f>SUMPRODUCT((Январь[№]=1)*Январь[2],Январь[Объем])</f>
        <v>0</v>
      </c>
      <c r="G13" s="23">
        <f>SUMPRODUCT((Январь[№]=1)*Январь[3],Январь[Объем])</f>
        <v>0</v>
      </c>
      <c r="H13" s="23">
        <f>SUMPRODUCT((Январь[№]=1)*Январь[4],Январь[Объем])</f>
        <v>0</v>
      </c>
      <c r="I13" s="23">
        <f>SUMPRODUCT((Январь[№]=1)*Январь[5],Январь[Объем])</f>
        <v>0</v>
      </c>
      <c r="J13" s="23">
        <f>SUMPRODUCT((Январь[№]=1)*Январь[6],Январь[Объем])</f>
        <v>0</v>
      </c>
      <c r="K13" s="23">
        <f>SUMPRODUCT((Январь[№]=1)*Январь[7],Январь[Объем])</f>
        <v>0</v>
      </c>
      <c r="L13" s="23">
        <f>SUMPRODUCT((Январь[№]=1)*Январь[8],Январь[Объем])</f>
        <v>0</v>
      </c>
      <c r="M13" s="23">
        <f>SUMPRODUCT((Январь[№]=1)*Январь[9],Январь[Объем])</f>
        <v>0</v>
      </c>
      <c r="N13" s="23">
        <f>SUMPRODUCT((Январь[№]=1)*Январь[10],Январь[Объем])</f>
        <v>0</v>
      </c>
      <c r="O13" s="23">
        <f>SUMPRODUCT((Январь[№]=1)*Январь[11],Январь[Объем])</f>
        <v>0</v>
      </c>
      <c r="P13" s="23">
        <f>SUMPRODUCT((Январь[№]=1)*Январь[12],Январь[Объем])</f>
        <v>0</v>
      </c>
      <c r="Q13" s="23">
        <f>SUMPRODUCT((Январь[№]=1)*Январь[13],Январь[Объем])</f>
        <v>0</v>
      </c>
      <c r="R13" s="23">
        <f>SUMPRODUCT((Январь[№]=1)*Январь[14],Январь[Объем])</f>
        <v>0</v>
      </c>
      <c r="S13" s="23">
        <f>SUMPRODUCT((Январь[№]=1)*Январь[15],Январь[Объем])</f>
        <v>0</v>
      </c>
      <c r="T13" s="23">
        <f>SUMPRODUCT((Январь[№]=1)*Январь[16],Январь[Объем])</f>
        <v>0</v>
      </c>
      <c r="U13" s="23">
        <f>SUMPRODUCT((Январь[№]=1)*Январь[17],Январь[Объем])</f>
        <v>0</v>
      </c>
      <c r="V13" s="23">
        <f>SUMPRODUCT((Январь[№]=1)*Январь[18],Январь[Объем])</f>
        <v>0</v>
      </c>
      <c r="W13" s="23">
        <f>SUMPRODUCT((Январь[№]=1)*Январь[19],Январь[Объем])</f>
        <v>0</v>
      </c>
      <c r="X13" s="23">
        <f>SUMPRODUCT((Январь[№]=1)*Январь[20],Январь[Объем])</f>
        <v>0</v>
      </c>
      <c r="Y13" s="23">
        <f>SUMPRODUCT((Январь[№]=1)*Январь[21],Январь[Объем])</f>
        <v>0</v>
      </c>
      <c r="Z13" s="23">
        <f>SUMPRODUCT((Январь[№]=1)*Январь[22],Январь[Объем])</f>
        <v>0</v>
      </c>
      <c r="AA13" s="23">
        <f>SUMPRODUCT((Январь[№]=1)*Январь[23],Январь[Объем])</f>
        <v>0</v>
      </c>
      <c r="AB13" s="23">
        <f>SUMPRODUCT((Январь[№]=1)*Январь[24],Январь[Объем])</f>
        <v>0</v>
      </c>
      <c r="AC13" s="23">
        <f>SUMPRODUCT((Январь[№]=1)*Январь[25],Январь[Объем])</f>
        <v>0</v>
      </c>
      <c r="AD13" s="23">
        <f>SUMPRODUCT((Январь[№]=1)*Январь[26],Январь[Объем])</f>
        <v>0</v>
      </c>
      <c r="AE13" s="23">
        <f>SUMPRODUCT((Январь[№]=1)*Январь[27],Январь[Объем])</f>
        <v>0</v>
      </c>
      <c r="AF13" s="23">
        <f>SUMPRODUCT((Январь[№]=1)*Январь[28],Январь[Объем])</f>
        <v>0</v>
      </c>
      <c r="AG13" s="23">
        <f>SUMPRODUCT((Январь[№]=1)*Январь[29],Январь[Объем])</f>
        <v>0</v>
      </c>
      <c r="AH13" s="23">
        <f>SUMPRODUCT((Январь[№]=1)*Январь[30],Январь[Объем])</f>
        <v>0</v>
      </c>
      <c r="AI13" s="23">
        <f>SUMPRODUCT((Январь[№]=1)*Январь[31],Январь[Объем])</f>
        <v>0</v>
      </c>
      <c r="AL13" s="4"/>
    </row>
    <row r="14" spans="1:38" x14ac:dyDescent="0.25">
      <c r="B14" s="3">
        <f ca="1">SUMPRODUCT((Настройки!$G$21:$AK$21=2)*E16:AI16)</f>
        <v>0</v>
      </c>
      <c r="D14" s="5">
        <v>2</v>
      </c>
      <c r="E14" s="23">
        <f ca="1">SUMPRODUCT((Январь[№]=2)*Январь[1],OFFSET(Январь[Объем],-1,0))</f>
        <v>0</v>
      </c>
      <c r="F14" s="23">
        <f ca="1">SUMPRODUCT((Январь[№]=2)*Январь[2],OFFSET(Январь[Объем],-1,0))</f>
        <v>0</v>
      </c>
      <c r="G14" s="23">
        <f ca="1">SUMPRODUCT((Январь[№]=2)*Январь[3],OFFSET(Январь[Объем],-1,0))</f>
        <v>0</v>
      </c>
      <c r="H14" s="23">
        <f ca="1">SUMPRODUCT((Январь[№]=2)*Январь[4],OFFSET(Январь[Объем],-1,0))</f>
        <v>0</v>
      </c>
      <c r="I14" s="23">
        <f ca="1">SUMPRODUCT((Январь[№]=2)*Январь[5],OFFSET(Январь[Объем],-1,0))</f>
        <v>0</v>
      </c>
      <c r="J14" s="23">
        <f ca="1">SUMPRODUCT((Январь[№]=2)*Январь[6],OFFSET(Январь[Объем],-1,0))</f>
        <v>0</v>
      </c>
      <c r="K14" s="23">
        <f ca="1">SUMPRODUCT((Январь[№]=2)*Январь[7],OFFSET(Январь[Объем],-1,0))</f>
        <v>0</v>
      </c>
      <c r="L14" s="23">
        <f ca="1">SUMPRODUCT((Январь[№]=2)*Январь[8],OFFSET(Январь[Объем],-1,0))</f>
        <v>0</v>
      </c>
      <c r="M14" s="23">
        <f ca="1">SUMPRODUCT((Январь[№]=2)*Январь[9],OFFSET(Январь[Объем],-1,0))</f>
        <v>0</v>
      </c>
      <c r="N14" s="23">
        <f ca="1">SUMPRODUCT((Январь[№]=2)*Январь[10],OFFSET(Январь[Объем],-1,0))</f>
        <v>0</v>
      </c>
      <c r="O14" s="23">
        <f ca="1">SUMPRODUCT((Январь[№]=2)*Январь[11],OFFSET(Январь[Объем],-1,0))</f>
        <v>0</v>
      </c>
      <c r="P14" s="23">
        <f ca="1">SUMPRODUCT((Январь[№]=2)*Январь[12],OFFSET(Январь[Объем],-1,0))</f>
        <v>0</v>
      </c>
      <c r="Q14" s="23">
        <f ca="1">SUMPRODUCT((Январь[№]=2)*Январь[13],OFFSET(Январь[Объем],-1,0))</f>
        <v>0</v>
      </c>
      <c r="R14" s="23">
        <f ca="1">SUMPRODUCT((Январь[№]=2)*Январь[14],OFFSET(Январь[Объем],-1,0))</f>
        <v>0</v>
      </c>
      <c r="S14" s="23">
        <f ca="1">SUMPRODUCT((Январь[№]=2)*Январь[15],OFFSET(Январь[Объем],-1,0))</f>
        <v>0</v>
      </c>
      <c r="T14" s="23">
        <f ca="1">SUMPRODUCT((Январь[№]=2)*Январь[16],OFFSET(Январь[Объем],-1,0))</f>
        <v>0</v>
      </c>
      <c r="U14" s="23">
        <f ca="1">SUMPRODUCT((Январь[№]=2)*Январь[17],OFFSET(Январь[Объем],-1,0))</f>
        <v>0</v>
      </c>
      <c r="V14" s="23">
        <f ca="1">SUMPRODUCT((Январь[№]=2)*Январь[18],OFFSET(Январь[Объем],-1,0))</f>
        <v>0</v>
      </c>
      <c r="W14" s="23">
        <f ca="1">SUMPRODUCT((Январь[№]=2)*Январь[19],OFFSET(Январь[Объем],-1,0))</f>
        <v>0</v>
      </c>
      <c r="X14" s="23">
        <f ca="1">SUMPRODUCT((Январь[№]=2)*Январь[20],OFFSET(Январь[Объем],-1,0))</f>
        <v>0</v>
      </c>
      <c r="Y14" s="23">
        <f ca="1">SUMPRODUCT((Январь[№]=2)*Январь[21],OFFSET(Январь[Объем],-1,0))</f>
        <v>0</v>
      </c>
      <c r="Z14" s="23">
        <f ca="1">SUMPRODUCT((Январь[№]=2)*Январь[22],OFFSET(Январь[Объем],-1,0))</f>
        <v>0</v>
      </c>
      <c r="AA14" s="23">
        <f ca="1">SUMPRODUCT((Январь[№]=2)*Январь[23],OFFSET(Январь[Объем],-1,0))</f>
        <v>0</v>
      </c>
      <c r="AB14" s="23">
        <f ca="1">SUMPRODUCT((Январь[№]=2)*Январь[24],OFFSET(Январь[Объем],-1,0))</f>
        <v>0</v>
      </c>
      <c r="AC14" s="23">
        <f ca="1">SUMPRODUCT((Январь[№]=2)*Январь[25],OFFSET(Январь[Объем],-1,0))</f>
        <v>0</v>
      </c>
      <c r="AD14" s="23">
        <f ca="1">SUMPRODUCT((Январь[№]=2)*Январь[26],OFFSET(Январь[Объем],-1,0))</f>
        <v>0</v>
      </c>
      <c r="AE14" s="23">
        <f ca="1">SUMPRODUCT((Январь[№]=2)*Январь[27],OFFSET(Январь[Объем],-1,0))</f>
        <v>0</v>
      </c>
      <c r="AF14" s="23">
        <f ca="1">SUMPRODUCT((Январь[№]=2)*Январь[28],OFFSET(Январь[Объем],-1,0))</f>
        <v>0</v>
      </c>
      <c r="AG14" s="23">
        <f ca="1">SUMPRODUCT((Январь[№]=2)*Январь[29],OFFSET(Январь[Объем],-1,0))</f>
        <v>0</v>
      </c>
      <c r="AH14" s="23">
        <f ca="1">SUMPRODUCT((Январь[№]=2)*Январь[30],OFFSET(Январь[Объем],-1,0))</f>
        <v>0</v>
      </c>
      <c r="AI14" s="23">
        <f ca="1">SUMPRODUCT((Январь[№]=2)*Январь[31],OFFSET(Январь[Объем],-1,0))</f>
        <v>0</v>
      </c>
      <c r="AL14" s="4"/>
    </row>
    <row r="15" spans="1:38" x14ac:dyDescent="0.25">
      <c r="B15" s="3">
        <f ca="1">SUMPRODUCT((Настройки!$G$21:$AK$21=3)*E16:AI16)</f>
        <v>0</v>
      </c>
      <c r="D15" s="5">
        <v>3</v>
      </c>
      <c r="E15" s="23">
        <f ca="1">SUMPRODUCT((Январь[№]=3)*Январь[1],OFFSET(Январь[Объем],-2,0))</f>
        <v>0</v>
      </c>
      <c r="F15" s="23">
        <f ca="1">SUMPRODUCT((Январь[№]=3)*Январь[2],OFFSET(Январь[Объем],-2,0))</f>
        <v>0</v>
      </c>
      <c r="G15" s="23">
        <f ca="1">SUMPRODUCT((Январь[№]=3)*Январь[3],OFFSET(Январь[Объем],-2,0))</f>
        <v>0</v>
      </c>
      <c r="H15" s="23">
        <f ca="1">SUMPRODUCT((Январь[№]=3)*Январь[4],OFFSET(Январь[Объем],-2,0))</f>
        <v>0</v>
      </c>
      <c r="I15" s="23">
        <f ca="1">SUMPRODUCT((Январь[№]=3)*Январь[5],OFFSET(Январь[Объем],-2,0))</f>
        <v>0</v>
      </c>
      <c r="J15" s="23">
        <f ca="1">SUMPRODUCT((Январь[№]=3)*Январь[6],OFFSET(Январь[Объем],-2,0))</f>
        <v>0</v>
      </c>
      <c r="K15" s="23">
        <f ca="1">SUMPRODUCT((Январь[№]=3)*Январь[7],OFFSET(Январь[Объем],-2,0))</f>
        <v>0</v>
      </c>
      <c r="L15" s="23">
        <f ca="1">SUMPRODUCT((Январь[№]=3)*Январь[8],OFFSET(Январь[Объем],-2,0))</f>
        <v>0</v>
      </c>
      <c r="M15" s="23">
        <f ca="1">SUMPRODUCT((Январь[№]=3)*Январь[9],OFFSET(Январь[Объем],-2,0))</f>
        <v>0</v>
      </c>
      <c r="N15" s="23">
        <f ca="1">SUMPRODUCT((Январь[№]=3)*Январь[10],OFFSET(Январь[Объем],-2,0))</f>
        <v>0</v>
      </c>
      <c r="O15" s="23">
        <f ca="1">SUMPRODUCT((Январь[№]=3)*Январь[11],OFFSET(Январь[Объем],-2,0))</f>
        <v>0</v>
      </c>
      <c r="P15" s="23">
        <f ca="1">SUMPRODUCT((Январь[№]=3)*Январь[12],OFFSET(Январь[Объем],-2,0))</f>
        <v>0</v>
      </c>
      <c r="Q15" s="23">
        <f ca="1">SUMPRODUCT((Январь[№]=3)*Январь[13],OFFSET(Январь[Объем],-2,0))</f>
        <v>0</v>
      </c>
      <c r="R15" s="23">
        <f ca="1">SUMPRODUCT((Январь[№]=3)*Январь[14],OFFSET(Январь[Объем],-2,0))</f>
        <v>0</v>
      </c>
      <c r="S15" s="23">
        <f ca="1">SUMPRODUCT((Январь[№]=3)*Январь[15],OFFSET(Январь[Объем],-2,0))</f>
        <v>0</v>
      </c>
      <c r="T15" s="23">
        <f ca="1">SUMPRODUCT((Январь[№]=3)*Январь[16],OFFSET(Январь[Объем],-2,0))</f>
        <v>0</v>
      </c>
      <c r="U15" s="23">
        <f ca="1">SUMPRODUCT((Январь[№]=3)*Январь[17],OFFSET(Январь[Объем],-2,0))</f>
        <v>0</v>
      </c>
      <c r="V15" s="23">
        <f ca="1">SUMPRODUCT((Январь[№]=3)*Январь[18],OFFSET(Январь[Объем],-2,0))</f>
        <v>0</v>
      </c>
      <c r="W15" s="23">
        <f ca="1">SUMPRODUCT((Январь[№]=3)*Январь[19],OFFSET(Январь[Объем],-2,0))</f>
        <v>0</v>
      </c>
      <c r="X15" s="23">
        <f ca="1">SUMPRODUCT((Январь[№]=3)*Январь[20],OFFSET(Январь[Объем],-2,0))</f>
        <v>0</v>
      </c>
      <c r="Y15" s="23">
        <f ca="1">SUMPRODUCT((Январь[№]=3)*Январь[21],OFFSET(Январь[Объем],-2,0))</f>
        <v>0</v>
      </c>
      <c r="Z15" s="23">
        <f ca="1">SUMPRODUCT((Январь[№]=3)*Январь[22],OFFSET(Январь[Объем],-2,0))</f>
        <v>0</v>
      </c>
      <c r="AA15" s="23">
        <f ca="1">SUMPRODUCT((Январь[№]=3)*Январь[23],OFFSET(Январь[Объем],-2,0))</f>
        <v>0</v>
      </c>
      <c r="AB15" s="23">
        <f ca="1">SUMPRODUCT((Январь[№]=3)*Январь[24],OFFSET(Январь[Объем],-2,0))</f>
        <v>0</v>
      </c>
      <c r="AC15" s="23">
        <f ca="1">SUMPRODUCT((Январь[№]=3)*Январь[25],OFFSET(Январь[Объем],-2,0))</f>
        <v>0</v>
      </c>
      <c r="AD15" s="23">
        <f ca="1">SUMPRODUCT((Январь[№]=3)*Январь[26],OFFSET(Январь[Объем],-2,0))</f>
        <v>0</v>
      </c>
      <c r="AE15" s="23">
        <f ca="1">SUMPRODUCT((Январь[№]=3)*Январь[27],OFFSET(Январь[Объем],-2,0))</f>
        <v>0</v>
      </c>
      <c r="AF15" s="23">
        <f ca="1">SUMPRODUCT((Январь[№]=3)*Январь[28],OFFSET(Январь[Объем],-2,0))</f>
        <v>0</v>
      </c>
      <c r="AG15" s="23">
        <f ca="1">SUMPRODUCT((Январь[№]=3)*Январь[29],OFFSET(Январь[Объем],-2,0))</f>
        <v>0</v>
      </c>
      <c r="AH15" s="23">
        <f ca="1">SUMPRODUCT((Январь[№]=3)*Январь[30],OFFSET(Январь[Объем],-2,0))</f>
        <v>0</v>
      </c>
      <c r="AI15" s="23">
        <f ca="1">SUMPRODUCT((Январь[№]=3)*Январь[31],OFFSET(Январь[Объем],-2,0))</f>
        <v>0</v>
      </c>
      <c r="AK15" s="9"/>
    </row>
    <row r="16" spans="1:38" x14ac:dyDescent="0.25">
      <c r="B16" s="3">
        <f ca="1">SUMPRODUCT((Настройки!$G$21:$AK$21=4)*E16:AI16)</f>
        <v>0</v>
      </c>
      <c r="D16" s="5"/>
      <c r="E16" s="2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I16" s="23">
        <f ca="1">SUM(AI13:AI15)</f>
        <v>0</v>
      </c>
      <c r="AK16" s="9"/>
    </row>
    <row r="17" spans="1:37" x14ac:dyDescent="0.25">
      <c r="B17" s="3">
        <f ca="1">SUMPRODUCT((Настройки!$G$21:$AK$21=5)*E16:AI16)</f>
        <v>0</v>
      </c>
      <c r="C17" s="5">
        <f ca="1">ЯнварьИтоги[[#This Row],[№]]*60</f>
        <v>0</v>
      </c>
      <c r="D17" s="7">
        <f ca="1">SUM(ЯнварьИтоги[[#This Row],[1]:[31]])</f>
        <v>0</v>
      </c>
      <c r="E17" s="24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24">
        <f ca="1">AI16/60</f>
        <v>0</v>
      </c>
      <c r="AJ17" s="5">
        <f ca="1">SUM(Январь[УСЛУГ])</f>
        <v>0</v>
      </c>
      <c r="AK17" s="15">
        <f ca="1">SUM(Январь[МИНУТ])</f>
        <v>0</v>
      </c>
    </row>
    <row r="18" spans="1:37" x14ac:dyDescent="0.25">
      <c r="A18" s="39"/>
      <c r="B18" s="40">
        <f ca="1">SUMPRODUCT((Настройки!$G$21:$AK$21=6)*E16:AI16)</f>
        <v>0</v>
      </c>
      <c r="C18" s="40"/>
      <c r="D18" s="41"/>
      <c r="E18" s="42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2"/>
      <c r="AJ18" s="40"/>
      <c r="AK18" s="44"/>
    </row>
    <row r="20" spans="1:37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9"/>
      <c r="AJ20" s="63" t="s">
        <v>64</v>
      </c>
      <c r="AK20" s="64" t="s">
        <v>64</v>
      </c>
    </row>
    <row r="21" spans="1:37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78"/>
      <c r="AJ21" s="63"/>
      <c r="AK21" s="65"/>
    </row>
    <row r="22" spans="1:37" x14ac:dyDescent="0.25">
      <c r="A22" s="73"/>
      <c r="B22" s="73"/>
      <c r="C22" s="74"/>
      <c r="D22" s="76"/>
      <c r="E22" s="20">
        <f>Настройки!G7</f>
        <v>45292</v>
      </c>
      <c r="F22" s="20">
        <f>Настройки!H7</f>
        <v>45293</v>
      </c>
      <c r="G22" s="20">
        <f>Настройки!I7</f>
        <v>45294</v>
      </c>
      <c r="H22" s="20">
        <f>Настройки!J7</f>
        <v>45295</v>
      </c>
      <c r="I22" s="20">
        <f>Настройки!K7</f>
        <v>45296</v>
      </c>
      <c r="J22" s="20">
        <f>Настройки!L7</f>
        <v>45297</v>
      </c>
      <c r="K22" s="20">
        <f>Настройки!M7</f>
        <v>45298</v>
      </c>
      <c r="L22" s="20">
        <f>Настройки!N7</f>
        <v>45299</v>
      </c>
      <c r="M22" s="20">
        <f>Настройки!O7</f>
        <v>45300</v>
      </c>
      <c r="N22" s="20">
        <f>Настройки!P7</f>
        <v>45301</v>
      </c>
      <c r="O22" s="20">
        <f>Настройки!Q7</f>
        <v>45302</v>
      </c>
      <c r="P22" s="20">
        <f>Настройки!R7</f>
        <v>45303</v>
      </c>
      <c r="Q22" s="20">
        <f>Настройки!S7</f>
        <v>45304</v>
      </c>
      <c r="R22" s="20">
        <f>Настройки!T7</f>
        <v>45305</v>
      </c>
      <c r="S22" s="20">
        <f>Настройки!U7</f>
        <v>45306</v>
      </c>
      <c r="T22" s="20">
        <f>Настройки!V7</f>
        <v>45307</v>
      </c>
      <c r="U22" s="20">
        <f>Настройки!W7</f>
        <v>45308</v>
      </c>
      <c r="V22" s="20">
        <f>Настройки!X7</f>
        <v>45309</v>
      </c>
      <c r="W22" s="20">
        <f>Настройки!Y7</f>
        <v>45310</v>
      </c>
      <c r="X22" s="20">
        <f>Настройки!Z7</f>
        <v>45311</v>
      </c>
      <c r="Y22" s="20">
        <f>Настройки!AA7</f>
        <v>45312</v>
      </c>
      <c r="Z22" s="20">
        <f>Настройки!AB7</f>
        <v>45313</v>
      </c>
      <c r="AA22" s="20">
        <f>Настройки!AC7</f>
        <v>45314</v>
      </c>
      <c r="AB22" s="20">
        <f>Настройки!AD7</f>
        <v>45315</v>
      </c>
      <c r="AC22" s="20">
        <f>Настройки!AE7</f>
        <v>45316</v>
      </c>
      <c r="AD22" s="20">
        <f>Настройки!AF7</f>
        <v>45317</v>
      </c>
      <c r="AE22" s="20">
        <f>Настройки!AG7</f>
        <v>45318</v>
      </c>
      <c r="AF22" s="20">
        <f>Настройки!AH7</f>
        <v>45319</v>
      </c>
      <c r="AG22" s="20">
        <f>Настройки!AI7</f>
        <v>45320</v>
      </c>
      <c r="AH22" s="20">
        <f>Настройки!AJ7</f>
        <v>45321</v>
      </c>
      <c r="AI22" s="20">
        <f>Настройки!AK7</f>
        <v>45322</v>
      </c>
      <c r="AJ22" s="63"/>
      <c r="AK22" s="65"/>
    </row>
    <row r="23" spans="1:37" x14ac:dyDescent="0.25">
      <c r="A23" s="73"/>
      <c r="B23" s="73"/>
      <c r="C23" s="74"/>
      <c r="D23" s="76"/>
      <c r="E23" s="73" t="s">
        <v>54</v>
      </c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9"/>
      <c r="AJ23" s="63"/>
      <c r="AK23" s="65"/>
    </row>
    <row r="24" spans="1:37" x14ac:dyDescent="0.25">
      <c r="A24" s="73"/>
      <c r="B24" s="73"/>
      <c r="C24" s="74"/>
      <c r="D24" s="76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9"/>
      <c r="AJ24" s="63"/>
      <c r="AK24" s="66"/>
    </row>
    <row r="25" spans="1:37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49" t="s">
        <v>1</v>
      </c>
      <c r="B26" s="2">
        <f>IF(Январь[[#This Row],[№]]=1,INDEX(Услуги[],MATCH(Январь[[#This Row],[Услуга]],Услуги[Кратко],0),4),"")</f>
        <v>0</v>
      </c>
      <c r="C26" s="8">
        <f>IF(Январь[[#This Row],[№]]=1,INDEX(Услуги[],MATCH(Январь[[#This Row],[Услуга]],Услуги[Кратко],0),3),"")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IF(Январь[[#This Row],[№]]=1,SUM(Январь[[#This Row],[1]:[31]])+SUM(OFFSET(Январь[[#This Row],[1]:[31]],1,0))+SUM(OFFSET(Январь[[#This Row],[1]:[31]],2,0)),"")</f>
        <v>0</v>
      </c>
      <c r="AK26" s="5">
        <f ca="1">IF(Январь[[#This Row],[УСЛУГ]]&lt;&gt;"",Январь[[#This Row],[УСЛУГ]]*Январь[[#This Row],[Объем]],"")</f>
        <v>0</v>
      </c>
    </row>
    <row r="27" spans="1:37" x14ac:dyDescent="0.25">
      <c r="A27" s="49"/>
      <c r="B27" s="2" t="str">
        <f>IF(Январь[[#This Row],[№]]=1,INDEX(Услуги[],MATCH(Январь[[#This Row],[Услуга]],Услуги[Кратко],0),4),"")</f>
        <v/>
      </c>
      <c r="C27" s="8" t="str">
        <f>IF(Январь[[#This Row],[№]]=1,INDEX(Услуги[],MATCH(Январь[[#This Row],[Услуга]],Услуги[Кратко],0),3),"")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IF(Январь[[#This Row],[№]]=1,SUM(Январь[[#This Row],[1]:[31]])+SUM(OFFSET(Январь[[#This Row],[1]:[31]],1,0))+SUM(OFFSET(Январь[[#This Row],[1]:[31]],2,0)),"")</f>
        <v/>
      </c>
      <c r="AK27" s="5" t="str">
        <f ca="1">IF(Январь[[#This Row],[УСЛУГ]]&lt;&gt;"",Январь[[#This Row],[УСЛУГ]]*Январь[[#This Row],[Объем]],"")</f>
        <v/>
      </c>
    </row>
    <row r="28" spans="1:37" x14ac:dyDescent="0.25">
      <c r="A28" s="49"/>
      <c r="B28" s="2" t="str">
        <f>IF(Январь[[#This Row],[№]]=1,INDEX(Услуги[],MATCH(Январь[[#This Row],[Услуга]],Услуги[Кратко],0),4),"")</f>
        <v/>
      </c>
      <c r="C28" s="8" t="str">
        <f>IF(Январь[[#This Row],[№]]=1,INDEX(Услуги[],MATCH(Январь[[#This Row],[Услуга]],Услуги[Кратко],0),3),"")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IF(Январь[[#This Row],[№]]=1,SUM(Январь[[#This Row],[1]:[31]])+SUM(OFFSET(Январь[[#This Row],[1]:[31]],1,0))+SUM(OFFSET(Январь[[#This Row],[1]:[31]],2,0)),"")</f>
        <v/>
      </c>
      <c r="AK28" s="5" t="str">
        <f ca="1">IF(Январь[[#This Row],[УСЛУГ]]&lt;&gt;"",Январь[[#This Row],[УСЛУГ]]*Январь[[#This Row],[Объем]],"")</f>
        <v/>
      </c>
    </row>
    <row r="29" spans="1:37" x14ac:dyDescent="0.25"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</sheetData>
  <mergeCells count="20"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  <mergeCell ref="A2:AJ2"/>
    <mergeCell ref="A3:AJ3"/>
    <mergeCell ref="J4:L4"/>
    <mergeCell ref="M4:U4"/>
    <mergeCell ref="M5:Q5"/>
  </mergeCells>
  <conditionalFormatting sqref="E9:AI9">
    <cfRule type="expression" dxfId="1306" priority="2">
      <formula>WEEKDAY(E9:AI9,2)&gt;5</formula>
    </cfRule>
  </conditionalFormatting>
  <conditionalFormatting sqref="E22:AI22">
    <cfRule type="expression" dxfId="1305" priority="1">
      <formula>WEEKDAY(E22:AI22,2)&gt;5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AI13:AK13 B13:B18 E16:E17 E14:I14 E15:I15 AI16:AK17 AJ14:AK14 AJ15:AK15 AI14:AI15" calculatedColumn="1"/>
  </ignoredError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  <pageSetUpPr fitToPage="1"/>
  </sheetPr>
  <dimension ref="A2:AF36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57031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128</v>
      </c>
      <c r="I4" s="37" t="str">
        <f>Год[Год]&amp;" г."</f>
        <v>2024 г.</v>
      </c>
      <c r="J4" s="35"/>
    </row>
    <row r="6" spans="1:32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Настройки!G7</f>
        <v>45292</v>
      </c>
      <c r="C10" s="29">
        <f>Настройки!H7</f>
        <v>45293</v>
      </c>
      <c r="D10" s="29">
        <f>Настройки!I7</f>
        <v>45294</v>
      </c>
      <c r="E10" s="29">
        <f>Настройки!J7</f>
        <v>45295</v>
      </c>
      <c r="F10" s="29">
        <f>Настройки!K7</f>
        <v>45296</v>
      </c>
      <c r="G10" s="29">
        <f>Настройки!L7</f>
        <v>45297</v>
      </c>
      <c r="H10" s="29">
        <f>Настройки!M7</f>
        <v>45298</v>
      </c>
      <c r="I10" s="29">
        <f>Настройки!N7</f>
        <v>45299</v>
      </c>
      <c r="J10" s="29">
        <f>Настройки!O7</f>
        <v>45300</v>
      </c>
      <c r="K10" s="29">
        <f>Настройки!P7</f>
        <v>45301</v>
      </c>
      <c r="L10" s="29">
        <f>Настройки!Q7</f>
        <v>45302</v>
      </c>
      <c r="M10" s="29">
        <f>Настройки!R7</f>
        <v>45303</v>
      </c>
      <c r="N10" s="29">
        <f>Настройки!S7</f>
        <v>45304</v>
      </c>
      <c r="O10" s="29">
        <f>Настройки!T7</f>
        <v>45305</v>
      </c>
      <c r="P10" s="29">
        <f>Настройки!U7</f>
        <v>45306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IF(Настройки!J2&lt;&gt;"",TEXT(MIN(Настройки!G36:AK36,Настройки!J2),"ч:мм")&amp;"-"&amp;TEXT(MAX(Настройки!G36:AK36,Настройки!J2)+TIME(0,MAX(Январь!E13:AI13),0),"ч:мм"),"")</f>
        <v>9:00-9:00</v>
      </c>
      <c r="B14" s="30" t="str">
        <f>IF(TEXT(IF(Настройки!G36="",TEXT(Настройки!$J2,"ч:мм"),TEXT(Настройки!G36,"ч:мм"))+TIME(0,Январь!E13,0),"ч::мм")=TEXT(IF(Настройки!G36="",TEXT(Настройки!$J2,"ч:мм"),TEXT(Настройки!G36,"ч:мм")),"ч:мм"),"",TEXT(IF(Настройки!G36="",TEXT(Настройки!$J2,"ч:мм"),TEXT(Настройки!G36,"ч:мм")),"ч:мм")&amp;"-"&amp;TEXT(IF(Настройки!G36="",TEXT(Настройки!$J2,"ч:мм"),TEXT(Настройки!G36,"ч:мм"))+TIME(0,Январь!E13,0),"ч::мм"))</f>
        <v/>
      </c>
      <c r="C14" s="30" t="str">
        <f>IF(TEXT(IF(Настройки!H36="",TEXT(Настройки!$J2,"ч:мм"),TEXT(Настройки!H36,"ч:мм"))+TIME(0,Январь!F13,0),"ч::мм")=TEXT(IF(Настройки!H36="",TEXT(Настройки!$J2,"ч:мм"),TEXT(Настройки!H36,"ч:мм")),"ч:мм"),"",TEXT(IF(Настройки!H36="",TEXT(Настройки!$J2,"ч:мм"),TEXT(Настройки!H36,"ч:мм")),"ч:мм")&amp;"-"&amp;TEXT(IF(Настройки!H36="",TEXT(Настройки!$J2,"ч:мм"),TEXT(Настройки!H36,"ч:мм"))+TIME(0,Январь!F13,0),"ч::мм"))</f>
        <v/>
      </c>
      <c r="D14" s="30" t="str">
        <f>IF(TEXT(IF(Настройки!I36="",TEXT(Настройки!$J2,"ч:мм"),TEXT(Настройки!I36,"ч:мм"))+TIME(0,Январь!G13,0),"ч::мм")=TEXT(IF(Настройки!I36="",TEXT(Настройки!$J2,"ч:мм"),TEXT(Настройки!I36,"ч:мм")),"ч:мм"),"",TEXT(IF(Настройки!I36="",TEXT(Настройки!$J2,"ч:мм"),TEXT(Настройки!I36,"ч:мм")),"ч:мм")&amp;"-"&amp;TEXT(IF(Настройки!I36="",TEXT(Настройки!$J2,"ч:мм"),TEXT(Настройки!I36,"ч:мм"))+TIME(0,Январь!G13,0),"ч::мм"))</f>
        <v/>
      </c>
      <c r="E14" s="30" t="str">
        <f>IF(TEXT(IF(Настройки!J36="",TEXT(Настройки!$J2,"ч:мм"),TEXT(Настройки!J36,"ч:мм"))+TIME(0,Январь!H13,0),"ч::мм")=TEXT(IF(Настройки!J36="",TEXT(Настройки!$J2,"ч:мм"),TEXT(Настройки!J36,"ч:мм")),"ч:мм"),"",TEXT(IF(Настройки!J36="",TEXT(Настройки!$J2,"ч:мм"),TEXT(Настройки!J36,"ч:мм")),"ч:мм")&amp;"-"&amp;TEXT(IF(Настройки!J36="",TEXT(Настройки!$J2,"ч:мм"),TEXT(Настройки!J36,"ч:мм"))+TIME(0,Январь!H13,0),"ч::мм"))</f>
        <v/>
      </c>
      <c r="F14" s="30" t="str">
        <f>IF(TEXT(IF(Настройки!K36="",TEXT(Настройки!$J2,"ч:мм"),TEXT(Настройки!K36,"ч:мм"))+TIME(0,Январь!I13,0),"ч::мм")=TEXT(IF(Настройки!K36="",TEXT(Настройки!$J2,"ч:мм"),TEXT(Настройки!K36,"ч:мм")),"ч:мм"),"",TEXT(IF(Настройки!K36="",TEXT(Настройки!$J2,"ч:мм"),TEXT(Настройки!K36,"ч:мм")),"ч:мм")&amp;"-"&amp;TEXT(IF(Настройки!K36="",TEXT(Настройки!$J2,"ч:мм"),TEXT(Настройки!K36,"ч:мм"))+TIME(0,Январь!I13,0),"ч::мм"))</f>
        <v/>
      </c>
      <c r="G14" s="30" t="str">
        <f>IF(TEXT(IF(Настройки!L36="",TEXT(Настройки!$J2,"ч:мм"),TEXT(Настройки!L36,"ч:мм"))+TIME(0,Январь!J13,0),"ч::мм")=TEXT(IF(Настройки!L36="",TEXT(Настройки!$J2,"ч:мм"),TEXT(Настройки!L36,"ч:мм")),"ч:мм"),"",TEXT(IF(Настройки!L36="",TEXT(Настройки!$J2,"ч:мм"),TEXT(Настройки!L36,"ч:мм")),"ч:мм")&amp;"-"&amp;TEXT(IF(Настройки!L36="",TEXT(Настройки!$J2,"ч:мм"),TEXT(Настройки!L36,"ч:мм"))+TIME(0,Январь!J13,0),"ч::мм"))</f>
        <v/>
      </c>
      <c r="H14" s="30" t="str">
        <f>IF(TEXT(IF(Настройки!M36="",TEXT(Настройки!$J2,"ч:мм"),TEXT(Настройки!M36,"ч:мм"))+TIME(0,Январь!K13,0),"ч::мм")=TEXT(IF(Настройки!M36="",TEXT(Настройки!$J2,"ч:мм"),TEXT(Настройки!M36,"ч:мм")),"ч:мм"),"",TEXT(IF(Настройки!M36="",TEXT(Настройки!$J2,"ч:мм"),TEXT(Настройки!M36,"ч:мм")),"ч:мм")&amp;"-"&amp;TEXT(IF(Настройки!M36="",TEXT(Настройки!$J2,"ч:мм"),TEXT(Настройки!M36,"ч:мм"))+TIME(0,Январь!K13,0),"ч::мм"))</f>
        <v/>
      </c>
      <c r="I14" s="30" t="str">
        <f>IF(TEXT(IF(Настройки!N36="",TEXT(Настройки!$J2,"ч:мм"),TEXT(Настройки!N36,"ч:мм"))+TIME(0,Январь!L13,0),"ч::мм")=TEXT(IF(Настройки!N36="",TEXT(Настройки!$J2,"ч:мм"),TEXT(Настройки!N36,"ч:мм")),"ч:мм"),"",TEXT(IF(Настройки!N36="",TEXT(Настройки!$J2,"ч:мм"),TEXT(Настройки!N36,"ч:мм")),"ч:мм")&amp;"-"&amp;TEXT(IF(Настройки!N36="",TEXT(Настройки!$J2,"ч:мм"),TEXT(Настройки!N36,"ч:мм"))+TIME(0,Январь!L13,0),"ч::мм"))</f>
        <v/>
      </c>
      <c r="J14" s="30" t="str">
        <f>IF(TEXT(IF(Настройки!O36="",TEXT(Настройки!$J2,"ч:мм"),TEXT(Настройки!O36,"ч:мм"))+TIME(0,Январь!M13,0),"ч::мм")=TEXT(IF(Настройки!O36="",TEXT(Настройки!$J2,"ч:мм"),TEXT(Настройки!O36,"ч:мм")),"ч:мм"),"",TEXT(IF(Настройки!O36="",TEXT(Настройки!$J2,"ч:мм"),TEXT(Настройки!O36,"ч:мм")),"ч:мм")&amp;"-"&amp;TEXT(IF(Настройки!O36="",TEXT(Настройки!$J2,"ч:мм"),TEXT(Настройки!O36,"ч:мм"))+TIME(0,Январь!M13,0),"ч::мм"))</f>
        <v/>
      </c>
      <c r="K14" s="30" t="str">
        <f>IF(TEXT(IF(Настройки!P36="",TEXT(Настройки!$J2,"ч:мм"),TEXT(Настройки!P36,"ч:мм"))+TIME(0,Январь!N13,0),"ч::мм")=TEXT(IF(Настройки!P36="",TEXT(Настройки!$J2,"ч:мм"),TEXT(Настройки!P36,"ч:мм")),"ч:мм"),"",TEXT(IF(Настройки!P36="",TEXT(Настройки!$J2,"ч:мм"),TEXT(Настройки!P36,"ч:мм")),"ч:мм")&amp;"-"&amp;TEXT(IF(Настройки!P36="",TEXT(Настройки!$J2,"ч:мм"),TEXT(Настройки!P36,"ч:мм"))+TIME(0,Январь!N13,0),"ч::мм"))</f>
        <v/>
      </c>
      <c r="L14" s="30" t="str">
        <f>IF(TEXT(IF(Настройки!Q36="",TEXT(Настройки!$J2,"ч:мм"),TEXT(Настройки!Q36,"ч:мм"))+TIME(0,Январь!O13,0),"ч::мм")=TEXT(IF(Настройки!Q36="",TEXT(Настройки!$J2,"ч:мм"),TEXT(Настройки!Q36,"ч:мм")),"ч:мм"),"",TEXT(IF(Настройки!Q36="",TEXT(Настройки!$J2,"ч:мм"),TEXT(Настройки!Q36,"ч:мм")),"ч:мм")&amp;"-"&amp;TEXT(IF(Настройки!Q36="",TEXT(Настройки!$J2,"ч:мм"),TEXT(Настройки!Q36,"ч:мм"))+TIME(0,Январь!O13,0),"ч::мм"))</f>
        <v/>
      </c>
      <c r="M14" s="30" t="str">
        <f>IF(TEXT(IF(Настройки!R36="",TEXT(Настройки!$J2,"ч:мм"),TEXT(Настройки!R36,"ч:мм"))+TIME(0,Январь!P13,0),"ч::мм")=TEXT(IF(Настройки!R36="",TEXT(Настройки!$J2,"ч:мм"),TEXT(Настройки!R36,"ч:мм")),"ч:мм"),"",TEXT(IF(Настройки!R36="",TEXT(Настройки!$J2,"ч:мм"),TEXT(Настройки!R36,"ч:мм")),"ч:мм")&amp;"-"&amp;TEXT(IF(Настройки!R36="",TEXT(Настройки!$J2,"ч:мм"),TEXT(Настройки!R36,"ч:мм"))+TIME(0,Январь!P13,0),"ч::мм"))</f>
        <v/>
      </c>
      <c r="N14" s="30" t="str">
        <f>IF(TEXT(IF(Настройки!S36="",TEXT(Настройки!$J2,"ч:мм"),TEXT(Настройки!S36,"ч:мм"))+TIME(0,Январь!Q13,0),"ч::мм")=TEXT(IF(Настройки!S36="",TEXT(Настройки!$J2,"ч:мм"),TEXT(Настройки!S36,"ч:мм")),"ч:мм"),"",TEXT(IF(Настройки!S36="",TEXT(Настройки!$J2,"ч:мм"),TEXT(Настройки!S36,"ч:мм")),"ч:мм")&amp;"-"&amp;TEXT(IF(Настройки!S36="",TEXT(Настройки!$J2,"ч:мм"),TEXT(Настройки!S36,"ч:мм"))+TIME(0,Январь!Q13,0),"ч::мм"))</f>
        <v/>
      </c>
      <c r="O14" s="30" t="str">
        <f>IF(TEXT(IF(Настройки!T36="",TEXT(Настройки!$J2,"ч:мм"),TEXT(Настройки!T36,"ч:мм"))+TIME(0,Январь!R13,0),"ч::мм")=TEXT(IF(Настройки!T36="",TEXT(Настройки!$J2,"ч:мм"),TEXT(Настройки!T36,"ч:мм")),"ч:мм"),"",TEXT(IF(Настройки!T36="",TEXT(Настройки!$J2,"ч:мм"),TEXT(Настройки!T36,"ч:мм")),"ч:мм")&amp;"-"&amp;TEXT(IF(Настройки!T36="",TEXT(Настройки!$J2,"ч:мм"),TEXT(Настройки!T36,"ч:мм"))+TIME(0,Январь!R13,0),"ч::мм"))</f>
        <v/>
      </c>
      <c r="P14" s="30" t="str">
        <f>IF(TEXT(IF(Настройки!U36="",TEXT(Настройки!$J2,"ч:мм"),TEXT(Настройки!U36,"ч:мм"))+TIME(0,Январь!S13,0),"ч::мм")=TEXT(IF(Настройки!U36="",TEXT(Настройки!$J2,"ч:мм"),TEXT(Настройки!U36,"ч:мм")),"ч:мм"),"",TEXT(IF(Настройки!U36="",TEXT(Настройки!$J2,"ч:мм"),TEXT(Настройки!U36,"ч:мм")),"ч:мм")&amp;"-"&amp;TEXT(IF(Настройки!U36="",TEXT(Настройки!$J2,"ч:мм"),TEXT(Настройки!U36,"ч:мм"))+TIME(0,Январь!S13,0),"ч::мм"))</f>
        <v/>
      </c>
      <c r="R14" s="30"/>
      <c r="S14" s="30"/>
    </row>
    <row r="15" spans="1:32" x14ac:dyDescent="0.25">
      <c r="A15" s="32" t="str">
        <f ca="1">IF(Настройки!J3&lt;&gt;"",TEXT(MIN(Настройки!G37:AK37,Настройки!J3),"ч:мм")&amp;"-"&amp;TEXT(MAX(Настройки!G37:AK37,Настройки!J3)+TIME(0,MAX(Январь!E14:AI14),0),"ч:мм"),"")</f>
        <v>13:00-13:00</v>
      </c>
      <c r="B15" s="30" t="str">
        <f ca="1">IF(TEXT(IF(Настройки!G37="",TEXT(Настройки!$J3,"ч:мм"),TEXT(Настройки!G37,"ч:мм"))+TIME(0,Январь!E14,0),"ч::мм")=TEXT(IF(Настройки!G37="",TEXT(Настройки!$J3,"ч:мм"),TEXT(Настройки!G37,"ч:мм")),"ч:мм"),"",TEXT(IF(Настройки!G37="",TEXT(Настройки!$J3,"ч:мм"),TEXT(Настройки!G37,"ч:мм")),"ч:мм")&amp;"-"&amp;TEXT(IF(Настройки!G37="",TEXT(Настройки!$J3,"ч:мм"),TEXT(Настройки!G37,"ч:мм"))+TIME(0,Январь!E14,0),"ч::мм"))</f>
        <v/>
      </c>
      <c r="C15" s="30" t="str">
        <f ca="1">IF(TEXT(IF(Настройки!H37="",TEXT(Настройки!$J3,"ч:мм"),TEXT(Настройки!H37,"ч:мм"))+TIME(0,Январь!F14,0),"ч::мм")=TEXT(IF(Настройки!H37="",TEXT(Настройки!$J3,"ч:мм"),TEXT(Настройки!H37,"ч:мм")),"ч:мм"),"",TEXT(IF(Настройки!H37="",TEXT(Настройки!$J3,"ч:мм"),TEXT(Настройки!H37,"ч:мм")),"ч:мм")&amp;"-"&amp;TEXT(IF(Настройки!H37="",TEXT(Настройки!$J3,"ч:мм"),TEXT(Настройки!H37,"ч:мм"))+TIME(0,Январь!F14,0),"ч::мм"))</f>
        <v/>
      </c>
      <c r="D15" s="30" t="str">
        <f ca="1">IF(TEXT(IF(Настройки!I37="",TEXT(Настройки!$J3,"ч:мм"),TEXT(Настройки!I37,"ч:мм"))+TIME(0,Январь!G14,0),"ч::мм")=TEXT(IF(Настройки!I37="",TEXT(Настройки!$J3,"ч:мм"),TEXT(Настройки!I37,"ч:мм")),"ч:мм"),"",TEXT(IF(Настройки!I37="",TEXT(Настройки!$J3,"ч:мм"),TEXT(Настройки!I37,"ч:мм")),"ч:мм")&amp;"-"&amp;TEXT(IF(Настройки!I37="",TEXT(Настройки!$J3,"ч:мм"),TEXT(Настройки!I37,"ч:мм"))+TIME(0,Январь!G14,0),"ч::мм"))</f>
        <v/>
      </c>
      <c r="E15" s="30" t="str">
        <f ca="1">IF(TEXT(IF(Настройки!J37="",TEXT(Настройки!$J3,"ч:мм"),TEXT(Настройки!J37,"ч:мм"))+TIME(0,Январь!H14,0),"ч::мм")=TEXT(IF(Настройки!J37="",TEXT(Настройки!$J3,"ч:мм"),TEXT(Настройки!J37,"ч:мм")),"ч:мм"),"",TEXT(IF(Настройки!J37="",TEXT(Настройки!$J3,"ч:мм"),TEXT(Настройки!J37,"ч:мм")),"ч:мм")&amp;"-"&amp;TEXT(IF(Настройки!J37="",TEXT(Настройки!$J3,"ч:мм"),TEXT(Настройки!J37,"ч:мм"))+TIME(0,Январь!H14,0),"ч::мм"))</f>
        <v/>
      </c>
      <c r="F15" s="30" t="str">
        <f ca="1">IF(TEXT(IF(Настройки!K37="",TEXT(Настройки!$J3,"ч:мм"),TEXT(Настройки!K37,"ч:мм"))+TIME(0,Январь!I14,0),"ч::мм")=TEXT(IF(Настройки!K37="",TEXT(Настройки!$J3,"ч:мм"),TEXT(Настройки!K37,"ч:мм")),"ч:мм"),"",TEXT(IF(Настройки!K37="",TEXT(Настройки!$J3,"ч:мм"),TEXT(Настройки!K37,"ч:мм")),"ч:мм")&amp;"-"&amp;TEXT(IF(Настройки!K37="",TEXT(Настройки!$J3,"ч:мм"),TEXT(Настройки!K37,"ч:мм"))+TIME(0,Январь!I14,0),"ч::мм"))</f>
        <v/>
      </c>
      <c r="G15" s="30" t="str">
        <f ca="1">IF(TEXT(IF(Настройки!L37="",TEXT(Настройки!$J3,"ч:мм"),TEXT(Настройки!L37,"ч:мм"))+TIME(0,Январь!J14,0),"ч::мм")=TEXT(IF(Настройки!L37="",TEXT(Настройки!$J3,"ч:мм"),TEXT(Настройки!L37,"ч:мм")),"ч:мм"),"",TEXT(IF(Настройки!L37="",TEXT(Настройки!$J3,"ч:мм"),TEXT(Настройки!L37,"ч:мм")),"ч:мм")&amp;"-"&amp;TEXT(IF(Настройки!L37="",TEXT(Настройки!$J3,"ч:мм"),TEXT(Настройки!L37,"ч:мм"))+TIME(0,Январь!J14,0),"ч::мм"))</f>
        <v/>
      </c>
      <c r="H15" s="30" t="str">
        <f ca="1">IF(TEXT(IF(Настройки!M37="",TEXT(Настройки!$J3,"ч:мм"),TEXT(Настройки!M37,"ч:мм"))+TIME(0,Январь!K14,0),"ч::мм")=TEXT(IF(Настройки!M37="",TEXT(Настройки!$J3,"ч:мм"),TEXT(Настройки!M37,"ч:мм")),"ч:мм"),"",TEXT(IF(Настройки!M37="",TEXT(Настройки!$J3,"ч:мм"),TEXT(Настройки!M37,"ч:мм")),"ч:мм")&amp;"-"&amp;TEXT(IF(Настройки!M37="",TEXT(Настройки!$J3,"ч:мм"),TEXT(Настройки!M37,"ч:мм"))+TIME(0,Январь!K14,0),"ч::мм"))</f>
        <v/>
      </c>
      <c r="I15" s="30" t="str">
        <f ca="1">IF(TEXT(IF(Настройки!N37="",TEXT(Настройки!$J3,"ч:мм"),TEXT(Настройки!N37,"ч:мм"))+TIME(0,Январь!L14,0),"ч::мм")=TEXT(IF(Настройки!N37="",TEXT(Настройки!$J3,"ч:мм"),TEXT(Настройки!N37,"ч:мм")),"ч:мм"),"",TEXT(IF(Настройки!N37="",TEXT(Настройки!$J3,"ч:мм"),TEXT(Настройки!N37,"ч:мм")),"ч:мм")&amp;"-"&amp;TEXT(IF(Настройки!N37="",TEXT(Настройки!$J3,"ч:мм"),TEXT(Настройки!N37,"ч:мм"))+TIME(0,Январь!L14,0),"ч::мм"))</f>
        <v/>
      </c>
      <c r="J15" s="30" t="str">
        <f ca="1">IF(TEXT(IF(Настройки!O37="",TEXT(Настройки!$J3,"ч:мм"),TEXT(Настройки!O37,"ч:мм"))+TIME(0,Январь!M14,0),"ч::мм")=TEXT(IF(Настройки!O37="",TEXT(Настройки!$J3,"ч:мм"),TEXT(Настройки!O37,"ч:мм")),"ч:мм"),"",TEXT(IF(Настройки!O37="",TEXT(Настройки!$J3,"ч:мм"),TEXT(Настройки!O37,"ч:мм")),"ч:мм")&amp;"-"&amp;TEXT(IF(Настройки!O37="",TEXT(Настройки!$J3,"ч:мм"),TEXT(Настройки!O37,"ч:мм"))+TIME(0,Январь!M14,0),"ч::мм"))</f>
        <v/>
      </c>
      <c r="K15" s="30" t="str">
        <f ca="1">IF(TEXT(IF(Настройки!P37="",TEXT(Настройки!$J3,"ч:мм"),TEXT(Настройки!P37,"ч:мм"))+TIME(0,Январь!N14,0),"ч::мм")=TEXT(IF(Настройки!P37="",TEXT(Настройки!$J3,"ч:мм"),TEXT(Настройки!P37,"ч:мм")),"ч:мм"),"",TEXT(IF(Настройки!P37="",TEXT(Настройки!$J3,"ч:мм"),TEXT(Настройки!P37,"ч:мм")),"ч:мм")&amp;"-"&amp;TEXT(IF(Настройки!P37="",TEXT(Настройки!$J3,"ч:мм"),TEXT(Настройки!P37,"ч:мм"))+TIME(0,Январь!N14,0),"ч::мм"))</f>
        <v/>
      </c>
      <c r="L15" s="30" t="str">
        <f ca="1">IF(TEXT(IF(Настройки!Q37="",TEXT(Настройки!$J3,"ч:мм"),TEXT(Настройки!Q37,"ч:мм"))+TIME(0,Январь!O14,0),"ч::мм")=TEXT(IF(Настройки!Q37="",TEXT(Настройки!$J3,"ч:мм"),TEXT(Настройки!Q37,"ч:мм")),"ч:мм"),"",TEXT(IF(Настройки!Q37="",TEXT(Настройки!$J3,"ч:мм"),TEXT(Настройки!Q37,"ч:мм")),"ч:мм")&amp;"-"&amp;TEXT(IF(Настройки!Q37="",TEXT(Настройки!$J3,"ч:мм"),TEXT(Настройки!Q37,"ч:мм"))+TIME(0,Январь!O14,0),"ч::мм"))</f>
        <v/>
      </c>
      <c r="M15" s="30" t="str">
        <f ca="1">IF(TEXT(IF(Настройки!R37="",TEXT(Настройки!$J3,"ч:мм"),TEXT(Настройки!R37,"ч:мм"))+TIME(0,Январь!P14,0),"ч::мм")=TEXT(IF(Настройки!R37="",TEXT(Настройки!$J3,"ч:мм"),TEXT(Настройки!R37,"ч:мм")),"ч:мм"),"",TEXT(IF(Настройки!R37="",TEXT(Настройки!$J3,"ч:мм"),TEXT(Настройки!R37,"ч:мм")),"ч:мм")&amp;"-"&amp;TEXT(IF(Настройки!R37="",TEXT(Настройки!$J3,"ч:мм"),TEXT(Настройки!R37,"ч:мм"))+TIME(0,Январь!P14,0),"ч::мм"))</f>
        <v/>
      </c>
      <c r="N15" s="30" t="str">
        <f ca="1">IF(TEXT(IF(Настройки!S37="",TEXT(Настройки!$J3,"ч:мм"),TEXT(Настройки!S37,"ч:мм"))+TIME(0,Январь!Q14,0),"ч::мм")=TEXT(IF(Настройки!S37="",TEXT(Настройки!$J3,"ч:мм"),TEXT(Настройки!S37,"ч:мм")),"ч:мм"),"",TEXT(IF(Настройки!S37="",TEXT(Настройки!$J3,"ч:мм"),TEXT(Настройки!S37,"ч:мм")),"ч:мм")&amp;"-"&amp;TEXT(IF(Настройки!S37="",TEXT(Настройки!$J3,"ч:мм"),TEXT(Настройки!S37,"ч:мм"))+TIME(0,Январь!Q14,0),"ч::мм"))</f>
        <v/>
      </c>
      <c r="O15" s="30" t="str">
        <f ca="1">IF(TEXT(IF(Настройки!T37="",TEXT(Настройки!$J3,"ч:мм"),TEXT(Настройки!T37,"ч:мм"))+TIME(0,Январь!R14,0),"ч::мм")=TEXT(IF(Настройки!T37="",TEXT(Настройки!$J3,"ч:мм"),TEXT(Настройки!T37,"ч:мм")),"ч:мм"),"",TEXT(IF(Настройки!T37="",TEXT(Настройки!$J3,"ч:мм"),TEXT(Настройки!T37,"ч:мм")),"ч:мм")&amp;"-"&amp;TEXT(IF(Настройки!T37="",TEXT(Настройки!$J3,"ч:мм"),TEXT(Настройки!T37,"ч:мм"))+TIME(0,Январь!R14,0),"ч::мм"))</f>
        <v/>
      </c>
      <c r="P15" s="30" t="str">
        <f ca="1">IF(TEXT(IF(Настройки!U37="",TEXT(Настройки!$J3,"ч:мм"),TEXT(Настройки!U37,"ч:мм"))+TIME(0,Январь!S14,0),"ч::мм")=TEXT(IF(Настройки!U37="",TEXT(Настройки!$J3,"ч:мм"),TEXT(Настройки!U37,"ч:мм")),"ч:мм"),"",TEXT(IF(Настройки!U37="",TEXT(Настройки!$J3,"ч:мм"),TEXT(Настройки!U37,"ч:мм")),"ч:мм")&amp;"-"&amp;TEXT(IF(Настройки!U37="",TEXT(Настройки!$J3,"ч:мм"),TEXT(Настройки!U37,"ч:мм"))+TIME(0,Январь!S14,0),"ч::мм"))</f>
        <v/>
      </c>
    </row>
    <row r="16" spans="1:32" x14ac:dyDescent="0.25">
      <c r="A16" s="32" t="str">
        <f ca="1">IF(Настройки!J4&lt;&gt;"",TEXT(MIN(Настройки!G38:AK38,Настройки!J4),"ч:мм")&amp;"-"&amp;TEXT(MAX(Настройки!G38:AK38,Настройки!J4)+TIME(0,MAX(Январь!E15:AI15),0),"ч:мм"),"")</f>
        <v>16:00-16:00</v>
      </c>
      <c r="B16" s="30" t="str">
        <f ca="1">IF(TEXT(IF(Настройки!G38="",TEXT(Настройки!$J4,"ч:мм"),TEXT(Настройки!G38,"ч:мм"))+TIME(0,Январь!E15,0),"ч::мм")=TEXT(IF(Настройки!G38="",TEXT(Настройки!$J4,"ч:мм"),TEXT(Настройки!G38,"ч:мм")),"ч:мм"),"",TEXT(IF(Настройки!G38="",TEXT(Настройки!$J4,"ч:мм"),TEXT(Настройки!G38,"ч:мм")),"ч:мм")&amp;"-"&amp;TEXT(IF(Настройки!G38="",TEXT(Настройки!$J4,"ч:мм"),TEXT(Настройки!G38,"ч:мм"))+TIME(0,Январь!E15,0),"ч::мм"))</f>
        <v/>
      </c>
      <c r="C16" s="30" t="str">
        <f ca="1">IF(TEXT(IF(Настройки!H38="",TEXT(Настройки!$J4,"ч:мм"),TEXT(Настройки!H38,"ч:мм"))+TIME(0,Январь!F15,0),"ч::мм")=TEXT(IF(Настройки!H38="",TEXT(Настройки!$J4,"ч:мм"),TEXT(Настройки!H38,"ч:мм")),"ч:мм"),"",TEXT(IF(Настройки!H38="",TEXT(Настройки!$J4,"ч:мм"),TEXT(Настройки!H38,"ч:мм")),"ч:мм")&amp;"-"&amp;TEXT(IF(Настройки!H38="",TEXT(Настройки!$J4,"ч:мм"),TEXT(Настройки!H38,"ч:мм"))+TIME(0,Январь!F15,0),"ч::мм"))</f>
        <v/>
      </c>
      <c r="D16" s="30" t="str">
        <f ca="1">IF(TEXT(IF(Настройки!I38="",TEXT(Настройки!$J4,"ч:мм"),TEXT(Настройки!I38,"ч:мм"))+TIME(0,Январь!G15,0),"ч::мм")=TEXT(IF(Настройки!I38="",TEXT(Настройки!$J4,"ч:мм"),TEXT(Настройки!I38,"ч:мм")),"ч:мм"),"",TEXT(IF(Настройки!I38="",TEXT(Настройки!$J4,"ч:мм"),TEXT(Настройки!I38,"ч:мм")),"ч:мм")&amp;"-"&amp;TEXT(IF(Настройки!I38="",TEXT(Настройки!$J4,"ч:мм"),TEXT(Настройки!I38,"ч:мм"))+TIME(0,Январь!G15,0),"ч::мм"))</f>
        <v/>
      </c>
      <c r="E16" s="30" t="str">
        <f ca="1">IF(TEXT(IF(Настройки!J38="",TEXT(Настройки!$J4,"ч:мм"),TEXT(Настройки!J38,"ч:мм"))+TIME(0,Январь!H15,0),"ч::мм")=TEXT(IF(Настройки!J38="",TEXT(Настройки!$J4,"ч:мм"),TEXT(Настройки!J38,"ч:мм")),"ч:мм"),"",TEXT(IF(Настройки!J38="",TEXT(Настройки!$J4,"ч:мм"),TEXT(Настройки!J38,"ч:мм")),"ч:мм")&amp;"-"&amp;TEXT(IF(Настройки!J38="",TEXT(Настройки!$J4,"ч:мм"),TEXT(Настройки!J38,"ч:мм"))+TIME(0,Январь!H15,0),"ч::мм"))</f>
        <v/>
      </c>
      <c r="F16" s="30" t="str">
        <f ca="1">IF(TEXT(IF(Настройки!K38="",TEXT(Настройки!$J4,"ч:мм"),TEXT(Настройки!K38,"ч:мм"))+TIME(0,Январь!I15,0),"ч::мм")=TEXT(IF(Настройки!K38="",TEXT(Настройки!$J4,"ч:мм"),TEXT(Настройки!K38,"ч:мм")),"ч:мм"),"",TEXT(IF(Настройки!K38="",TEXT(Настройки!$J4,"ч:мм"),TEXT(Настройки!K38,"ч:мм")),"ч:мм")&amp;"-"&amp;TEXT(IF(Настройки!K38="",TEXT(Настройки!$J4,"ч:мм"),TEXT(Настройки!K38,"ч:мм"))+TIME(0,Январь!I15,0),"ч::мм"))</f>
        <v/>
      </c>
      <c r="G16" s="30" t="str">
        <f ca="1">IF(TEXT(IF(Настройки!L38="",TEXT(Настройки!$J4,"ч:мм"),TEXT(Настройки!L38,"ч:мм"))+TIME(0,Январь!J15,0),"ч::мм")=TEXT(IF(Настройки!L38="",TEXT(Настройки!$J4,"ч:мм"),TEXT(Настройки!L38,"ч:мм")),"ч:мм"),"",TEXT(IF(Настройки!L38="",TEXT(Настройки!$J4,"ч:мм"),TEXT(Настройки!L38,"ч:мм")),"ч:мм")&amp;"-"&amp;TEXT(IF(Настройки!L38="",TEXT(Настройки!$J4,"ч:мм"),TEXT(Настройки!L38,"ч:мм"))+TIME(0,Январь!J15,0),"ч::мм"))</f>
        <v/>
      </c>
      <c r="H16" s="30" t="str">
        <f ca="1">IF(TEXT(IF(Настройки!M38="",TEXT(Настройки!$J4,"ч:мм"),TEXT(Настройки!M38,"ч:мм"))+TIME(0,Январь!K15,0),"ч::мм")=TEXT(IF(Настройки!M38="",TEXT(Настройки!$J4,"ч:мм"),TEXT(Настройки!M38,"ч:мм")),"ч:мм"),"",TEXT(IF(Настройки!M38="",TEXT(Настройки!$J4,"ч:мм"),TEXT(Настройки!M38,"ч:мм")),"ч:мм")&amp;"-"&amp;TEXT(IF(Настройки!M38="",TEXT(Настройки!$J4,"ч:мм"),TEXT(Настройки!M38,"ч:мм"))+TIME(0,Январь!K15,0),"ч::мм"))</f>
        <v/>
      </c>
      <c r="I16" s="30" t="str">
        <f ca="1">IF(TEXT(IF(Настройки!N38="",TEXT(Настройки!$J4,"ч:мм"),TEXT(Настройки!N38,"ч:мм"))+TIME(0,Январь!L15,0),"ч::мм")=TEXT(IF(Настройки!N38="",TEXT(Настройки!$J4,"ч:мм"),TEXT(Настройки!N38,"ч:мм")),"ч:мм"),"",TEXT(IF(Настройки!N38="",TEXT(Настройки!$J4,"ч:мм"),TEXT(Настройки!N38,"ч:мм")),"ч:мм")&amp;"-"&amp;TEXT(IF(Настройки!N38="",TEXT(Настройки!$J4,"ч:мм"),TEXT(Настройки!N38,"ч:мм"))+TIME(0,Январь!L15,0),"ч::мм"))</f>
        <v/>
      </c>
      <c r="J16" s="30" t="str">
        <f ca="1">IF(TEXT(IF(Настройки!O38="",TEXT(Настройки!$J4,"ч:мм"),TEXT(Настройки!O38,"ч:мм"))+TIME(0,Январь!M15,0),"ч::мм")=TEXT(IF(Настройки!O38="",TEXT(Настройки!$J4,"ч:мм"),TEXT(Настройки!O38,"ч:мм")),"ч:мм"),"",TEXT(IF(Настройки!O38="",TEXT(Настройки!$J4,"ч:мм"),TEXT(Настройки!O38,"ч:мм")),"ч:мм")&amp;"-"&amp;TEXT(IF(Настройки!O38="",TEXT(Настройки!$J4,"ч:мм"),TEXT(Настройки!O38,"ч:мм"))+TIME(0,Январь!M15,0),"ч::мм"))</f>
        <v/>
      </c>
      <c r="K16" s="30" t="str">
        <f ca="1">IF(TEXT(IF(Настройки!P38="",TEXT(Настройки!$J4,"ч:мм"),TEXT(Настройки!P38,"ч:мм"))+TIME(0,Январь!N15,0),"ч::мм")=TEXT(IF(Настройки!P38="",TEXT(Настройки!$J4,"ч:мм"),TEXT(Настройки!P38,"ч:мм")),"ч:мм"),"",TEXT(IF(Настройки!P38="",TEXT(Настройки!$J4,"ч:мм"),TEXT(Настройки!P38,"ч:мм")),"ч:мм")&amp;"-"&amp;TEXT(IF(Настройки!P38="",TEXT(Настройки!$J4,"ч:мм"),TEXT(Настройки!P38,"ч:мм"))+TIME(0,Январь!N15,0),"ч::мм"))</f>
        <v/>
      </c>
      <c r="L16" s="30" t="str">
        <f ca="1">IF(TEXT(IF(Настройки!Q38="",TEXT(Настройки!$J4,"ч:мм"),TEXT(Настройки!Q38,"ч:мм"))+TIME(0,Январь!O15,0),"ч::мм")=TEXT(IF(Настройки!Q38="",TEXT(Настройки!$J4,"ч:мм"),TEXT(Настройки!Q38,"ч:мм")),"ч:мм"),"",TEXT(IF(Настройки!Q38="",TEXT(Настройки!$J4,"ч:мм"),TEXT(Настройки!Q38,"ч:мм")),"ч:мм")&amp;"-"&amp;TEXT(IF(Настройки!Q38="",TEXT(Настройки!$J4,"ч:мм"),TEXT(Настройки!Q38,"ч:мм"))+TIME(0,Январь!O15,0),"ч::мм"))</f>
        <v/>
      </c>
      <c r="M16" s="30" t="str">
        <f ca="1">IF(TEXT(IF(Настройки!R38="",TEXT(Настройки!$J4,"ч:мм"),TEXT(Настройки!R38,"ч:мм"))+TIME(0,Январь!P15,0),"ч::мм")=TEXT(IF(Настройки!R38="",TEXT(Настройки!$J4,"ч:мм"),TEXT(Настройки!R38,"ч:мм")),"ч:мм"),"",TEXT(IF(Настройки!R38="",TEXT(Настройки!$J4,"ч:мм"),TEXT(Настройки!R38,"ч:мм")),"ч:мм")&amp;"-"&amp;TEXT(IF(Настройки!R38="",TEXT(Настройки!$J4,"ч:мм"),TEXT(Настройки!R38,"ч:мм"))+TIME(0,Январь!P15,0),"ч::мм"))</f>
        <v/>
      </c>
      <c r="N16" s="30" t="str">
        <f ca="1">IF(TEXT(IF(Настройки!S38="",TEXT(Настройки!$J4,"ч:мм"),TEXT(Настройки!S38,"ч:мм"))+TIME(0,Январь!Q15,0),"ч::мм")=TEXT(IF(Настройки!S38="",TEXT(Настройки!$J4,"ч:мм"),TEXT(Настройки!S38,"ч:мм")),"ч:мм"),"",TEXT(IF(Настройки!S38="",TEXT(Настройки!$J4,"ч:мм"),TEXT(Настройки!S38,"ч:мм")),"ч:мм")&amp;"-"&amp;TEXT(IF(Настройки!S38="",TEXT(Настройки!$J4,"ч:мм"),TEXT(Настройки!S38,"ч:мм"))+TIME(0,Январь!Q15,0),"ч::мм"))</f>
        <v/>
      </c>
      <c r="O16" s="30" t="str">
        <f ca="1">IF(TEXT(IF(Настройки!T38="",TEXT(Настройки!$J4,"ч:мм"),TEXT(Настройки!T38,"ч:мм"))+TIME(0,Январь!R15,0),"ч::мм")=TEXT(IF(Настройки!T38="",TEXT(Настройки!$J4,"ч:мм"),TEXT(Настройки!T38,"ч:мм")),"ч:мм"),"",TEXT(IF(Настройки!T38="",TEXT(Настройки!$J4,"ч:мм"),TEXT(Настройки!T38,"ч:мм")),"ч:мм")&amp;"-"&amp;TEXT(IF(Настройки!T38="",TEXT(Настройки!$J4,"ч:мм"),TEXT(Настройки!T38,"ч:мм"))+TIME(0,Январь!R15,0),"ч::мм"))</f>
        <v/>
      </c>
      <c r="P16" s="30" t="str">
        <f ca="1">IF(TEXT(IF(Настройки!U38="",TEXT(Настройки!$J4,"ч:мм"),TEXT(Настройки!U38,"ч:мм"))+TIME(0,Январь!S15,0),"ч::мм")=TEXT(IF(Настройки!U38="",TEXT(Настройки!$J4,"ч:мм"),TEXT(Настройки!U38,"ч:мм")),"ч:мм"),"",TEXT(IF(Настройки!U38="",TEXT(Настройки!$J4,"ч:мм"),TEXT(Настройки!U38,"ч:мм")),"ч:мм")&amp;"-"&amp;TEXT(IF(Настройки!U38="",TEXT(Настройки!$J4,"ч:мм"),TEXT(Настройки!U38,"ч:мм"))+TIME(0,Январь!S15,0),"ч::мм"))</f>
        <v/>
      </c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Настройки!V7</f>
        <v>45307</v>
      </c>
      <c r="C20" s="29">
        <f>Настройки!W7</f>
        <v>45308</v>
      </c>
      <c r="D20" s="29">
        <f>Настройки!X7</f>
        <v>45309</v>
      </c>
      <c r="E20" s="29">
        <f>Настройки!Y7</f>
        <v>45310</v>
      </c>
      <c r="F20" s="29">
        <f>Настройки!Z7</f>
        <v>45311</v>
      </c>
      <c r="G20" s="29">
        <f>Настройки!AA7</f>
        <v>45312</v>
      </c>
      <c r="H20" s="29">
        <f>Настройки!AB7</f>
        <v>45313</v>
      </c>
      <c r="I20" s="29">
        <f>Настройки!AC7</f>
        <v>45314</v>
      </c>
      <c r="J20" s="29">
        <f>Настройки!AD7</f>
        <v>45315</v>
      </c>
      <c r="K20" s="29">
        <f>Настройки!AE7</f>
        <v>45316</v>
      </c>
      <c r="L20" s="29">
        <f>Настройки!AF7</f>
        <v>45317</v>
      </c>
      <c r="M20" s="29">
        <f>Настройки!AG7</f>
        <v>45318</v>
      </c>
      <c r="N20" s="29">
        <f>Настройки!AH7</f>
        <v>45319</v>
      </c>
      <c r="O20" s="29">
        <f>Настройки!AI7</f>
        <v>45320</v>
      </c>
      <c r="P20" s="29">
        <f>Настройки!AJ7</f>
        <v>45321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36="",TEXT(Настройки!$J2,"ч:мм"),TEXT(Настройки!V36,"ч:мм"))+TIME(0,Январь!T13,0),"ч::мм")=TEXT(IF(Настройки!V36="",TEXT(Настройки!$J2,"ч:мм"),TEXT(Настройки!V36,"ч:мм")),"ч:мм"),"",TEXT(IF(Настройки!V36="",TEXT(Настройки!$J2,"ч:мм"),TEXT(Настройки!V36,"ч:мм")),"ч:мм")&amp;"-"&amp;TEXT(IF(Настройки!V36="",TEXT(Настройки!$J2,"ч:мм"),TEXT(Настройки!V36,"ч:мм"))+TIME(0,Январь!T13,0),"ч::мм"))</f>
        <v/>
      </c>
      <c r="C24" s="3" t="str">
        <f>IF(TEXT(IF(Настройки!W36="",TEXT(Настройки!$J2,"ч:мм"),TEXT(Настройки!W36,"ч:мм"))+TIME(0,Январь!U13,0),"ч::мм")=TEXT(IF(Настройки!W36="",TEXT(Настройки!$J2,"ч:мм"),TEXT(Настройки!W36,"ч:мм")),"ч:мм"),"",TEXT(IF(Настройки!W36="",TEXT(Настройки!$J2,"ч:мм"),TEXT(Настройки!W36,"ч:мм")),"ч:мм")&amp;"-"&amp;TEXT(IF(Настройки!W36="",TEXT(Настройки!$J2,"ч:мм"),TEXT(Настройки!W36,"ч:мм"))+TIME(0,Январь!U13,0),"ч::мм"))</f>
        <v/>
      </c>
      <c r="D24" s="3" t="str">
        <f>IF(TEXT(IF(Настройки!X36="",TEXT(Настройки!$J2,"ч:мм"),TEXT(Настройки!X36,"ч:мм"))+TIME(0,Январь!V13,0),"ч::мм")=TEXT(IF(Настройки!X36="",TEXT(Настройки!$J2,"ч:мм"),TEXT(Настройки!X36,"ч:мм")),"ч:мм"),"",TEXT(IF(Настройки!X36="",TEXT(Настройки!$J2,"ч:мм"),TEXT(Настройки!X36,"ч:мм")),"ч:мм")&amp;"-"&amp;TEXT(IF(Настройки!X36="",TEXT(Настройки!$J2,"ч:мм"),TEXT(Настройки!X36,"ч:мм"))+TIME(0,Январь!V13,0),"ч::мм"))</f>
        <v/>
      </c>
      <c r="E24" s="3" t="str">
        <f>IF(TEXT(IF(Настройки!Y36="",TEXT(Настройки!$J2,"ч:мм"),TEXT(Настройки!Y36,"ч:мм"))+TIME(0,Январь!W13,0),"ч::мм")=TEXT(IF(Настройки!Y36="",TEXT(Настройки!$J2,"ч:мм"),TEXT(Настройки!Y36,"ч:мм")),"ч:мм"),"",TEXT(IF(Настройки!Y36="",TEXT(Настройки!$J2,"ч:мм"),TEXT(Настройки!Y36,"ч:мм")),"ч:мм")&amp;"-"&amp;TEXT(IF(Настройки!Y36="",TEXT(Настройки!$J2,"ч:мм"),TEXT(Настройки!Y36,"ч:мм"))+TIME(0,Январь!W13,0),"ч::мм"))</f>
        <v/>
      </c>
      <c r="F24" s="3" t="str">
        <f>IF(TEXT(IF(Настройки!Z36="",TEXT(Настройки!$J2,"ч:мм"),TEXT(Настройки!Z36,"ч:мм"))+TIME(0,Январь!X13,0),"ч::мм")=TEXT(IF(Настройки!Z36="",TEXT(Настройки!$J2,"ч:мм"),TEXT(Настройки!Z36,"ч:мм")),"ч:мм"),"",TEXT(IF(Настройки!Z36="",TEXT(Настройки!$J2,"ч:мм"),TEXT(Настройки!Z36,"ч:мм")),"ч:мм")&amp;"-"&amp;TEXT(IF(Настройки!Z36="",TEXT(Настройки!$J2,"ч:мм"),TEXT(Настройки!Z36,"ч:мм"))+TIME(0,Январь!X13,0),"ч::мм"))</f>
        <v/>
      </c>
      <c r="G24" s="3" t="str">
        <f>IF(TEXT(IF(Настройки!AA36="",TEXT(Настройки!$J2,"ч:мм"),TEXT(Настройки!AA36,"ч:мм"))+TIME(0,Январь!Y13,0),"ч::мм")=TEXT(IF(Настройки!AA36="",TEXT(Настройки!$J2,"ч:мм"),TEXT(Настройки!AA36,"ч:мм")),"ч:мм"),"",TEXT(IF(Настройки!AA36="",TEXT(Настройки!$J2,"ч:мм"),TEXT(Настройки!AA36,"ч:мм")),"ч:мм")&amp;"-"&amp;TEXT(IF(Настройки!AA36="",TEXT(Настройки!$J2,"ч:мм"),TEXT(Настройки!AA36,"ч:мм"))+TIME(0,Январь!Y13,0),"ч::мм"))</f>
        <v/>
      </c>
      <c r="H24" s="3" t="str">
        <f>IF(TEXT(IF(Настройки!AB36="",TEXT(Настройки!$J2,"ч:мм"),TEXT(Настройки!AB36,"ч:мм"))+TIME(0,Январь!Z13,0),"ч::мм")=TEXT(IF(Настройки!AB36="",TEXT(Настройки!$J2,"ч:мм"),TEXT(Настройки!AB36,"ч:мм")),"ч:мм"),"",TEXT(IF(Настройки!AB36="",TEXT(Настройки!$J2,"ч:мм"),TEXT(Настройки!AB36,"ч:мм")),"ч:мм")&amp;"-"&amp;TEXT(IF(Настройки!AB36="",TEXT(Настройки!$J2,"ч:мм"),TEXT(Настройки!AB36,"ч:мм"))+TIME(0,Январь!Z13,0),"ч::мм"))</f>
        <v/>
      </c>
      <c r="I24" s="3" t="str">
        <f>IF(TEXT(IF(Настройки!AC36="",TEXT(Настройки!$J2,"ч:мм"),TEXT(Настройки!AC36,"ч:мм"))+TIME(0,Январь!AA13,0),"ч::мм")=TEXT(IF(Настройки!AC36="",TEXT(Настройки!$J2,"ч:мм"),TEXT(Настройки!AC36,"ч:мм")),"ч:мм"),"",TEXT(IF(Настройки!AC36="",TEXT(Настройки!$J2,"ч:мм"),TEXT(Настройки!AC36,"ч:мм")),"ч:мм")&amp;"-"&amp;TEXT(IF(Настройки!AC36="",TEXT(Настройки!$J2,"ч:мм"),TEXT(Настройки!AC36,"ч:мм"))+TIME(0,Январь!AA13,0),"ч::мм"))</f>
        <v/>
      </c>
      <c r="J24" s="3" t="str">
        <f>IF(TEXT(IF(Настройки!AD36="",TEXT(Настройки!$J2,"ч:мм"),TEXT(Настройки!AD36,"ч:мм"))+TIME(0,Январь!AB13,0),"ч::мм")=TEXT(IF(Настройки!AD36="",TEXT(Настройки!$J2,"ч:мм"),TEXT(Настройки!AD36,"ч:мм")),"ч:мм"),"",TEXT(IF(Настройки!AD36="",TEXT(Настройки!$J2,"ч:мм"),TEXT(Настройки!AD36,"ч:мм")),"ч:мм")&amp;"-"&amp;TEXT(IF(Настройки!AD36="",TEXT(Настройки!$J2,"ч:мм"),TEXT(Настройки!AD36,"ч:мм"))+TIME(0,Январь!AB13,0),"ч::мм"))</f>
        <v/>
      </c>
      <c r="K24" s="3" t="str">
        <f>IF(TEXT(IF(Настройки!AE36="",TEXT(Настройки!$J2,"ч:мм"),TEXT(Настройки!AE36,"ч:мм"))+TIME(0,Январь!AC13,0),"ч::мм")=TEXT(IF(Настройки!AE36="",TEXT(Настройки!$J2,"ч:мм"),TEXT(Настройки!AE36,"ч:мм")),"ч:мм"),"",TEXT(IF(Настройки!AE36="",TEXT(Настройки!$J2,"ч:мм"),TEXT(Настройки!AE36,"ч:мм")),"ч:мм")&amp;"-"&amp;TEXT(IF(Настройки!AE36="",TEXT(Настройки!$J2,"ч:мм"),TEXT(Настройки!AE36,"ч:мм"))+TIME(0,Январь!AC13,0),"ч::мм"))</f>
        <v/>
      </c>
      <c r="L24" s="3" t="str">
        <f>IF(TEXT(IF(Настройки!AF36="",TEXT(Настройки!$J2,"ч:мм"),TEXT(Настройки!AF36,"ч:мм"))+TIME(0,Январь!AD13,0),"ч::мм")=TEXT(IF(Настройки!AF36="",TEXT(Настройки!$J2,"ч:мм"),TEXT(Настройки!AF36,"ч:мм")),"ч:мм"),"",TEXT(IF(Настройки!AF36="",TEXT(Настройки!$J2,"ч:мм"),TEXT(Настройки!AF36,"ч:мм")),"ч:мм")&amp;"-"&amp;TEXT(IF(Настройки!AF36="",TEXT(Настройки!$J2,"ч:мм"),TEXT(Настройки!AF36,"ч:мм"))+TIME(0,Январь!AD13,0),"ч::мм"))</f>
        <v/>
      </c>
      <c r="M24" s="3" t="str">
        <f>IF(TEXT(IF(Настройки!AG36="",TEXT(Настройки!$J2,"ч:мм"),TEXT(Настройки!AG36,"ч:мм"))+TIME(0,Январь!AE13,0),"ч::мм")=TEXT(IF(Настройки!AG36="",TEXT(Настройки!$J2,"ч:мм"),TEXT(Настройки!AG36,"ч:мм")),"ч:мм"),"",TEXT(IF(Настройки!AG36="",TEXT(Настройки!$J2,"ч:мм"),TEXT(Настройки!AG36,"ч:мм")),"ч:мм")&amp;"-"&amp;TEXT(IF(Настройки!AG36="",TEXT(Настройки!$J2,"ч:мм"),TEXT(Настройки!AG36,"ч:мм"))+TIME(0,Январь!AE13,0),"ч::мм"))</f>
        <v/>
      </c>
      <c r="N24" s="3" t="str">
        <f>IF(TEXT(IF(Настройки!AH36="",TEXT(Настройки!$J2,"ч:мм"),TEXT(Настройки!AH36,"ч:мм"))+TIME(0,Январь!AF13,0),"ч::мм")=TEXT(IF(Настройки!AH36="",TEXT(Настройки!$J2,"ч:мм"),TEXT(Настройки!AH36,"ч:мм")),"ч:мм"),"",TEXT(IF(Настройки!AH36="",TEXT(Настройки!$J2,"ч:мм"),TEXT(Настройки!AH36,"ч:мм")),"ч:мм")&amp;"-"&amp;TEXT(IF(Настройки!AH36="",TEXT(Настройки!$J2,"ч:мм"),TEXT(Настройки!AH36,"ч:мм"))+TIME(0,Январь!AF13,0),"ч::мм"))</f>
        <v/>
      </c>
      <c r="O24" s="3" t="str">
        <f>IF(TEXT(IF(Настройки!AI36="",TEXT(Настройки!$J2,"ч:мм"),TEXT(Настройки!AI36,"ч:мм"))+TIME(0,Январь!AG13,0),"ч::мм")=TEXT(IF(Настройки!AI36="",TEXT(Настройки!$J2,"ч:мм"),TEXT(Настройки!AI36,"ч:мм")),"ч:мм"),"",TEXT(IF(Настройки!AI36="",TEXT(Настройки!$J2,"ч:мм"),TEXT(Настройки!AI36,"ч:мм")),"ч:мм")&amp;"-"&amp;TEXT(IF(Настройки!AI36="",TEXT(Настройки!$J2,"ч:мм"),TEXT(Настройки!AI36,"ч:мм"))+TIME(0,Январь!AG13,0),"ч::мм"))</f>
        <v/>
      </c>
      <c r="P24" s="3" t="str">
        <f>IF(TEXT(IF(Настройки!AJ36="",TEXT(Настройки!$J2,"ч:мм"),TEXT(Настройки!AJ36,"ч:мм"))+TIME(0,Январь!AH13,0),"ч::мм")=TEXT(IF(Настройки!AJ36="",TEXT(Настройки!$J2,"ч:мм"),TEXT(Настройки!AJ36,"ч:мм")),"ч:мм"),"",TEXT(IF(Настройки!AJ36="",TEXT(Настройки!$J2,"ч:мм"),TEXT(Настройки!AJ36,"ч:мм")),"ч:мм")&amp;"-"&amp;TEXT(IF(Настройки!AJ36="",TEXT(Настройки!$J2,"ч:мм"),TEXT(Настройки!AJ36,"ч:мм"))+TIME(0,Январь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37="",TEXT(Настройки!$J3,"ч:мм"),TEXT(Настройки!V37,"ч:мм"))+TIME(0,Январь!T14,0),"ч::мм")=TEXT(IF(Настройки!V37="",TEXT(Настройки!$J3,"ч:мм"),TEXT(Настройки!V37,"ч:мм")),"ч:мм"),"",TEXT(IF(Настройки!V37="",TEXT(Настройки!$J3,"ч:мм"),TEXT(Настройки!V37,"ч:мм")),"ч:мм")&amp;"-"&amp;TEXT(IF(Настройки!V37="",TEXT(Настройки!$J3,"ч:мм"),TEXT(Настройки!V37,"ч:мм"))+TIME(0,Январь!T14,0),"ч::мм"))</f>
        <v/>
      </c>
      <c r="C25" s="3" t="str">
        <f ca="1">IF(TEXT(IF(Настройки!W37="",TEXT(Настройки!$J3,"ч:мм"),TEXT(Настройки!W37,"ч:мм"))+TIME(0,Январь!U14,0),"ч::мм")=TEXT(IF(Настройки!W37="",TEXT(Настройки!$J3,"ч:мм"),TEXT(Настройки!W37,"ч:мм")),"ч:мм"),"",TEXT(IF(Настройки!W37="",TEXT(Настройки!$J3,"ч:мм"),TEXT(Настройки!W37,"ч:мм")),"ч:мм")&amp;"-"&amp;TEXT(IF(Настройки!W37="",TEXT(Настройки!$J3,"ч:мм"),TEXT(Настройки!W37,"ч:мм"))+TIME(0,Январь!U14,0),"ч::мм"))</f>
        <v/>
      </c>
      <c r="D25" s="3" t="str">
        <f ca="1">IF(TEXT(IF(Настройки!X37="",TEXT(Настройки!$J3,"ч:мм"),TEXT(Настройки!X37,"ч:мм"))+TIME(0,Январь!V14,0),"ч::мм")=TEXT(IF(Настройки!X37="",TEXT(Настройки!$J3,"ч:мм"),TEXT(Настройки!X37,"ч:мм")),"ч:мм"),"",TEXT(IF(Настройки!X37="",TEXT(Настройки!$J3,"ч:мм"),TEXT(Настройки!X37,"ч:мм")),"ч:мм")&amp;"-"&amp;TEXT(IF(Настройки!X37="",TEXT(Настройки!$J3,"ч:мм"),TEXT(Настройки!X37,"ч:мм"))+TIME(0,Январь!V14,0),"ч::мм"))</f>
        <v/>
      </c>
      <c r="E25" s="3" t="str">
        <f ca="1">IF(TEXT(IF(Настройки!Y37="",TEXT(Настройки!$J3,"ч:мм"),TEXT(Настройки!Y37,"ч:мм"))+TIME(0,Январь!W14,0),"ч::мм")=TEXT(IF(Настройки!Y37="",TEXT(Настройки!$J3,"ч:мм"),TEXT(Настройки!Y37,"ч:мм")),"ч:мм"),"",TEXT(IF(Настройки!Y37="",TEXT(Настройки!$J3,"ч:мм"),TEXT(Настройки!Y37,"ч:мм")),"ч:мм")&amp;"-"&amp;TEXT(IF(Настройки!Y37="",TEXT(Настройки!$J3,"ч:мм"),TEXT(Настройки!Y37,"ч:мм"))+TIME(0,Январь!W14,0),"ч::мм"))</f>
        <v/>
      </c>
      <c r="F25" s="3" t="str">
        <f ca="1">IF(TEXT(IF(Настройки!Z37="",TEXT(Настройки!$J3,"ч:мм"),TEXT(Настройки!Z37,"ч:мм"))+TIME(0,Январь!X14,0),"ч::мм")=TEXT(IF(Настройки!Z37="",TEXT(Настройки!$J3,"ч:мм"),TEXT(Настройки!Z37,"ч:мм")),"ч:мм"),"",TEXT(IF(Настройки!Z37="",TEXT(Настройки!$J3,"ч:мм"),TEXT(Настройки!Z37,"ч:мм")),"ч:мм")&amp;"-"&amp;TEXT(IF(Настройки!Z37="",TEXT(Настройки!$J3,"ч:мм"),TEXT(Настройки!Z37,"ч:мм"))+TIME(0,Январь!X14,0),"ч::мм"))</f>
        <v/>
      </c>
      <c r="G25" s="3" t="str">
        <f ca="1">IF(TEXT(IF(Настройки!AA37="",TEXT(Настройки!$J3,"ч:мм"),TEXT(Настройки!AA37,"ч:мм"))+TIME(0,Январь!Y14,0),"ч::мм")=TEXT(IF(Настройки!AA37="",TEXT(Настройки!$J3,"ч:мм"),TEXT(Настройки!AA37,"ч:мм")),"ч:мм"),"",TEXT(IF(Настройки!AA37="",TEXT(Настройки!$J3,"ч:мм"),TEXT(Настройки!AA37,"ч:мм")),"ч:мм")&amp;"-"&amp;TEXT(IF(Настройки!AA37="",TEXT(Настройки!$J3,"ч:мм"),TEXT(Настройки!AA37,"ч:мм"))+TIME(0,Январь!Y14,0),"ч::мм"))</f>
        <v/>
      </c>
      <c r="H25" s="3" t="str">
        <f ca="1">IF(TEXT(IF(Настройки!AB37="",TEXT(Настройки!$J3,"ч:мм"),TEXT(Настройки!AB37,"ч:мм"))+TIME(0,Январь!Z14,0),"ч::мм")=TEXT(IF(Настройки!AB37="",TEXT(Настройки!$J3,"ч:мм"),TEXT(Настройки!AB37,"ч:мм")),"ч:мм"),"",TEXT(IF(Настройки!AB37="",TEXT(Настройки!$J3,"ч:мм"),TEXT(Настройки!AB37,"ч:мм")),"ч:мм")&amp;"-"&amp;TEXT(IF(Настройки!AB37="",TEXT(Настройки!$J3,"ч:мм"),TEXT(Настройки!AB37,"ч:мм"))+TIME(0,Январь!Z14,0),"ч::мм"))</f>
        <v/>
      </c>
      <c r="I25" s="3" t="str">
        <f ca="1">IF(TEXT(IF(Настройки!AC37="",TEXT(Настройки!$J3,"ч:мм"),TEXT(Настройки!AC37,"ч:мм"))+TIME(0,Январь!AA14,0),"ч::мм")=TEXT(IF(Настройки!AC37="",TEXT(Настройки!$J3,"ч:мм"),TEXT(Настройки!AC37,"ч:мм")),"ч:мм"),"",TEXT(IF(Настройки!AC37="",TEXT(Настройки!$J3,"ч:мм"),TEXT(Настройки!AC37,"ч:мм")),"ч:мм")&amp;"-"&amp;TEXT(IF(Настройки!AC37="",TEXT(Настройки!$J3,"ч:мм"),TEXT(Настройки!AC37,"ч:мм"))+TIME(0,Январь!AA14,0),"ч::мм"))</f>
        <v/>
      </c>
      <c r="J25" s="3" t="str">
        <f ca="1">IF(TEXT(IF(Настройки!AD37="",TEXT(Настройки!$J3,"ч:мм"),TEXT(Настройки!AD37,"ч:мм"))+TIME(0,Январь!AB14,0),"ч::мм")=TEXT(IF(Настройки!AD37="",TEXT(Настройки!$J3,"ч:мм"),TEXT(Настройки!AD37,"ч:мм")),"ч:мм"),"",TEXT(IF(Настройки!AD37="",TEXT(Настройки!$J3,"ч:мм"),TEXT(Настройки!AD37,"ч:мм")),"ч:мм")&amp;"-"&amp;TEXT(IF(Настройки!AD37="",TEXT(Настройки!$J3,"ч:мм"),TEXT(Настройки!AD37,"ч:мм"))+TIME(0,Январь!AB14,0),"ч::мм"))</f>
        <v/>
      </c>
      <c r="K25" s="3" t="str">
        <f ca="1">IF(TEXT(IF(Настройки!AE37="",TEXT(Настройки!$J3,"ч:мм"),TEXT(Настройки!AE37,"ч:мм"))+TIME(0,Январь!AC14,0),"ч::мм")=TEXT(IF(Настройки!AE37="",TEXT(Настройки!$J3,"ч:мм"),TEXT(Настройки!AE37,"ч:мм")),"ч:мм"),"",TEXT(IF(Настройки!AE37="",TEXT(Настройки!$J3,"ч:мм"),TEXT(Настройки!AE37,"ч:мм")),"ч:мм")&amp;"-"&amp;TEXT(IF(Настройки!AE37="",TEXT(Настройки!$J3,"ч:мм"),TEXT(Настройки!AE37,"ч:мм"))+TIME(0,Январь!AC14,0),"ч::мм"))</f>
        <v/>
      </c>
      <c r="L25" s="3" t="str">
        <f ca="1">IF(TEXT(IF(Настройки!AF37="",TEXT(Настройки!$J3,"ч:мм"),TEXT(Настройки!AF37,"ч:мм"))+TIME(0,Январь!AD14,0),"ч::мм")=TEXT(IF(Настройки!AF37="",TEXT(Настройки!$J3,"ч:мм"),TEXT(Настройки!AF37,"ч:мм")),"ч:мм"),"",TEXT(IF(Настройки!AF37="",TEXT(Настройки!$J3,"ч:мм"),TEXT(Настройки!AF37,"ч:мм")),"ч:мм")&amp;"-"&amp;TEXT(IF(Настройки!AF37="",TEXT(Настройки!$J3,"ч:мм"),TEXT(Настройки!AF37,"ч:мм"))+TIME(0,Январь!AD14,0),"ч::мм"))</f>
        <v/>
      </c>
      <c r="M25" s="3" t="str">
        <f ca="1">IF(TEXT(IF(Настройки!AG37="",TEXT(Настройки!$J3,"ч:мм"),TEXT(Настройки!AG37,"ч:мм"))+TIME(0,Январь!AE14,0),"ч::мм")=TEXT(IF(Настройки!AG37="",TEXT(Настройки!$J3,"ч:мм"),TEXT(Настройки!AG37,"ч:мм")),"ч:мм"),"",TEXT(IF(Настройки!AG37="",TEXT(Настройки!$J3,"ч:мм"),TEXT(Настройки!AG37,"ч:мм")),"ч:мм")&amp;"-"&amp;TEXT(IF(Настройки!AG37="",TEXT(Настройки!$J3,"ч:мм"),TEXT(Настройки!AG37,"ч:мм"))+TIME(0,Январь!AE14,0),"ч::мм"))</f>
        <v/>
      </c>
      <c r="N25" s="3" t="str">
        <f ca="1">IF(TEXT(IF(Настройки!AH37="",TEXT(Настройки!$J3,"ч:мм"),TEXT(Настройки!AH37,"ч:мм"))+TIME(0,Январь!AF14,0),"ч::мм")=TEXT(IF(Настройки!AH37="",TEXT(Настройки!$J3,"ч:мм"),TEXT(Настройки!AH37,"ч:мм")),"ч:мм"),"",TEXT(IF(Настройки!AH37="",TEXT(Настройки!$J3,"ч:мм"),TEXT(Настройки!AH37,"ч:мм")),"ч:мм")&amp;"-"&amp;TEXT(IF(Настройки!AH37="",TEXT(Настройки!$J3,"ч:мм"),TEXT(Настройки!AH37,"ч:мм"))+TIME(0,Январь!AF14,0),"ч::мм"))</f>
        <v/>
      </c>
      <c r="O25" s="3" t="str">
        <f ca="1">IF(TEXT(IF(Настройки!AI37="",TEXT(Настройки!$J3,"ч:мм"),TEXT(Настройки!AI37,"ч:мм"))+TIME(0,Январь!AG14,0),"ч::мм")=TEXT(IF(Настройки!AI37="",TEXT(Настройки!$J3,"ч:мм"),TEXT(Настройки!AI37,"ч:мм")),"ч:мм"),"",TEXT(IF(Настройки!AI37="",TEXT(Настройки!$J3,"ч:мм"),TEXT(Настройки!AI37,"ч:мм")),"ч:мм")&amp;"-"&amp;TEXT(IF(Настройки!AI37="",TEXT(Настройки!$J3,"ч:мм"),TEXT(Настройки!AI37,"ч:мм"))+TIME(0,Январь!AG14,0),"ч::мм"))</f>
        <v/>
      </c>
      <c r="P25" s="3" t="str">
        <f ca="1">IF(TEXT(IF(Настройки!AJ37="",TEXT(Настройки!$J3,"ч:мм"),TEXT(Настройки!AJ37,"ч:мм"))+TIME(0,Январь!AH14,0),"ч::мм")=TEXT(IF(Настройки!AJ37="",TEXT(Настройки!$J3,"ч:мм"),TEXT(Настройки!AJ37,"ч:мм")),"ч:мм"),"",TEXT(IF(Настройки!AJ37="",TEXT(Настройки!$J3,"ч:мм"),TEXT(Настройки!AJ37,"ч:мм")),"ч:мм")&amp;"-"&amp;TEXT(IF(Настройки!AJ37="",TEXT(Настройки!$J3,"ч:мм"),TEXT(Настройки!AJ37,"ч:мм"))+TIME(0,Январь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38="",TEXT(Настройки!$J4,"ч:мм"),TEXT(Настройки!V38,"ч:мм"))+TIME(0,Январь!T15,0),"ч::мм")=TEXT(IF(Настройки!V38="",TEXT(Настройки!$J4,"ч:мм"),TEXT(Настройки!V38,"ч:мм")),"ч:мм"),"",TEXT(IF(Настройки!V38="",TEXT(Настройки!$J4,"ч:мм"),TEXT(Настройки!V38,"ч:мм")),"ч:мм")&amp;"-"&amp;TEXT(IF(Настройки!V38="",TEXT(Настройки!$J4,"ч:мм"),TEXT(Настройки!V38,"ч:мм"))+TIME(0,Январь!T15,0),"ч::мм"))</f>
        <v/>
      </c>
      <c r="C26" s="3" t="str">
        <f ca="1">IF(TEXT(IF(Настройки!W38="",TEXT(Настройки!$J4,"ч:мм"),TEXT(Настройки!W38,"ч:мм"))+TIME(0,Январь!U15,0),"ч::мм")=TEXT(IF(Настройки!W38="",TEXT(Настройки!$J4,"ч:мм"),TEXT(Настройки!W38,"ч:мм")),"ч:мм"),"",TEXT(IF(Настройки!W38="",TEXT(Настройки!$J4,"ч:мм"),TEXT(Настройки!W38,"ч:мм")),"ч:мм")&amp;"-"&amp;TEXT(IF(Настройки!W38="",TEXT(Настройки!$J4,"ч:мм"),TEXT(Настройки!W38,"ч:мм"))+TIME(0,Январь!U15,0),"ч::мм"))</f>
        <v/>
      </c>
      <c r="D26" s="3" t="str">
        <f ca="1">IF(TEXT(IF(Настройки!X38="",TEXT(Настройки!$J4,"ч:мм"),TEXT(Настройки!X38,"ч:мм"))+TIME(0,Январь!V15,0),"ч::мм")=TEXT(IF(Настройки!X38="",TEXT(Настройки!$J4,"ч:мм"),TEXT(Настройки!X38,"ч:мм")),"ч:мм"),"",TEXT(IF(Настройки!X38="",TEXT(Настройки!$J4,"ч:мм"),TEXT(Настройки!X38,"ч:мм")),"ч:мм")&amp;"-"&amp;TEXT(IF(Настройки!X38="",TEXT(Настройки!$J4,"ч:мм"),TEXT(Настройки!X38,"ч:мм"))+TIME(0,Январь!V15,0),"ч::мм"))</f>
        <v/>
      </c>
      <c r="E26" s="3" t="str">
        <f ca="1">IF(TEXT(IF(Настройки!Y38="",TEXT(Настройки!$J4,"ч:мм"),TEXT(Настройки!Y38,"ч:мм"))+TIME(0,Январь!W15,0),"ч::мм")=TEXT(IF(Настройки!Y38="",TEXT(Настройки!$J4,"ч:мм"),TEXT(Настройки!Y38,"ч:мм")),"ч:мм"),"",TEXT(IF(Настройки!Y38="",TEXT(Настройки!$J4,"ч:мм"),TEXT(Настройки!Y38,"ч:мм")),"ч:мм")&amp;"-"&amp;TEXT(IF(Настройки!Y38="",TEXT(Настройки!$J4,"ч:мм"),TEXT(Настройки!Y38,"ч:мм"))+TIME(0,Январь!W15,0),"ч::мм"))</f>
        <v/>
      </c>
      <c r="F26" s="3" t="str">
        <f ca="1">IF(TEXT(IF(Настройки!Z38="",TEXT(Настройки!$J4,"ч:мм"),TEXT(Настройки!Z38,"ч:мм"))+TIME(0,Январь!X15,0),"ч::мм")=TEXT(IF(Настройки!Z38="",TEXT(Настройки!$J4,"ч:мм"),TEXT(Настройки!Z38,"ч:мм")),"ч:мм"),"",TEXT(IF(Настройки!Z38="",TEXT(Настройки!$J4,"ч:мм"),TEXT(Настройки!Z38,"ч:мм")),"ч:мм")&amp;"-"&amp;TEXT(IF(Настройки!Z38="",TEXT(Настройки!$J4,"ч:мм"),TEXT(Настройки!Z38,"ч:мм"))+TIME(0,Январь!X15,0),"ч::мм"))</f>
        <v/>
      </c>
      <c r="G26" s="3" t="str">
        <f ca="1">IF(TEXT(IF(Настройки!AA38="",TEXT(Настройки!$J4,"ч:мм"),TEXT(Настройки!AA38,"ч:мм"))+TIME(0,Январь!Y15,0),"ч::мм")=TEXT(IF(Настройки!AA38="",TEXT(Настройки!$J4,"ч:мм"),TEXT(Настройки!AA38,"ч:мм")),"ч:мм"),"",TEXT(IF(Настройки!AA38="",TEXT(Настройки!$J4,"ч:мм"),TEXT(Настройки!AA38,"ч:мм")),"ч:мм")&amp;"-"&amp;TEXT(IF(Настройки!AA38="",TEXT(Настройки!$J4,"ч:мм"),TEXT(Настройки!AA38,"ч:мм"))+TIME(0,Январь!Y15,0),"ч::мм"))</f>
        <v/>
      </c>
      <c r="H26" s="3" t="str">
        <f ca="1">IF(TEXT(IF(Настройки!AB38="",TEXT(Настройки!$J4,"ч:мм"),TEXT(Настройки!AB38,"ч:мм"))+TIME(0,Январь!Z15,0),"ч::мм")=TEXT(IF(Настройки!AB38="",TEXT(Настройки!$J4,"ч:мм"),TEXT(Настройки!AB38,"ч:мм")),"ч:мм"),"",TEXT(IF(Настройки!AB38="",TEXT(Настройки!$J4,"ч:мм"),TEXT(Настройки!AB38,"ч:мм")),"ч:мм")&amp;"-"&amp;TEXT(IF(Настройки!AB38="",TEXT(Настройки!$J4,"ч:мм"),TEXT(Настройки!AB38,"ч:мм"))+TIME(0,Январь!Z15,0),"ч::мм"))</f>
        <v/>
      </c>
      <c r="I26" s="3" t="str">
        <f ca="1">IF(TEXT(IF(Настройки!AC38="",TEXT(Настройки!$J4,"ч:мм"),TEXT(Настройки!AC38,"ч:мм"))+TIME(0,Январь!AA15,0),"ч::мм")=TEXT(IF(Настройки!AC38="",TEXT(Настройки!$J4,"ч:мм"),TEXT(Настройки!AC38,"ч:мм")),"ч:мм"),"",TEXT(IF(Настройки!AC38="",TEXT(Настройки!$J4,"ч:мм"),TEXT(Настройки!AC38,"ч:мм")),"ч:мм")&amp;"-"&amp;TEXT(IF(Настройки!AC38="",TEXT(Настройки!$J4,"ч:мм"),TEXT(Настройки!AC38,"ч:мм"))+TIME(0,Январь!AA15,0),"ч::мм"))</f>
        <v/>
      </c>
      <c r="J26" s="3" t="str">
        <f ca="1">IF(TEXT(IF(Настройки!AD38="",TEXT(Настройки!$J4,"ч:мм"),TEXT(Настройки!AD38,"ч:мм"))+TIME(0,Январь!AB15,0),"ч::мм")=TEXT(IF(Настройки!AD38="",TEXT(Настройки!$J4,"ч:мм"),TEXT(Настройки!AD38,"ч:мм")),"ч:мм"),"",TEXT(IF(Настройки!AD38="",TEXT(Настройки!$J4,"ч:мм"),TEXT(Настройки!AD38,"ч:мм")),"ч:мм")&amp;"-"&amp;TEXT(IF(Настройки!AD38="",TEXT(Настройки!$J4,"ч:мм"),TEXT(Настройки!AD38,"ч:мм"))+TIME(0,Январь!AB15,0),"ч::мм"))</f>
        <v/>
      </c>
      <c r="K26" s="3" t="str">
        <f ca="1">IF(TEXT(IF(Настройки!AE38="",TEXT(Настройки!$J4,"ч:мм"),TEXT(Настройки!AE38,"ч:мм"))+TIME(0,Январь!AC15,0),"ч::мм")=TEXT(IF(Настройки!AE38="",TEXT(Настройки!$J4,"ч:мм"),TEXT(Настройки!AE38,"ч:мм")),"ч:мм"),"",TEXT(IF(Настройки!AE38="",TEXT(Настройки!$J4,"ч:мм"),TEXT(Настройки!AE38,"ч:мм")),"ч:мм")&amp;"-"&amp;TEXT(IF(Настройки!AE38="",TEXT(Настройки!$J4,"ч:мм"),TEXT(Настройки!AE38,"ч:мм"))+TIME(0,Январь!AC15,0),"ч::мм"))</f>
        <v/>
      </c>
      <c r="L26" s="3" t="str">
        <f ca="1">IF(TEXT(IF(Настройки!AF38="",TEXT(Настройки!$J4,"ч:мм"),TEXT(Настройки!AF38,"ч:мм"))+TIME(0,Январь!AD15,0),"ч::мм")=TEXT(IF(Настройки!AF38="",TEXT(Настройки!$J4,"ч:мм"),TEXT(Настройки!AF38,"ч:мм")),"ч:мм"),"",TEXT(IF(Настройки!AF38="",TEXT(Настройки!$J4,"ч:мм"),TEXT(Настройки!AF38,"ч:мм")),"ч:мм")&amp;"-"&amp;TEXT(IF(Настройки!AF38="",TEXT(Настройки!$J4,"ч:мм"),TEXT(Настройки!AF38,"ч:мм"))+TIME(0,Январь!AD15,0),"ч::мм"))</f>
        <v/>
      </c>
      <c r="M26" s="3" t="str">
        <f ca="1">IF(TEXT(IF(Настройки!AG38="",TEXT(Настройки!$J4,"ч:мм"),TEXT(Настройки!AG38,"ч:мм"))+TIME(0,Январь!AE15,0),"ч::мм")=TEXT(IF(Настройки!AG38="",TEXT(Настройки!$J4,"ч:мм"),TEXT(Настройки!AG38,"ч:мм")),"ч:мм"),"",TEXT(IF(Настройки!AG38="",TEXT(Настройки!$J4,"ч:мм"),TEXT(Настройки!AG38,"ч:мм")),"ч:мм")&amp;"-"&amp;TEXT(IF(Настройки!AG38="",TEXT(Настройки!$J4,"ч:мм"),TEXT(Настройки!AG38,"ч:мм"))+TIME(0,Январь!AE15,0),"ч::мм"))</f>
        <v/>
      </c>
      <c r="N26" s="3" t="str">
        <f ca="1">IF(TEXT(IF(Настройки!AH38="",TEXT(Настройки!$J4,"ч:мм"),TEXT(Настройки!AH38,"ч:мм"))+TIME(0,Январь!AF15,0),"ч::мм")=TEXT(IF(Настройки!AH38="",TEXT(Настройки!$J4,"ч:мм"),TEXT(Настройки!AH38,"ч:мм")),"ч:мм"),"",TEXT(IF(Настройки!AH38="",TEXT(Настройки!$J4,"ч:мм"),TEXT(Настройки!AH38,"ч:мм")),"ч:мм")&amp;"-"&amp;TEXT(IF(Настройки!AH38="",TEXT(Настройки!$J4,"ч:мм"),TEXT(Настройки!AH38,"ч:мм"))+TIME(0,Январь!AF15,0),"ч::мм"))</f>
        <v/>
      </c>
      <c r="O26" s="3" t="str">
        <f ca="1">IF(TEXT(IF(Настройки!AI38="",TEXT(Настройки!$J4,"ч:мм"),TEXT(Настройки!AI38,"ч:мм"))+TIME(0,Январь!AG15,0),"ч::мм")=TEXT(IF(Настройки!AI38="",TEXT(Настройки!$J4,"ч:мм"),TEXT(Настройки!AI38,"ч:мм")),"ч:мм"),"",TEXT(IF(Настройки!AI38="",TEXT(Настройки!$J4,"ч:мм"),TEXT(Настройки!AI38,"ч:мм")),"ч:мм")&amp;"-"&amp;TEXT(IF(Настройки!AI38="",TEXT(Настройки!$J4,"ч:мм"),TEXT(Настройки!AI38,"ч:мм"))+TIME(0,Январь!AG15,0),"ч::мм"))</f>
        <v/>
      </c>
      <c r="P26" s="3" t="str">
        <f ca="1">IF(TEXT(IF(Настройки!AJ38="",TEXT(Настройки!$J4,"ч:мм"),TEXT(Настройки!AJ38,"ч:мм"))+TIME(0,Январь!AH15,0),"ч::мм")=TEXT(IF(Настройки!AJ38="",TEXT(Настройки!$J4,"ч:мм"),TEXT(Настройки!AJ38,"ч:мм")),"ч:мм"),"",TEXT(IF(Настройки!AJ38="",TEXT(Настройки!$J4,"ч:мм"),TEXT(Настройки!AJ38,"ч:мм")),"ч:мм")&amp;"-"&amp;TEXT(IF(Настройки!AJ38="",TEXT(Настройки!$J4,"ч:мм"),TEXT(Настройки!AJ38,"ч:мм"))+TIME(0,Январь!AH15,0),"ч::мм"))</f>
        <v/>
      </c>
    </row>
    <row r="27" spans="1:18" x14ac:dyDescent="0.25">
      <c r="Q27" s="9"/>
      <c r="R27" s="9"/>
    </row>
    <row r="28" spans="1:18" x14ac:dyDescent="0.25">
      <c r="A28" s="81"/>
      <c r="B28" s="67" t="s">
        <v>55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4"/>
      <c r="Q28" s="33"/>
      <c r="R28" s="9"/>
    </row>
    <row r="29" spans="1:18" x14ac:dyDescent="0.25">
      <c r="A29" s="83"/>
      <c r="B29" s="95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6"/>
      <c r="Q29" s="33"/>
      <c r="R29" s="9"/>
    </row>
    <row r="30" spans="1:18" x14ac:dyDescent="0.25">
      <c r="A30" s="83"/>
      <c r="B30" s="29">
        <f>Настройки!AK7</f>
        <v>45322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31"/>
      <c r="R30" s="9"/>
    </row>
    <row r="31" spans="1:18" x14ac:dyDescent="0.25">
      <c r="A31" s="83"/>
      <c r="B31" s="67" t="s">
        <v>54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4"/>
      <c r="Q31" s="33"/>
      <c r="R31" s="9"/>
    </row>
    <row r="32" spans="1:18" x14ac:dyDescent="0.25">
      <c r="A32" s="84"/>
      <c r="B32" s="95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6"/>
      <c r="Q32" s="33"/>
      <c r="R32" s="9"/>
    </row>
    <row r="33" spans="1:16" x14ac:dyDescent="0.25">
      <c r="A33" s="3" t="s">
        <v>138</v>
      </c>
      <c r="B33" s="3" t="s">
        <v>113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</row>
    <row r="34" spans="1:16" x14ac:dyDescent="0.25">
      <c r="A34" s="32" t="str">
        <f t="shared" ref="A34:A36" si="1">A14</f>
        <v>9:00-9:00</v>
      </c>
      <c r="B34" s="3" t="str">
        <f>IF(TEXT(IF(Настройки!AK36="",TEXT(Настройки!$J2,"ч:мм"),TEXT(Настройки!AK36,"ч:мм"))+TIME(0,Январь!AI13,0),"ч::мм")=TEXT(IF(Настройки!AK36="",TEXT(Настройки!$J2,"ч:мм"),TEXT(Настройки!AK36,"ч:мм")),"ч:мм"),"",TEXT(IF(Настройки!AK36="",TEXT(Настройки!$J2,"ч:мм"),TEXT(Настройки!AK36,"ч:мм")),"ч:мм")&amp;"-"&amp;TEXT(IF(Настройки!AK36="",TEXT(Настройки!$J2,"ч:мм"),TEXT(Настройки!AK36,"ч:мм"))+TIME(0,Январь!AI13,0),"ч::мм"))</f>
        <v/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</row>
    <row r="35" spans="1:16" x14ac:dyDescent="0.25">
      <c r="A35" s="32" t="str">
        <f t="shared" ca="1" si="1"/>
        <v>13:00-13:00</v>
      </c>
      <c r="B35" s="3" t="str">
        <f ca="1">IF(TEXT(IF(Настройки!AK37="",TEXT(Настройки!$J3,"ч:мм"),TEXT(Настройки!AK37,"ч:мм"))+TIME(0,Январь!AI14,0),"ч::мм")=TEXT(IF(Настройки!AK37="",TEXT(Настройки!$J3,"ч:мм"),TEXT(Настройки!AK37,"ч:мм")),"ч:мм"),"",TEXT(IF(Настройки!AK37="",TEXT(Настройки!$J3,"ч:мм"),TEXT(Настройки!AK37,"ч:мм")),"ч:мм")&amp;"-"&amp;TEXT(IF(Настройки!AK37="",TEXT(Настройки!$J3,"ч:мм"),TEXT(Настройки!AK37,"ч:мм"))+TIME(0,Январь!AI14,0),"ч::мм"))</f>
        <v/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</row>
    <row r="36" spans="1:16" x14ac:dyDescent="0.25">
      <c r="A36" s="32" t="str">
        <f t="shared" ca="1" si="1"/>
        <v>16:00-16:00</v>
      </c>
      <c r="B36" s="3" t="str">
        <f ca="1">IF(TEXT(IF(Настройки!AK38="",TEXT(Настройки!$J4,"ч:мм"),TEXT(Настройки!AK38,"ч:мм"))+TIME(0,Январь!AI15,0),"ч::мм")=TEXT(IF(Настройки!AK38="",TEXT(Настройки!$J4,"ч:мм"),TEXT(Настройки!AK38,"ч:мм")),"ч:мм"),"",TEXT(IF(Настройки!AK38="",TEXT(Настройки!$J4,"ч:мм"),TEXT(Настройки!AK38,"ч:мм")),"ч:мм")&amp;"-"&amp;TEXT(IF(Настройки!AK38="",TEXT(Настройки!$J4,"ч:мм"),TEXT(Настройки!AK38,"ч:мм"))+TIME(0,Январь!AI15,0),"ч::мм"))</f>
        <v/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</row>
  </sheetData>
  <mergeCells count="12">
    <mergeCell ref="A28:A32"/>
    <mergeCell ref="B28:P29"/>
    <mergeCell ref="B31:P32"/>
    <mergeCell ref="A18:A22"/>
    <mergeCell ref="B18:P19"/>
    <mergeCell ref="B21:P22"/>
    <mergeCell ref="A8:A12"/>
    <mergeCell ref="B8:P9"/>
    <mergeCell ref="B11:P12"/>
    <mergeCell ref="A2:P2"/>
    <mergeCell ref="F6:G6"/>
    <mergeCell ref="H6:I6"/>
  </mergeCells>
  <conditionalFormatting sqref="B10:P10">
    <cfRule type="expression" dxfId="1238" priority="3">
      <formula>WEEKDAY(B10:P10,2)&gt;5</formula>
    </cfRule>
  </conditionalFormatting>
  <conditionalFormatting sqref="B20:P20">
    <cfRule type="expression" dxfId="1237" priority="2">
      <formula>WEEKDAY(B20:P20,2)&gt;5</formula>
    </cfRule>
  </conditionalFormatting>
  <conditionalFormatting sqref="B30">
    <cfRule type="expression" dxfId="1236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4" tint="0.39997558519241921"/>
    <pageSetUpPr fitToPage="1"/>
  </sheetPr>
  <dimension ref="A2:AK28"/>
  <sheetViews>
    <sheetView zoomScale="70" zoomScaleNormal="70" workbookViewId="0">
      <selection activeCell="D1" sqref="D1"/>
    </sheetView>
  </sheetViews>
  <sheetFormatPr defaultRowHeight="15.75" x14ac:dyDescent="0.25"/>
  <cols>
    <col min="1" max="1" width="21.42578125" style="3" customWidth="1"/>
    <col min="2" max="2" width="18.28515625" style="3" bestFit="1" customWidth="1"/>
    <col min="3" max="3" width="14.42578125" style="3" bestFit="1" customWidth="1"/>
    <col min="4" max="4" width="9.28515625" style="3" customWidth="1"/>
    <col min="5" max="17" width="4.42578125" style="3" bestFit="1" customWidth="1"/>
    <col min="18" max="18" width="6.42578125" style="3" bestFit="1" customWidth="1"/>
    <col min="19" max="33" width="4.42578125" style="3" bestFit="1" customWidth="1"/>
    <col min="34" max="34" width="9.5703125" style="3" bestFit="1" customWidth="1"/>
    <col min="35" max="35" width="10" style="3" bestFit="1" customWidth="1"/>
    <col min="36" max="36" width="11.42578125" style="3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7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7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7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7" ht="18.75" x14ac:dyDescent="0.25">
      <c r="C5" s="14"/>
      <c r="L5" s="10" t="s">
        <v>69</v>
      </c>
      <c r="M5" s="61" t="s">
        <v>127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6" spans="1:37" ht="18.75" x14ac:dyDescent="0.25">
      <c r="C6" s="14"/>
      <c r="L6" s="10"/>
      <c r="M6" s="16"/>
      <c r="N6" s="25"/>
      <c r="O6" s="25"/>
      <c r="P6" s="25"/>
      <c r="Q6" s="25"/>
      <c r="R6" s="16"/>
      <c r="S6" s="25"/>
      <c r="T6" s="12"/>
      <c r="U6" s="12"/>
    </row>
    <row r="7" spans="1:37" x14ac:dyDescent="0.25">
      <c r="A7" s="73"/>
      <c r="B7" s="80" t="s">
        <v>107</v>
      </c>
      <c r="C7" s="80" t="s">
        <v>106</v>
      </c>
      <c r="D7" s="81" t="s">
        <v>61</v>
      </c>
      <c r="E7" s="73" t="s">
        <v>55</v>
      </c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8" t="s">
        <v>64</v>
      </c>
      <c r="AI7" s="63" t="s">
        <v>64</v>
      </c>
      <c r="AK7" s="4"/>
    </row>
    <row r="8" spans="1:37" x14ac:dyDescent="0.25">
      <c r="A8" s="73"/>
      <c r="B8" s="76"/>
      <c r="C8" s="76"/>
      <c r="D8" s="82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9"/>
      <c r="AI8" s="63"/>
      <c r="AK8" s="4"/>
    </row>
    <row r="9" spans="1:37" x14ac:dyDescent="0.25">
      <c r="A9" s="73"/>
      <c r="B9" s="76"/>
      <c r="C9" s="76"/>
      <c r="D9" s="82"/>
      <c r="E9" s="17">
        <f>Настройки!G8</f>
        <v>45323</v>
      </c>
      <c r="F9" s="17">
        <f>Настройки!H8</f>
        <v>45324</v>
      </c>
      <c r="G9" s="17">
        <f>Настройки!I8</f>
        <v>45325</v>
      </c>
      <c r="H9" s="17">
        <f>Настройки!J8</f>
        <v>45326</v>
      </c>
      <c r="I9" s="17">
        <f>Настройки!K8</f>
        <v>45327</v>
      </c>
      <c r="J9" s="17">
        <f>Настройки!L8</f>
        <v>45328</v>
      </c>
      <c r="K9" s="17">
        <f>Настройки!M8</f>
        <v>45329</v>
      </c>
      <c r="L9" s="17">
        <f>Настройки!N8</f>
        <v>45330</v>
      </c>
      <c r="M9" s="17">
        <f>Настройки!O8</f>
        <v>45331</v>
      </c>
      <c r="N9" s="17">
        <f>Настройки!P8</f>
        <v>45332</v>
      </c>
      <c r="O9" s="17">
        <f>Настройки!Q8</f>
        <v>45333</v>
      </c>
      <c r="P9" s="17">
        <f>Настройки!R8</f>
        <v>45334</v>
      </c>
      <c r="Q9" s="17">
        <f>Настройки!S8</f>
        <v>45335</v>
      </c>
      <c r="R9" s="17">
        <f>Настройки!T8</f>
        <v>45336</v>
      </c>
      <c r="S9" s="17">
        <f>Настройки!U8</f>
        <v>45337</v>
      </c>
      <c r="T9" s="17">
        <f>Настройки!V8</f>
        <v>45338</v>
      </c>
      <c r="U9" s="17">
        <f>Настройки!W8</f>
        <v>45339</v>
      </c>
      <c r="V9" s="17">
        <f>Настройки!X8</f>
        <v>45340</v>
      </c>
      <c r="W9" s="17">
        <f>Настройки!Y8</f>
        <v>45341</v>
      </c>
      <c r="X9" s="17">
        <f>Настройки!Z8</f>
        <v>45342</v>
      </c>
      <c r="Y9" s="17">
        <f>Настройки!AA8</f>
        <v>45343</v>
      </c>
      <c r="Z9" s="17">
        <f>Настройки!AB8</f>
        <v>45344</v>
      </c>
      <c r="AA9" s="17">
        <f>Настройки!AC8</f>
        <v>45345</v>
      </c>
      <c r="AB9" s="17">
        <f>Настройки!AD8</f>
        <v>45346</v>
      </c>
      <c r="AC9" s="17">
        <f>Настройки!AE8</f>
        <v>45347</v>
      </c>
      <c r="AD9" s="17">
        <f>Настройки!AF8</f>
        <v>45348</v>
      </c>
      <c r="AE9" s="17">
        <f>Настройки!AG8</f>
        <v>45349</v>
      </c>
      <c r="AF9" s="17">
        <f>Настройки!AH8</f>
        <v>45350</v>
      </c>
      <c r="AG9" s="17">
        <f>Настройки!AI8</f>
        <v>45351</v>
      </c>
      <c r="AH9" s="99"/>
      <c r="AI9" s="63"/>
      <c r="AK9" s="4"/>
    </row>
    <row r="10" spans="1:37" x14ac:dyDescent="0.25">
      <c r="A10" s="73"/>
      <c r="B10" s="76"/>
      <c r="C10" s="76"/>
      <c r="D10" s="82"/>
      <c r="E10" s="73" t="s">
        <v>54</v>
      </c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9"/>
      <c r="AI10" s="63"/>
      <c r="AK10" s="4"/>
    </row>
    <row r="11" spans="1:37" x14ac:dyDescent="0.25">
      <c r="A11" s="80"/>
      <c r="B11" s="76"/>
      <c r="C11" s="76"/>
      <c r="D11" s="82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6"/>
      <c r="AI11" s="63"/>
    </row>
    <row r="12" spans="1:37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13" t="s">
        <v>75</v>
      </c>
      <c r="F12" s="13" t="s">
        <v>76</v>
      </c>
      <c r="G12" s="13" t="s">
        <v>77</v>
      </c>
      <c r="H12" s="13" t="s">
        <v>78</v>
      </c>
      <c r="I12" s="13" t="s">
        <v>79</v>
      </c>
      <c r="J12" s="13" t="s">
        <v>80</v>
      </c>
      <c r="K12" s="13" t="s">
        <v>81</v>
      </c>
      <c r="L12" s="13" t="s">
        <v>82</v>
      </c>
      <c r="M12" s="13" t="s">
        <v>83</v>
      </c>
      <c r="N12" s="13" t="s">
        <v>84</v>
      </c>
      <c r="O12" s="13" t="s">
        <v>85</v>
      </c>
      <c r="P12" s="13" t="s">
        <v>86</v>
      </c>
      <c r="Q12" s="13" t="s">
        <v>87</v>
      </c>
      <c r="R12" s="13" t="s">
        <v>88</v>
      </c>
      <c r="S12" s="13" t="s">
        <v>89</v>
      </c>
      <c r="T12" s="13" t="s">
        <v>90</v>
      </c>
      <c r="U12" s="13" t="s">
        <v>91</v>
      </c>
      <c r="V12" s="13" t="s">
        <v>92</v>
      </c>
      <c r="W12" s="13" t="s">
        <v>93</v>
      </c>
      <c r="X12" s="13" t="s">
        <v>94</v>
      </c>
      <c r="Y12" s="13" t="s">
        <v>95</v>
      </c>
      <c r="Z12" s="13" t="s">
        <v>96</v>
      </c>
      <c r="AA12" s="13" t="s">
        <v>97</v>
      </c>
      <c r="AB12" s="13" t="s">
        <v>98</v>
      </c>
      <c r="AC12" s="13" t="s">
        <v>99</v>
      </c>
      <c r="AD12" s="13" t="s">
        <v>100</v>
      </c>
      <c r="AE12" s="13" t="s">
        <v>101</v>
      </c>
      <c r="AF12" s="13" t="s">
        <v>102</v>
      </c>
      <c r="AG12" s="13" t="s">
        <v>103</v>
      </c>
      <c r="AH12" s="3" t="s">
        <v>62</v>
      </c>
      <c r="AI12" s="3" t="s">
        <v>63</v>
      </c>
    </row>
    <row r="13" spans="1:37" x14ac:dyDescent="0.25">
      <c r="A13" s="5" t="s">
        <v>56</v>
      </c>
      <c r="B13" s="3">
        <f ca="1">SUMPRODUCT((Настройки!$G$22:$AI$22=1)*E16:AG16)</f>
        <v>0</v>
      </c>
      <c r="C13" s="13"/>
      <c r="D13" s="5">
        <v>1</v>
      </c>
      <c r="E13" s="3">
        <f>SUMPRODUCT((Февраль[№]=1)*Февраль[1],Февраль[Объем])</f>
        <v>0</v>
      </c>
      <c r="F13" s="23">
        <f>SUMPRODUCT((Февраль[№]=1)*Февраль[2],Февраль[Объем])</f>
        <v>0</v>
      </c>
      <c r="G13" s="23">
        <f>SUMPRODUCT((Февраль[№]=1)*Февраль[3],Февраль[Объем])</f>
        <v>0</v>
      </c>
      <c r="H13" s="23">
        <f>SUMPRODUCT((Февраль[№]=1)*Февраль[4],Февраль[Объем])</f>
        <v>0</v>
      </c>
      <c r="I13" s="23">
        <f>SUMPRODUCT((Февраль[№]=1)*Февраль[5],Февраль[Объем])</f>
        <v>0</v>
      </c>
      <c r="J13" s="23">
        <f>SUMPRODUCT((Февраль[№]=1)*Февраль[6],Февраль[Объем])</f>
        <v>0</v>
      </c>
      <c r="K13" s="23">
        <f>SUMPRODUCT((Февраль[№]=1)*Февраль[7],Февраль[Объем])</f>
        <v>0</v>
      </c>
      <c r="L13" s="23">
        <f>SUMPRODUCT((Февраль[№]=1)*Февраль[8],Февраль[Объем])</f>
        <v>0</v>
      </c>
      <c r="M13" s="23">
        <f>SUMPRODUCT((Февраль[№]=1)*Февраль[9],Февраль[Объем])</f>
        <v>0</v>
      </c>
      <c r="N13" s="23">
        <f>SUMPRODUCT((Февраль[№]=1)*Февраль[10],Февраль[Объем])</f>
        <v>0</v>
      </c>
      <c r="O13" s="23">
        <f>SUMPRODUCT((Февраль[№]=1)*Февраль[11],Февраль[Объем])</f>
        <v>0</v>
      </c>
      <c r="P13" s="23">
        <f>SUMPRODUCT((Февраль[№]=1)*Февраль[12],Февраль[Объем])</f>
        <v>0</v>
      </c>
      <c r="Q13" s="23">
        <f>SUMPRODUCT((Февраль[№]=1)*Февраль[13],Февраль[Объем])</f>
        <v>0</v>
      </c>
      <c r="R13" s="23">
        <f>SUMPRODUCT((Февраль[№]=1)*Февраль[14],Февраль[Объем])</f>
        <v>0</v>
      </c>
      <c r="S13" s="23">
        <f>SUMPRODUCT((Февраль[№]=1)*Февраль[15],Февраль[Объем])</f>
        <v>0</v>
      </c>
      <c r="T13" s="23">
        <f>SUMPRODUCT((Февраль[№]=1)*Февраль[16],Февраль[Объем])</f>
        <v>0</v>
      </c>
      <c r="U13" s="23">
        <f>SUMPRODUCT((Февраль[№]=1)*Февраль[17],Февраль[Объем])</f>
        <v>0</v>
      </c>
      <c r="V13" s="23">
        <f>SUMPRODUCT((Февраль[№]=1)*Февраль[18],Февраль[Объем])</f>
        <v>0</v>
      </c>
      <c r="W13" s="23">
        <f>SUMPRODUCT((Февраль[№]=1)*Февраль[19],Февраль[Объем])</f>
        <v>0</v>
      </c>
      <c r="X13" s="23">
        <f>SUMPRODUCT((Февраль[№]=1)*Февраль[20],Февраль[Объем])</f>
        <v>0</v>
      </c>
      <c r="Y13" s="23">
        <f>SUMPRODUCT((Февраль[№]=1)*Февраль[21],Февраль[Объем])</f>
        <v>0</v>
      </c>
      <c r="Z13" s="23">
        <f>SUMPRODUCT((Февраль[№]=1)*Февраль[22],Февраль[Объем])</f>
        <v>0</v>
      </c>
      <c r="AA13" s="23">
        <f>SUMPRODUCT((Февраль[№]=1)*Февраль[23],Февраль[Объем])</f>
        <v>0</v>
      </c>
      <c r="AB13" s="23">
        <f>SUMPRODUCT((Февраль[№]=1)*Февраль[24],Февраль[Объем])</f>
        <v>0</v>
      </c>
      <c r="AC13" s="23">
        <f>SUMPRODUCT((Февраль[№]=1)*Февраль[25],Февраль[Объем])</f>
        <v>0</v>
      </c>
      <c r="AD13" s="23">
        <f>SUMPRODUCT((Февраль[№]=1)*Февраль[26],Февраль[Объем])</f>
        <v>0</v>
      </c>
      <c r="AE13" s="23">
        <f>SUMPRODUCT((Февраль[№]=1)*Февраль[27],Февраль[Объем])</f>
        <v>0</v>
      </c>
      <c r="AF13" s="23">
        <f>SUMPRODUCT((Февраль[№]=1)*Февраль[28],Февраль[Объем])</f>
        <v>0</v>
      </c>
      <c r="AG13" s="23">
        <f>SUMPRODUCT((Февраль[№]=1)*Февраль[29],Февраль[Объем])</f>
        <v>0</v>
      </c>
    </row>
    <row r="14" spans="1:37" x14ac:dyDescent="0.25">
      <c r="B14" s="3">
        <f ca="1">SUMPRODUCT((Настройки!$G$22:$AI$22=2)*E16:AG16)</f>
        <v>0</v>
      </c>
      <c r="D14" s="5">
        <v>2</v>
      </c>
      <c r="E14" s="3">
        <f ca="1">SUMPRODUCT((Февраль[№]=2)*Февраль[1],OFFSET(Февраль[Объем],-1,0))</f>
        <v>0</v>
      </c>
      <c r="F14" s="23">
        <f ca="1">SUMPRODUCT((Февраль[№]=2)*Февраль[2],OFFSET(Февраль[Объем],-1,0))</f>
        <v>0</v>
      </c>
      <c r="G14" s="23">
        <f ca="1">SUMPRODUCT((Февраль[№]=2)*Февраль[3],OFFSET(Февраль[Объем],-1,0))</f>
        <v>0</v>
      </c>
      <c r="H14" s="23">
        <f ca="1">SUMPRODUCT((Февраль[№]=2)*Февраль[4],OFFSET(Февраль[Объем],-1,0))</f>
        <v>0</v>
      </c>
      <c r="I14" s="23">
        <f ca="1">SUMPRODUCT((Февраль[№]=2)*Февраль[5],OFFSET(Февраль[Объем],-1,0))</f>
        <v>0</v>
      </c>
      <c r="J14" s="23">
        <f ca="1">SUMPRODUCT((Февраль[№]=2)*Февраль[6],OFFSET(Февраль[Объем],-1,0))</f>
        <v>0</v>
      </c>
      <c r="K14" s="23">
        <f ca="1">SUMPRODUCT((Февраль[№]=2)*Февраль[7],OFFSET(Февраль[Объем],-1,0))</f>
        <v>0</v>
      </c>
      <c r="L14" s="23">
        <f ca="1">SUMPRODUCT((Февраль[№]=2)*Февраль[8],OFFSET(Февраль[Объем],-1,0))</f>
        <v>0</v>
      </c>
      <c r="M14" s="23">
        <f ca="1">SUMPRODUCT((Февраль[№]=2)*Февраль[9],OFFSET(Февраль[Объем],-1,0))</f>
        <v>0</v>
      </c>
      <c r="N14" s="23">
        <f ca="1">SUMPRODUCT((Февраль[№]=2)*Февраль[10],OFFSET(Февраль[Объем],-1,0))</f>
        <v>0</v>
      </c>
      <c r="O14" s="23">
        <f ca="1">SUMPRODUCT((Февраль[№]=2)*Февраль[11],OFFSET(Февраль[Объем],-1,0))</f>
        <v>0</v>
      </c>
      <c r="P14" s="23">
        <f ca="1">SUMPRODUCT((Февраль[№]=2)*Февраль[12],OFFSET(Февраль[Объем],-1,0))</f>
        <v>0</v>
      </c>
      <c r="Q14" s="23">
        <f ca="1">SUMPRODUCT((Февраль[№]=2)*Февраль[13],OFFSET(Февраль[Объем],-1,0))</f>
        <v>0</v>
      </c>
      <c r="R14" s="23">
        <f ca="1">SUMPRODUCT((Февраль[№]=2)*Февраль[14],OFFSET(Февраль[Объем],-1,0))</f>
        <v>0</v>
      </c>
      <c r="S14" s="23">
        <f ca="1">SUMPRODUCT((Февраль[№]=2)*Февраль[15],OFFSET(Февраль[Объем],-1,0))</f>
        <v>0</v>
      </c>
      <c r="T14" s="23">
        <f ca="1">SUMPRODUCT((Февраль[№]=2)*Февраль[16],OFFSET(Февраль[Объем],-1,0))</f>
        <v>0</v>
      </c>
      <c r="U14" s="23">
        <f ca="1">SUMPRODUCT((Февраль[№]=2)*Февраль[17],OFFSET(Февраль[Объем],-1,0))</f>
        <v>0</v>
      </c>
      <c r="V14" s="23">
        <f ca="1">SUMPRODUCT((Февраль[№]=2)*Февраль[18],OFFSET(Февраль[Объем],-1,0))</f>
        <v>0</v>
      </c>
      <c r="W14" s="23">
        <f ca="1">SUMPRODUCT((Февраль[№]=2)*Февраль[19],OFFSET(Февраль[Объем],-1,0))</f>
        <v>0</v>
      </c>
      <c r="X14" s="23">
        <f ca="1">SUMPRODUCT((Февраль[№]=2)*Февраль[20],OFFSET(Февраль[Объем],-1,0))</f>
        <v>0</v>
      </c>
      <c r="Y14" s="23">
        <f ca="1">SUMPRODUCT((Февраль[№]=2)*Февраль[21],OFFSET(Февраль[Объем],-1,0))</f>
        <v>0</v>
      </c>
      <c r="Z14" s="23">
        <f ca="1">SUMPRODUCT((Февраль[№]=2)*Февраль[22],OFFSET(Февраль[Объем],-1,0))</f>
        <v>0</v>
      </c>
      <c r="AA14" s="23">
        <f ca="1">SUMPRODUCT((Февраль[№]=2)*Февраль[23],OFFSET(Февраль[Объем],-1,0))</f>
        <v>0</v>
      </c>
      <c r="AB14" s="23">
        <f ca="1">SUMPRODUCT((Февраль[№]=2)*Февраль[24],OFFSET(Февраль[Объем],-1,0))</f>
        <v>0</v>
      </c>
      <c r="AC14" s="23">
        <f ca="1">SUMPRODUCT((Февраль[№]=2)*Февраль[25],OFFSET(Февраль[Объем],-1,0))</f>
        <v>0</v>
      </c>
      <c r="AD14" s="23">
        <f ca="1">SUMPRODUCT((Февраль[№]=2)*Февраль[26],OFFSET(Февраль[Объем],-1,0))</f>
        <v>0</v>
      </c>
      <c r="AE14" s="23">
        <f ca="1">SUMPRODUCT((Февраль[№]=2)*Февраль[27],OFFSET(Февраль[Объем],-1,0))</f>
        <v>0</v>
      </c>
      <c r="AF14" s="23">
        <f ca="1">SUMPRODUCT((Февраль[№]=2)*Февраль[28],OFFSET(Февраль[Объем],-1,0))</f>
        <v>0</v>
      </c>
      <c r="AG14" s="23">
        <f ca="1">SUMPRODUCT((Февраль[№]=2)*Февраль[29],OFFSET(Февраль[Объем],-1,0))</f>
        <v>0</v>
      </c>
    </row>
    <row r="15" spans="1:37" x14ac:dyDescent="0.25">
      <c r="B15" s="3">
        <f ca="1">SUMPRODUCT((Настройки!$G$22:$AI$22=3)*E16:AG16)</f>
        <v>0</v>
      </c>
      <c r="D15" s="5">
        <v>3</v>
      </c>
      <c r="E15" s="3">
        <f ca="1">SUMPRODUCT((Февраль[№]=3)*Февраль[1],OFFSET(Февраль[Объем],-2,0))</f>
        <v>0</v>
      </c>
      <c r="F15" s="23">
        <f ca="1">SUMPRODUCT((Февраль[№]=3)*Февраль[2],OFFSET(Февраль[Объем],-2,0))</f>
        <v>0</v>
      </c>
      <c r="G15" s="23">
        <f ca="1">SUMPRODUCT((Февраль[№]=3)*Февраль[3],OFFSET(Февраль[Объем],-2,0))</f>
        <v>0</v>
      </c>
      <c r="H15" s="23">
        <f ca="1">SUMPRODUCT((Февраль[№]=3)*Февраль[4],OFFSET(Февраль[Объем],-2,0))</f>
        <v>0</v>
      </c>
      <c r="I15" s="23">
        <f ca="1">SUMPRODUCT((Февраль[№]=3)*Февраль[5],OFFSET(Февраль[Объем],-2,0))</f>
        <v>0</v>
      </c>
      <c r="J15" s="23">
        <f ca="1">SUMPRODUCT((Февраль[№]=3)*Февраль[6],OFFSET(Февраль[Объем],-2,0))</f>
        <v>0</v>
      </c>
      <c r="K15" s="23">
        <f ca="1">SUMPRODUCT((Февраль[№]=3)*Февраль[7],OFFSET(Февраль[Объем],-2,0))</f>
        <v>0</v>
      </c>
      <c r="L15" s="23">
        <f ca="1">SUMPRODUCT((Февраль[№]=3)*Февраль[8],OFFSET(Февраль[Объем],-2,0))</f>
        <v>0</v>
      </c>
      <c r="M15" s="23">
        <f ca="1">SUMPRODUCT((Февраль[№]=3)*Февраль[9],OFFSET(Февраль[Объем],-2,0))</f>
        <v>0</v>
      </c>
      <c r="N15" s="23">
        <f ca="1">SUMPRODUCT((Февраль[№]=3)*Февраль[10],OFFSET(Февраль[Объем],-2,0))</f>
        <v>0</v>
      </c>
      <c r="O15" s="23">
        <f ca="1">SUMPRODUCT((Февраль[№]=3)*Февраль[11],OFFSET(Февраль[Объем],-2,0))</f>
        <v>0</v>
      </c>
      <c r="P15" s="23">
        <f ca="1">SUMPRODUCT((Февраль[№]=3)*Февраль[12],OFFSET(Февраль[Объем],-2,0))</f>
        <v>0</v>
      </c>
      <c r="Q15" s="23">
        <f ca="1">SUMPRODUCT((Февраль[№]=3)*Февраль[13],OFFSET(Февраль[Объем],-2,0))</f>
        <v>0</v>
      </c>
      <c r="R15" s="23">
        <f ca="1">SUMPRODUCT((Февраль[№]=3)*Февраль[14],OFFSET(Февраль[Объем],-2,0))</f>
        <v>0</v>
      </c>
      <c r="S15" s="23">
        <f ca="1">SUMPRODUCT((Февраль[№]=3)*Февраль[15],OFFSET(Февраль[Объем],-2,0))</f>
        <v>0</v>
      </c>
      <c r="T15" s="23">
        <f ca="1">SUMPRODUCT((Февраль[№]=3)*Февраль[16],OFFSET(Февраль[Объем],-2,0))</f>
        <v>0</v>
      </c>
      <c r="U15" s="23">
        <f ca="1">SUMPRODUCT((Февраль[№]=3)*Февраль[17],OFFSET(Февраль[Объем],-2,0))</f>
        <v>0</v>
      </c>
      <c r="V15" s="23">
        <f ca="1">SUMPRODUCT((Февраль[№]=3)*Февраль[18],OFFSET(Февраль[Объем],-2,0))</f>
        <v>0</v>
      </c>
      <c r="W15" s="23">
        <f ca="1">SUMPRODUCT((Февраль[№]=3)*Февраль[19],OFFSET(Февраль[Объем],-2,0))</f>
        <v>0</v>
      </c>
      <c r="X15" s="23">
        <f ca="1">SUMPRODUCT((Февраль[№]=3)*Февраль[20],OFFSET(Февраль[Объем],-2,0))</f>
        <v>0</v>
      </c>
      <c r="Y15" s="23">
        <f ca="1">SUMPRODUCT((Февраль[№]=3)*Февраль[21],OFFSET(Февраль[Объем],-2,0))</f>
        <v>0</v>
      </c>
      <c r="Z15" s="23">
        <f ca="1">SUMPRODUCT((Февраль[№]=3)*Февраль[22],OFFSET(Февраль[Объем],-2,0))</f>
        <v>0</v>
      </c>
      <c r="AA15" s="23">
        <f ca="1">SUMPRODUCT((Февраль[№]=3)*Февраль[23],OFFSET(Февраль[Объем],-2,0))</f>
        <v>0</v>
      </c>
      <c r="AB15" s="23">
        <f ca="1">SUMPRODUCT((Февраль[№]=3)*Февраль[24],OFFSET(Февраль[Объем],-2,0))</f>
        <v>0</v>
      </c>
      <c r="AC15" s="23">
        <f ca="1">SUMPRODUCT((Февраль[№]=3)*Февраль[25],OFFSET(Февраль[Объем],-2,0))</f>
        <v>0</v>
      </c>
      <c r="AD15" s="23">
        <f ca="1">SUMPRODUCT((Февраль[№]=3)*Февраль[26],OFFSET(Февраль[Объем],-2,0))</f>
        <v>0</v>
      </c>
      <c r="AE15" s="23">
        <f ca="1">SUMPRODUCT((Февраль[№]=3)*Февраль[27],OFFSET(Февраль[Объем],-2,0))</f>
        <v>0</v>
      </c>
      <c r="AF15" s="23">
        <f ca="1">SUMPRODUCT((Февраль[№]=3)*Февраль[28],OFFSET(Февраль[Объем],-2,0))</f>
        <v>0</v>
      </c>
      <c r="AG15" s="23">
        <f ca="1">SUMPRODUCT((Февраль[№]=3)*Февраль[29],OFFSET(Февраль[Объем],-2,0))</f>
        <v>0</v>
      </c>
      <c r="AI15" s="9"/>
    </row>
    <row r="16" spans="1:37" x14ac:dyDescent="0.25">
      <c r="B16" s="3">
        <f ca="1">SUMPRODUCT((Настройки!$G$22:$AI$22=4)*E16:AG16)</f>
        <v>0</v>
      </c>
      <c r="D16" s="5"/>
      <c r="E16" s="3">
        <f t="shared" ref="E16:AG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I16" s="9"/>
    </row>
    <row r="17" spans="1:35" x14ac:dyDescent="0.25">
      <c r="B17" s="3">
        <f ca="1">SUMPRODUCT((Настройки!$G$22:$AI$22=5)*E16:AG16)</f>
        <v>0</v>
      </c>
      <c r="C17" s="5">
        <f ca="1">ФевральИтоги[[#This Row],[№]]*60</f>
        <v>0</v>
      </c>
      <c r="D17" s="7">
        <f ca="1">SUM(ФевральИтоги[[#This Row],[1]:[29]])</f>
        <v>0</v>
      </c>
      <c r="E17" s="6">
        <f ca="1">E16/60</f>
        <v>0</v>
      </c>
      <c r="F17" s="24">
        <f t="shared" ref="F17:AG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5">
        <f ca="1">SUM(Февраль[УСЛУГ])</f>
        <v>0</v>
      </c>
      <c r="AI17" s="15">
        <f ca="1">SUM(Февраль[МИНУТ])</f>
        <v>0</v>
      </c>
    </row>
    <row r="18" spans="1:35" x14ac:dyDescent="0.25">
      <c r="B18" s="13">
        <f ca="1">SUMPRODUCT((Настройки!$G$22:$AI$22=6)*E16:AG16)</f>
        <v>0</v>
      </c>
      <c r="C18" s="13"/>
      <c r="D18" s="7"/>
      <c r="E18" s="13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13"/>
      <c r="AI18" s="45"/>
    </row>
    <row r="20" spans="1:35" x14ac:dyDescent="0.25">
      <c r="A20" s="73" t="s">
        <v>52</v>
      </c>
      <c r="B20" s="73" t="s">
        <v>53</v>
      </c>
      <c r="C20" s="74"/>
      <c r="D20" s="75" t="s">
        <v>61</v>
      </c>
      <c r="E20" s="73" t="s">
        <v>55</v>
      </c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63" t="s">
        <v>64</v>
      </c>
      <c r="AI20" s="63" t="s">
        <v>64</v>
      </c>
    </row>
    <row r="21" spans="1:35" x14ac:dyDescent="0.25">
      <c r="A21" s="73"/>
      <c r="B21" s="73"/>
      <c r="C21" s="74"/>
      <c r="D21" s="76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63"/>
    </row>
    <row r="22" spans="1:35" x14ac:dyDescent="0.25">
      <c r="A22" s="73"/>
      <c r="B22" s="73"/>
      <c r="C22" s="74"/>
      <c r="D22" s="76"/>
      <c r="E22" s="17">
        <f>Настройки!G8</f>
        <v>45323</v>
      </c>
      <c r="F22" s="17">
        <f>Настройки!H8</f>
        <v>45324</v>
      </c>
      <c r="G22" s="17">
        <f>Настройки!I8</f>
        <v>45325</v>
      </c>
      <c r="H22" s="17">
        <f>Настройки!J8</f>
        <v>45326</v>
      </c>
      <c r="I22" s="17">
        <f>Настройки!K8</f>
        <v>45327</v>
      </c>
      <c r="J22" s="17">
        <f>Настройки!L8</f>
        <v>45328</v>
      </c>
      <c r="K22" s="17">
        <f>Настройки!M8</f>
        <v>45329</v>
      </c>
      <c r="L22" s="17">
        <f>Настройки!N8</f>
        <v>45330</v>
      </c>
      <c r="M22" s="17">
        <f>Настройки!O8</f>
        <v>45331</v>
      </c>
      <c r="N22" s="17">
        <f>Настройки!P8</f>
        <v>45332</v>
      </c>
      <c r="O22" s="17">
        <f>Настройки!Q8</f>
        <v>45333</v>
      </c>
      <c r="P22" s="17">
        <f>Настройки!R8</f>
        <v>45334</v>
      </c>
      <c r="Q22" s="17">
        <f>Настройки!S8</f>
        <v>45335</v>
      </c>
      <c r="R22" s="17">
        <f>Настройки!T8</f>
        <v>45336</v>
      </c>
      <c r="S22" s="17">
        <f>Настройки!U8</f>
        <v>45337</v>
      </c>
      <c r="T22" s="17">
        <f>Настройки!V8</f>
        <v>45338</v>
      </c>
      <c r="U22" s="17">
        <f>Настройки!W8</f>
        <v>45339</v>
      </c>
      <c r="V22" s="17">
        <f>Настройки!X8</f>
        <v>45340</v>
      </c>
      <c r="W22" s="17">
        <f>Настройки!Y8</f>
        <v>45341</v>
      </c>
      <c r="X22" s="17">
        <f>Настройки!Z8</f>
        <v>45342</v>
      </c>
      <c r="Y22" s="17">
        <f>Настройки!AA8</f>
        <v>45343</v>
      </c>
      <c r="Z22" s="17">
        <f>Настройки!AB8</f>
        <v>45344</v>
      </c>
      <c r="AA22" s="17">
        <f>Настройки!AC8</f>
        <v>45345</v>
      </c>
      <c r="AB22" s="17">
        <f>Настройки!AD8</f>
        <v>45346</v>
      </c>
      <c r="AC22" s="17">
        <f>Настройки!AE8</f>
        <v>45347</v>
      </c>
      <c r="AD22" s="17">
        <f>Настройки!AF8</f>
        <v>45348</v>
      </c>
      <c r="AE22" s="17">
        <f>Настройки!AG8</f>
        <v>45349</v>
      </c>
      <c r="AF22" s="17">
        <f>Настройки!AH8</f>
        <v>45350</v>
      </c>
      <c r="AG22" s="17">
        <f>Настройки!AI8</f>
        <v>45351</v>
      </c>
      <c r="AH22" s="97"/>
      <c r="AI22" s="63"/>
    </row>
    <row r="23" spans="1:35" x14ac:dyDescent="0.25">
      <c r="A23" s="73"/>
      <c r="B23" s="73"/>
      <c r="C23" s="74"/>
      <c r="D23" s="76"/>
      <c r="E23" s="73" t="s">
        <v>54</v>
      </c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63"/>
    </row>
    <row r="24" spans="1:35" x14ac:dyDescent="0.25">
      <c r="A24" s="73"/>
      <c r="B24" s="73"/>
      <c r="C24" s="74"/>
      <c r="D24" s="76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63"/>
    </row>
    <row r="25" spans="1:35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62</v>
      </c>
      <c r="AI25" s="3" t="s">
        <v>63</v>
      </c>
    </row>
    <row r="26" spans="1:35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 s="5">
        <f ca="1">IF(Февраль[[#This Row],[№]]=1,SUM(Февраль[[#This Row],[1]:[29]])+SUM(OFFSET(Февраль[[#This Row],[1]:[29]],1,0))+SUM(OFFSET(Февраль[[#This Row],[1]:[29]],2,0)),"")</f>
        <v>0</v>
      </c>
      <c r="AI26" s="5">
        <f ca="1">IF(Февраль[[#This Row],[УСЛУГ]]&lt;&gt;"",Февраль[[#This Row],[УСЛУГ]]*Февраль[[#This Row],[Объем]],"")</f>
        <v>0</v>
      </c>
    </row>
    <row r="27" spans="1:35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 s="5" t="str">
        <f ca="1">IF(Февраль[[#This Row],[№]]=1,SUM(Февраль[[#This Row],[1]:[29]])+SUM(OFFSET(Февраль[[#This Row],[1]:[29]],1,0))+SUM(OFFSET(Февраль[[#This Row],[1]:[29]],2,0)),"")</f>
        <v/>
      </c>
      <c r="AI27" s="5" t="str">
        <f ca="1">IF(Февраль[[#This Row],[УСЛУГ]]&lt;&gt;"",Февраль[[#This Row],[УСЛУГ]]*Февраль[[#This Row],[Объем]],"")</f>
        <v/>
      </c>
    </row>
    <row r="28" spans="1:35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 s="5" t="str">
        <f ca="1">IF(Февраль[[#This Row],[№]]=1,SUM(Февраль[[#This Row],[1]:[29]])+SUM(OFFSET(Февраль[[#This Row],[1]:[29]],1,0))+SUM(OFFSET(Февраль[[#This Row],[1]:[29]],2,0)),"")</f>
        <v/>
      </c>
      <c r="AI28" s="5" t="str">
        <f ca="1">IF(Февраль[[#This Row],[УСЛУГ]]&lt;&gt;"",Февраль[[#This Row],[УСЛУГ]]*Февраль[[#This Row],[Объем]],"")</f>
        <v/>
      </c>
    </row>
  </sheetData>
  <mergeCells count="20">
    <mergeCell ref="A2:AJ2"/>
    <mergeCell ref="A3:AJ3"/>
    <mergeCell ref="J4:L4"/>
    <mergeCell ref="M4:U4"/>
    <mergeCell ref="M5:Q5"/>
    <mergeCell ref="AI7:AI11"/>
    <mergeCell ref="A20:A24"/>
    <mergeCell ref="B20:C24"/>
    <mergeCell ref="D20:D24"/>
    <mergeCell ref="AI20:AI24"/>
    <mergeCell ref="A7:A11"/>
    <mergeCell ref="B7:B11"/>
    <mergeCell ref="C7:C11"/>
    <mergeCell ref="D7:D11"/>
    <mergeCell ref="E10:AG11"/>
    <mergeCell ref="E7:AG8"/>
    <mergeCell ref="AH7:AH11"/>
    <mergeCell ref="E23:AG24"/>
    <mergeCell ref="E20:AG21"/>
    <mergeCell ref="AH20:AH24"/>
  </mergeCells>
  <conditionalFormatting sqref="E9:AG9">
    <cfRule type="expression" dxfId="1194" priority="2">
      <formula>WEEKDAY(E9:AG9,2)&gt;5</formula>
    </cfRule>
  </conditionalFormatting>
  <conditionalFormatting sqref="E22:AG22">
    <cfRule type="expression" dxfId="1193" priority="1">
      <formula>WEEKDAY(E22:AG22,2)&gt;5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1" fitToHeight="0" orientation="landscape" horizontalDpi="300" verticalDpi="300" r:id="rId1"/>
  <ignoredErrors>
    <ignoredError sqref="E13 AH17:AI17 B13:B18 E16:E17 E14:E15" calculatedColumn="1"/>
  </ignoredErrors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7" tint="0.39997558519241921"/>
    <pageSetUpPr fitToPage="1"/>
  </sheetPr>
  <dimension ref="A2:AF27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127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Настройки!G8</f>
        <v>45323</v>
      </c>
      <c r="C10" s="29">
        <f>Настройки!H8</f>
        <v>45324</v>
      </c>
      <c r="D10" s="29">
        <f>Настройки!I8</f>
        <v>45325</v>
      </c>
      <c r="E10" s="29">
        <f>Настройки!J8</f>
        <v>45326</v>
      </c>
      <c r="F10" s="29">
        <f>Настройки!K8</f>
        <v>45327</v>
      </c>
      <c r="G10" s="29">
        <f>Настройки!L8</f>
        <v>45328</v>
      </c>
      <c r="H10" s="29">
        <f>Настройки!M8</f>
        <v>45329</v>
      </c>
      <c r="I10" s="29">
        <f>Настройки!N8</f>
        <v>45330</v>
      </c>
      <c r="J10" s="29">
        <f>Настройки!O8</f>
        <v>45331</v>
      </c>
      <c r="K10" s="29">
        <f>Настройки!P8</f>
        <v>45332</v>
      </c>
      <c r="L10" s="29">
        <f>Настройки!Q8</f>
        <v>45333</v>
      </c>
      <c r="M10" s="29">
        <f>Настройки!R8</f>
        <v>45334</v>
      </c>
      <c r="N10" s="29">
        <f>Настройки!S8</f>
        <v>45335</v>
      </c>
      <c r="O10" s="29">
        <f>Настройки!T8</f>
        <v>45336</v>
      </c>
      <c r="P10" s="29">
        <f>Настройки!U8</f>
        <v>45337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IF(Настройки!J2&lt;&gt;"",TEXT(MIN(Настройки!G42:AI42,Настройки!J2),"ч:мм")&amp;"-"&amp;TEXT(MAX(Настройки!G42:AI42,Настройки!J2)+TIME(0,MAX(Февраль!E13:AG13),0),"ч:мм"),"")</f>
        <v>9:00-9:00</v>
      </c>
      <c r="B14" s="30" t="str">
        <f>IF(TEXT(IF(Настройки!G42="",TEXT(Настройки!$J2,"ч:мм"),TEXT(Настройки!G42,"ч:мм"))+TIME(0,Февраль!E13,0),"ч::мм")=TEXT(IF(Настройки!G42="",TEXT(Настройки!$J2,"ч:мм"),TEXT(Настройки!G42,"ч:мм")),"ч:мм"),"",TEXT(IF(Настройки!G42="",TEXT(Настройки!$J2,"ч:мм"),TEXT(Настройки!G42,"ч:мм")),"ч:мм")&amp;"-"&amp;TEXT(IF(Настройки!G42="",TEXT(Настройки!$J2,"ч:мм"),TEXT(Настройки!G42,"ч:мм"))+TIME(0,Февраль!E13,0),"ч::мм"))</f>
        <v/>
      </c>
      <c r="C14" s="30" t="str">
        <f>IF(TEXT(IF(Настройки!H42="",TEXT(Настройки!$J2,"ч:мм"),TEXT(Настройки!H42,"ч:мм"))+TIME(0,Февраль!F13,0),"ч::мм")=TEXT(IF(Настройки!H42="",TEXT(Настройки!$J2,"ч:мм"),TEXT(Настройки!H42,"ч:мм")),"ч:мм"),"",TEXT(IF(Настройки!H42="",TEXT(Настройки!$J2,"ч:мм"),TEXT(Настройки!H42,"ч:мм")),"ч:мм")&amp;"-"&amp;TEXT(IF(Настройки!H42="",TEXT(Настройки!$J2,"ч:мм"),TEXT(Настройки!H42,"ч:мм"))+TIME(0,Февраль!F13,0),"ч::мм"))</f>
        <v/>
      </c>
      <c r="D14" s="30" t="str">
        <f>IF(TEXT(IF(Настройки!I42="",TEXT(Настройки!$J2,"ч:мм"),TEXT(Настройки!I42,"ч:мм"))+TIME(0,Февраль!G13,0),"ч::мм")=TEXT(IF(Настройки!I42="",TEXT(Настройки!$J2,"ч:мм"),TEXT(Настройки!I42,"ч:мм")),"ч:мм"),"",TEXT(IF(Настройки!I42="",TEXT(Настройки!$J2,"ч:мм"),TEXT(Настройки!I42,"ч:мм")),"ч:мм")&amp;"-"&amp;TEXT(IF(Настройки!I42="",TEXT(Настройки!$J2,"ч:мм"),TEXT(Настройки!I42,"ч:мм"))+TIME(0,Февраль!G13,0),"ч::мм"))</f>
        <v/>
      </c>
      <c r="E14" s="30" t="str">
        <f>IF(TEXT(IF(Настройки!J42="",TEXT(Настройки!$J2,"ч:мм"),TEXT(Настройки!J42,"ч:мм"))+TIME(0,Февраль!H13,0),"ч::мм")=TEXT(IF(Настройки!J42="",TEXT(Настройки!$J2,"ч:мм"),TEXT(Настройки!J42,"ч:мм")),"ч:мм"),"",TEXT(IF(Настройки!J42="",TEXT(Настройки!$J2,"ч:мм"),TEXT(Настройки!J42,"ч:мм")),"ч:мм")&amp;"-"&amp;TEXT(IF(Настройки!J42="",TEXT(Настройки!$J2,"ч:мм"),TEXT(Настройки!J42,"ч:мм"))+TIME(0,Февраль!H13,0),"ч::мм"))</f>
        <v/>
      </c>
      <c r="F14" s="30" t="str">
        <f>IF(TEXT(IF(Настройки!K42="",TEXT(Настройки!$J2,"ч:мм"),TEXT(Настройки!K42,"ч:мм"))+TIME(0,Февраль!I13,0),"ч::мм")=TEXT(IF(Настройки!K42="",TEXT(Настройки!$J2,"ч:мм"),TEXT(Настройки!K42,"ч:мм")),"ч:мм"),"",TEXT(IF(Настройки!K42="",TEXT(Настройки!$J2,"ч:мм"),TEXT(Настройки!K42,"ч:мм")),"ч:мм")&amp;"-"&amp;TEXT(IF(Настройки!K42="",TEXT(Настройки!$J2,"ч:мм"),TEXT(Настройки!K42,"ч:мм"))+TIME(0,Февраль!I13,0),"ч::мм"))</f>
        <v/>
      </c>
      <c r="G14" s="30" t="str">
        <f>IF(TEXT(IF(Настройки!L42="",TEXT(Настройки!$J2,"ч:мм"),TEXT(Настройки!L42,"ч:мм"))+TIME(0,Февраль!J13,0),"ч::мм")=TEXT(IF(Настройки!L42="",TEXT(Настройки!$J2,"ч:мм"),TEXT(Настройки!L42,"ч:мм")),"ч:мм"),"",TEXT(IF(Настройки!L42="",TEXT(Настройки!$J2,"ч:мм"),TEXT(Настройки!L42,"ч:мм")),"ч:мм")&amp;"-"&amp;TEXT(IF(Настройки!L42="",TEXT(Настройки!$J2,"ч:мм"),TEXT(Настройки!L42,"ч:мм"))+TIME(0,Февраль!J13,0),"ч::мм"))</f>
        <v/>
      </c>
      <c r="H14" s="30" t="str">
        <f>IF(TEXT(IF(Настройки!M42="",TEXT(Настройки!$J2,"ч:мм"),TEXT(Настройки!M42,"ч:мм"))+TIME(0,Февраль!K13,0),"ч::мм")=TEXT(IF(Настройки!M42="",TEXT(Настройки!$J2,"ч:мм"),TEXT(Настройки!M42,"ч:мм")),"ч:мм"),"",TEXT(IF(Настройки!M42="",TEXT(Настройки!$J2,"ч:мм"),TEXT(Настройки!M42,"ч:мм")),"ч:мм")&amp;"-"&amp;TEXT(IF(Настройки!M42="",TEXT(Настройки!$J2,"ч:мм"),TEXT(Настройки!M42,"ч:мм"))+TIME(0,Февраль!K13,0),"ч::мм"))</f>
        <v/>
      </c>
      <c r="I14" s="30" t="str">
        <f>IF(TEXT(IF(Настройки!N42="",TEXT(Настройки!$J2,"ч:мм"),TEXT(Настройки!N42,"ч:мм"))+TIME(0,Февраль!L13,0),"ч::мм")=TEXT(IF(Настройки!N42="",TEXT(Настройки!$J2,"ч:мм"),TEXT(Настройки!N42,"ч:мм")),"ч:мм"),"",TEXT(IF(Настройки!N42="",TEXT(Настройки!$J2,"ч:мм"),TEXT(Настройки!N42,"ч:мм")),"ч:мм")&amp;"-"&amp;TEXT(IF(Настройки!N42="",TEXT(Настройки!$J2,"ч:мм"),TEXT(Настройки!N42,"ч:мм"))+TIME(0,Февраль!L13,0),"ч::мм"))</f>
        <v/>
      </c>
      <c r="J14" s="30" t="str">
        <f>IF(TEXT(IF(Настройки!O42="",TEXT(Настройки!$J2,"ч:мм"),TEXT(Настройки!O42,"ч:мм"))+TIME(0,Февраль!M13,0),"ч::мм")=TEXT(IF(Настройки!O42="",TEXT(Настройки!$J2,"ч:мм"),TEXT(Настройки!O42,"ч:мм")),"ч:мм"),"",TEXT(IF(Настройки!O42="",TEXT(Настройки!$J2,"ч:мм"),TEXT(Настройки!O42,"ч:мм")),"ч:мм")&amp;"-"&amp;TEXT(IF(Настройки!O42="",TEXT(Настройки!$J2,"ч:мм"),TEXT(Настройки!O42,"ч:мм"))+TIME(0,Февраль!M13,0),"ч::мм"))</f>
        <v/>
      </c>
      <c r="K14" s="30" t="str">
        <f>IF(TEXT(IF(Настройки!P42="",TEXT(Настройки!$J2,"ч:мм"),TEXT(Настройки!P42,"ч:мм"))+TIME(0,Февраль!N13,0),"ч::мм")=TEXT(IF(Настройки!P42="",TEXT(Настройки!$J2,"ч:мм"),TEXT(Настройки!P42,"ч:мм")),"ч:мм"),"",TEXT(IF(Настройки!P42="",TEXT(Настройки!$J2,"ч:мм"),TEXT(Настройки!P42,"ч:мм")),"ч:мм")&amp;"-"&amp;TEXT(IF(Настройки!P42="",TEXT(Настройки!$J2,"ч:мм"),TEXT(Настройки!P42,"ч:мм"))+TIME(0,Февраль!N13,0),"ч::мм"))</f>
        <v/>
      </c>
      <c r="L14" s="30" t="str">
        <f>IF(TEXT(IF(Настройки!Q42="",TEXT(Настройки!$J2,"ч:мм"),TEXT(Настройки!Q42,"ч:мм"))+TIME(0,Февраль!O13,0),"ч::мм")=TEXT(IF(Настройки!Q42="",TEXT(Настройки!$J2,"ч:мм"),TEXT(Настройки!Q42,"ч:мм")),"ч:мм"),"",TEXT(IF(Настройки!Q42="",TEXT(Настройки!$J2,"ч:мм"),TEXT(Настройки!Q42,"ч:мм")),"ч:мм")&amp;"-"&amp;TEXT(IF(Настройки!Q42="",TEXT(Настройки!$J2,"ч:мм"),TEXT(Настройки!Q42,"ч:мм"))+TIME(0,Февраль!O13,0),"ч::мм"))</f>
        <v/>
      </c>
      <c r="M14" s="30" t="str">
        <f>IF(TEXT(IF(Настройки!R42="",TEXT(Настройки!$J2,"ч:мм"),TEXT(Настройки!R42,"ч:мм"))+TIME(0,Февраль!P13,0),"ч::мм")=TEXT(IF(Настройки!R42="",TEXT(Настройки!$J2,"ч:мм"),TEXT(Настройки!R42,"ч:мм")),"ч:мм"),"",TEXT(IF(Настройки!R42="",TEXT(Настройки!$J2,"ч:мм"),TEXT(Настройки!R42,"ч:мм")),"ч:мм")&amp;"-"&amp;TEXT(IF(Настройки!R42="",TEXT(Настройки!$J2,"ч:мм"),TEXT(Настройки!R42,"ч:мм"))+TIME(0,Февраль!P13,0),"ч::мм"))</f>
        <v/>
      </c>
      <c r="N14" s="30" t="str">
        <f>IF(TEXT(IF(Настройки!S42="",TEXT(Настройки!$J2,"ч:мм"),TEXT(Настройки!S42,"ч:мм"))+TIME(0,Февраль!Q13,0),"ч::мм")=TEXT(IF(Настройки!S42="",TEXT(Настройки!$J2,"ч:мм"),TEXT(Настройки!S42,"ч:мм")),"ч:мм"),"",TEXT(IF(Настройки!S42="",TEXT(Настройки!$J2,"ч:мм"),TEXT(Настройки!S42,"ч:мм")),"ч:мм")&amp;"-"&amp;TEXT(IF(Настройки!S42="",TEXT(Настройки!$J2,"ч:мм"),TEXT(Настройки!S42,"ч:мм"))+TIME(0,Февраль!Q13,0),"ч::мм"))</f>
        <v/>
      </c>
      <c r="O14" s="30" t="str">
        <f>IF(TEXT(IF(Настройки!T42="",TEXT(Настройки!$J2,"ч:мм"),TEXT(Настройки!T42,"ч:мм"))+TIME(0,Февраль!R13,0),"ч::мм")=TEXT(IF(Настройки!T42="",TEXT(Настройки!$J2,"ч:мм"),TEXT(Настройки!T42,"ч:мм")),"ч:мм"),"",TEXT(IF(Настройки!T42="",TEXT(Настройки!$J2,"ч:мм"),TEXT(Настройки!T42,"ч:мм")),"ч:мм")&amp;"-"&amp;TEXT(IF(Настройки!T42="",TEXT(Настройки!$J2,"ч:мм"),TEXT(Настройки!T42,"ч:мм"))+TIME(0,Февраль!R13,0),"ч::мм"))</f>
        <v/>
      </c>
      <c r="P14" s="30" t="str">
        <f>IF(TEXT(IF(Настройки!U42="",TEXT(Настройки!$J2,"ч:мм"),TEXT(Настройки!U42,"ч:мм"))+TIME(0,Февраль!S13,0),"ч::мм")=TEXT(IF(Настройки!U42="",TEXT(Настройки!$J2,"ч:мм"),TEXT(Настройки!U42,"ч:мм")),"ч:мм"),"",TEXT(IF(Настройки!U42="",TEXT(Настройки!$J2,"ч:мм"),TEXT(Настройки!U42,"ч:мм")),"ч:мм")&amp;"-"&amp;TEXT(IF(Настройки!U42="",TEXT(Настройки!$J2,"ч:мм"),TEXT(Настройки!U42,"ч:мм"))+TIME(0,Февраль!S13,0),"ч::мм"))</f>
        <v/>
      </c>
      <c r="R14" s="30"/>
    </row>
    <row r="15" spans="1:32" x14ac:dyDescent="0.25">
      <c r="A15" s="32" t="str">
        <f ca="1">IF(Настройки!J3&lt;&gt;"",TEXT(MIN(Настройки!G43:AI43,Настройки!J3),"ч:мм")&amp;"-"&amp;TEXT(MAX(Настройки!G43:AI43,Настройки!J3)+TIME(0,MAX(Февраль!E14:AG14),0),"ч:мм"),"")</f>
        <v>13:00-13:00</v>
      </c>
      <c r="B15" s="30" t="str">
        <f ca="1">IF(TEXT(IF(Настройки!G43="",TEXT(Настройки!$J3,"ч:мм"),TEXT(Настройки!G43,"ч:мм"))+TIME(0,Февраль!E14,0),"ч::мм")=TEXT(IF(Настройки!G43="",TEXT(Настройки!$J3,"ч:мм"),TEXT(Настройки!G43,"ч:мм")),"ч:мм"),"",TEXT(IF(Настройки!G43="",TEXT(Настройки!$J3,"ч:мм"),TEXT(Настройки!G43,"ч:мм")),"ч:мм")&amp;"-"&amp;TEXT(IF(Настройки!G43="",TEXT(Настройки!$J3,"ч:мм"),TEXT(Настройки!G43,"ч:мм"))+TIME(0,Февраль!E14,0),"ч::мм"))</f>
        <v/>
      </c>
      <c r="C15" s="30" t="str">
        <f ca="1">IF(TEXT(IF(Настройки!H43="",TEXT(Настройки!$J3,"ч:мм"),TEXT(Настройки!H43,"ч:мм"))+TIME(0,Февраль!F14,0),"ч::мм")=TEXT(IF(Настройки!H43="",TEXT(Настройки!$J3,"ч:мм"),TEXT(Настройки!H43,"ч:мм")),"ч:мм"),"",TEXT(IF(Настройки!H43="",TEXT(Настройки!$J3,"ч:мм"),TEXT(Настройки!H43,"ч:мм")),"ч:мм")&amp;"-"&amp;TEXT(IF(Настройки!H43="",TEXT(Настройки!$J3,"ч:мм"),TEXT(Настройки!H43,"ч:мм"))+TIME(0,Февраль!F14,0),"ч::мм"))</f>
        <v/>
      </c>
      <c r="D15" s="30" t="str">
        <f ca="1">IF(TEXT(IF(Настройки!I43="",TEXT(Настройки!$J3,"ч:мм"),TEXT(Настройки!I43,"ч:мм"))+TIME(0,Февраль!G14,0),"ч::мм")=TEXT(IF(Настройки!I43="",TEXT(Настройки!$J3,"ч:мм"),TEXT(Настройки!I43,"ч:мм")),"ч:мм"),"",TEXT(IF(Настройки!I43="",TEXT(Настройки!$J3,"ч:мм"),TEXT(Настройки!I43,"ч:мм")),"ч:мм")&amp;"-"&amp;TEXT(IF(Настройки!I43="",TEXT(Настройки!$J3,"ч:мм"),TEXT(Настройки!I43,"ч:мм"))+TIME(0,Февраль!G14,0),"ч::мм"))</f>
        <v/>
      </c>
      <c r="E15" s="30" t="str">
        <f ca="1">IF(TEXT(IF(Настройки!J43="",TEXT(Настройки!$J3,"ч:мм"),TEXT(Настройки!J43,"ч:мм"))+TIME(0,Февраль!H14,0),"ч::мм")=TEXT(IF(Настройки!J43="",TEXT(Настройки!$J3,"ч:мм"),TEXT(Настройки!J43,"ч:мм")),"ч:мм"),"",TEXT(IF(Настройки!J43="",TEXT(Настройки!$J3,"ч:мм"),TEXT(Настройки!J43,"ч:мм")),"ч:мм")&amp;"-"&amp;TEXT(IF(Настройки!J43="",TEXT(Настройки!$J3,"ч:мм"),TEXT(Настройки!J43,"ч:мм"))+TIME(0,Февраль!H14,0),"ч::мм"))</f>
        <v/>
      </c>
      <c r="F15" s="30" t="str">
        <f ca="1">IF(TEXT(IF(Настройки!K43="",TEXT(Настройки!$J3,"ч:мм"),TEXT(Настройки!K43,"ч:мм"))+TIME(0,Февраль!I14,0),"ч::мм")=TEXT(IF(Настройки!K43="",TEXT(Настройки!$J3,"ч:мм"),TEXT(Настройки!K43,"ч:мм")),"ч:мм"),"",TEXT(IF(Настройки!K43="",TEXT(Настройки!$J3,"ч:мм"),TEXT(Настройки!K43,"ч:мм")),"ч:мм")&amp;"-"&amp;TEXT(IF(Настройки!K43="",TEXT(Настройки!$J3,"ч:мм"),TEXT(Настройки!K43,"ч:мм"))+TIME(0,Февраль!I14,0),"ч::мм"))</f>
        <v/>
      </c>
      <c r="G15" s="30" t="str">
        <f ca="1">IF(TEXT(IF(Настройки!L43="",TEXT(Настройки!$J3,"ч:мм"),TEXT(Настройки!L43,"ч:мм"))+TIME(0,Февраль!J14,0),"ч::мм")=TEXT(IF(Настройки!L43="",TEXT(Настройки!$J3,"ч:мм"),TEXT(Настройки!L43,"ч:мм")),"ч:мм"),"",TEXT(IF(Настройки!L43="",TEXT(Настройки!$J3,"ч:мм"),TEXT(Настройки!L43,"ч:мм")),"ч:мм")&amp;"-"&amp;TEXT(IF(Настройки!L43="",TEXT(Настройки!$J3,"ч:мм"),TEXT(Настройки!L43,"ч:мм"))+TIME(0,Февраль!J14,0),"ч::мм"))</f>
        <v/>
      </c>
      <c r="H15" s="30" t="str">
        <f ca="1">IF(TEXT(IF(Настройки!M43="",TEXT(Настройки!$J3,"ч:мм"),TEXT(Настройки!M43,"ч:мм"))+TIME(0,Февраль!K14,0),"ч::мм")=TEXT(IF(Настройки!M43="",TEXT(Настройки!$J3,"ч:мм"),TEXT(Настройки!M43,"ч:мм")),"ч:мм"),"",TEXT(IF(Настройки!M43="",TEXT(Настройки!$J3,"ч:мм"),TEXT(Настройки!M43,"ч:мм")),"ч:мм")&amp;"-"&amp;TEXT(IF(Настройки!M43="",TEXT(Настройки!$J3,"ч:мм"),TEXT(Настройки!M43,"ч:мм"))+TIME(0,Февраль!K14,0),"ч::мм"))</f>
        <v/>
      </c>
      <c r="I15" s="30" t="str">
        <f ca="1">IF(TEXT(IF(Настройки!N43="",TEXT(Настройки!$J3,"ч:мм"),TEXT(Настройки!N43,"ч:мм"))+TIME(0,Февраль!L14,0),"ч::мм")=TEXT(IF(Настройки!N43="",TEXT(Настройки!$J3,"ч:мм"),TEXT(Настройки!N43,"ч:мм")),"ч:мм"),"",TEXT(IF(Настройки!N43="",TEXT(Настройки!$J3,"ч:мм"),TEXT(Настройки!N43,"ч:мм")),"ч:мм")&amp;"-"&amp;TEXT(IF(Настройки!N43="",TEXT(Настройки!$J3,"ч:мм"),TEXT(Настройки!N43,"ч:мм"))+TIME(0,Февраль!L14,0),"ч::мм"))</f>
        <v/>
      </c>
      <c r="J15" s="30" t="str">
        <f ca="1">IF(TEXT(IF(Настройки!O43="",TEXT(Настройки!$J3,"ч:мм"),TEXT(Настройки!O43,"ч:мм"))+TIME(0,Февраль!M14,0),"ч::мм")=TEXT(IF(Настройки!O43="",TEXT(Настройки!$J3,"ч:мм"),TEXT(Настройки!O43,"ч:мм")),"ч:мм"),"",TEXT(IF(Настройки!O43="",TEXT(Настройки!$J3,"ч:мм"),TEXT(Настройки!O43,"ч:мм")),"ч:мм")&amp;"-"&amp;TEXT(IF(Настройки!O43="",TEXT(Настройки!$J3,"ч:мм"),TEXT(Настройки!O43,"ч:мм"))+TIME(0,Февраль!M14,0),"ч::мм"))</f>
        <v/>
      </c>
      <c r="K15" s="30" t="str">
        <f ca="1">IF(TEXT(IF(Настройки!P43="",TEXT(Настройки!$J3,"ч:мм"),TEXT(Настройки!P43,"ч:мм"))+TIME(0,Февраль!N14,0),"ч::мм")=TEXT(IF(Настройки!P43="",TEXT(Настройки!$J3,"ч:мм"),TEXT(Настройки!P43,"ч:мм")),"ч:мм"),"",TEXT(IF(Настройки!P43="",TEXT(Настройки!$J3,"ч:мм"),TEXT(Настройки!P43,"ч:мм")),"ч:мм")&amp;"-"&amp;TEXT(IF(Настройки!P43="",TEXT(Настройки!$J3,"ч:мм"),TEXT(Настройки!P43,"ч:мм"))+TIME(0,Февраль!N14,0),"ч::мм"))</f>
        <v/>
      </c>
      <c r="L15" s="30" t="str">
        <f ca="1">IF(TEXT(IF(Настройки!Q43="",TEXT(Настройки!$J3,"ч:мм"),TEXT(Настройки!Q43,"ч:мм"))+TIME(0,Февраль!O14,0),"ч::мм")=TEXT(IF(Настройки!Q43="",TEXT(Настройки!$J3,"ч:мм"),TEXT(Настройки!Q43,"ч:мм")),"ч:мм"),"",TEXT(IF(Настройки!Q43="",TEXT(Настройки!$J3,"ч:мм"),TEXT(Настройки!Q43,"ч:мм")),"ч:мм")&amp;"-"&amp;TEXT(IF(Настройки!Q43="",TEXT(Настройки!$J3,"ч:мм"),TEXT(Настройки!Q43,"ч:мм"))+TIME(0,Февраль!O14,0),"ч::мм"))</f>
        <v/>
      </c>
      <c r="M15" s="30" t="str">
        <f ca="1">IF(TEXT(IF(Настройки!R43="",TEXT(Настройки!$J3,"ч:мм"),TEXT(Настройки!R43,"ч:мм"))+TIME(0,Февраль!P14,0),"ч::мм")=TEXT(IF(Настройки!R43="",TEXT(Настройки!$J3,"ч:мм"),TEXT(Настройки!R43,"ч:мм")),"ч:мм"),"",TEXT(IF(Настройки!R43="",TEXT(Настройки!$J3,"ч:мм"),TEXT(Настройки!R43,"ч:мм")),"ч:мм")&amp;"-"&amp;TEXT(IF(Настройки!R43="",TEXT(Настройки!$J3,"ч:мм"),TEXT(Настройки!R43,"ч:мм"))+TIME(0,Февраль!P14,0),"ч::мм"))</f>
        <v/>
      </c>
      <c r="N15" s="30" t="str">
        <f ca="1">IF(TEXT(IF(Настройки!S43="",TEXT(Настройки!$J3,"ч:мм"),TEXT(Настройки!S43,"ч:мм"))+TIME(0,Февраль!Q14,0),"ч::мм")=TEXT(IF(Настройки!S43="",TEXT(Настройки!$J3,"ч:мм"),TEXT(Настройки!S43,"ч:мм")),"ч:мм"),"",TEXT(IF(Настройки!S43="",TEXT(Настройки!$J3,"ч:мм"),TEXT(Настройки!S43,"ч:мм")),"ч:мм")&amp;"-"&amp;TEXT(IF(Настройки!S43="",TEXT(Настройки!$J3,"ч:мм"),TEXT(Настройки!S43,"ч:мм"))+TIME(0,Февраль!Q14,0),"ч::мм"))</f>
        <v/>
      </c>
      <c r="O15" s="30" t="str">
        <f ca="1">IF(TEXT(IF(Настройки!T43="",TEXT(Настройки!$J3,"ч:мм"),TEXT(Настройки!T43,"ч:мм"))+TIME(0,Февраль!R14,0),"ч::мм")=TEXT(IF(Настройки!T43="",TEXT(Настройки!$J3,"ч:мм"),TEXT(Настройки!T43,"ч:мм")),"ч:мм"),"",TEXT(IF(Настройки!T43="",TEXT(Настройки!$J3,"ч:мм"),TEXT(Настройки!T43,"ч:мм")),"ч:мм")&amp;"-"&amp;TEXT(IF(Настройки!T43="",TEXT(Настройки!$J3,"ч:мм"),TEXT(Настройки!T43,"ч:мм"))+TIME(0,Февраль!R14,0),"ч::мм"))</f>
        <v/>
      </c>
      <c r="P15" s="30" t="str">
        <f ca="1">IF(TEXT(IF(Настройки!U43="",TEXT(Настройки!$J3,"ч:мм"),TEXT(Настройки!U43,"ч:мм"))+TIME(0,Февраль!S14,0),"ч::мм")=TEXT(IF(Настройки!U43="",TEXT(Настройки!$J3,"ч:мм"),TEXT(Настройки!U43,"ч:мм")),"ч:мм"),"",TEXT(IF(Настройки!U43="",TEXT(Настройки!$J3,"ч:мм"),TEXT(Настройки!U43,"ч:мм")),"ч:мм")&amp;"-"&amp;TEXT(IF(Настройки!U43="",TEXT(Настройки!$J3,"ч:мм"),TEXT(Настройки!U43,"ч:мм"))+TIME(0,Февраль!S14,0),"ч::мм"))</f>
        <v/>
      </c>
      <c r="S15" s="30"/>
    </row>
    <row r="16" spans="1:32" x14ac:dyDescent="0.25">
      <c r="A16" s="32" t="str">
        <f ca="1">IF(Настройки!J4&lt;&gt;"",TEXT(MIN(Настройки!G44:AI44,Настройки!J4),"ч:мм")&amp;"-"&amp;TEXT(MAX(Настройки!G44:AI44,Настройки!J4)+TIME(0,MAX(Февраль!E15:AG15),0),"ч:мм"),"")</f>
        <v>16:00-16:00</v>
      </c>
      <c r="B16" s="30" t="str">
        <f ca="1">IF(TEXT(IF(Настройки!G44="",TEXT(Настройки!$J4,"ч:мм"),TEXT(Настройки!G44,"ч:мм"))+TIME(0,Февраль!E15,0),"ч::мм")=TEXT(IF(Настройки!G44="",TEXT(Настройки!$J4,"ч:мм"),TEXT(Настройки!G44,"ч:мм")),"ч:мм"),"",TEXT(IF(Настройки!G44="",TEXT(Настройки!$J4,"ч:мм"),TEXT(Настройки!G44,"ч:мм")),"ч:мм")&amp;"-"&amp;TEXT(IF(Настройки!G44="",TEXT(Настройки!$J4,"ч:мм"),TEXT(Настройки!G44,"ч:мм"))+TIME(0,Февраль!E15,0),"ч::мм"))</f>
        <v/>
      </c>
      <c r="C16" s="30" t="str">
        <f ca="1">IF(TEXT(IF(Настройки!H44="",TEXT(Настройки!$J4,"ч:мм"),TEXT(Настройки!H44,"ч:мм"))+TIME(0,Февраль!F15,0),"ч::мм")=TEXT(IF(Настройки!H44="",TEXT(Настройки!$J4,"ч:мм"),TEXT(Настройки!H44,"ч:мм")),"ч:мм"),"",TEXT(IF(Настройки!H44="",TEXT(Настройки!$J4,"ч:мм"),TEXT(Настройки!H44,"ч:мм")),"ч:мм")&amp;"-"&amp;TEXT(IF(Настройки!H44="",TEXT(Настройки!$J4,"ч:мм"),TEXT(Настройки!H44,"ч:мм"))+TIME(0,Февраль!F15,0),"ч::мм"))</f>
        <v/>
      </c>
      <c r="D16" s="30" t="str">
        <f ca="1">IF(TEXT(IF(Настройки!I44="",TEXT(Настройки!$J4,"ч:мм"),TEXT(Настройки!I44,"ч:мм"))+TIME(0,Февраль!G15,0),"ч::мм")=TEXT(IF(Настройки!I44="",TEXT(Настройки!$J4,"ч:мм"),TEXT(Настройки!I44,"ч:мм")),"ч:мм"),"",TEXT(IF(Настройки!I44="",TEXT(Настройки!$J4,"ч:мм"),TEXT(Настройки!I44,"ч:мм")),"ч:мм")&amp;"-"&amp;TEXT(IF(Настройки!I44="",TEXT(Настройки!$J4,"ч:мм"),TEXT(Настройки!I44,"ч:мм"))+TIME(0,Февраль!G15,0),"ч::мм"))</f>
        <v/>
      </c>
      <c r="E16" s="30" t="str">
        <f ca="1">IF(TEXT(IF(Настройки!J44="",TEXT(Настройки!$J4,"ч:мм"),TEXT(Настройки!J44,"ч:мм"))+TIME(0,Февраль!H15,0),"ч::мм")=TEXT(IF(Настройки!J44="",TEXT(Настройки!$J4,"ч:мм"),TEXT(Настройки!J44,"ч:мм")),"ч:мм"),"",TEXT(IF(Настройки!J44="",TEXT(Настройки!$J4,"ч:мм"),TEXT(Настройки!J44,"ч:мм")),"ч:мм")&amp;"-"&amp;TEXT(IF(Настройки!J44="",TEXT(Настройки!$J4,"ч:мм"),TEXT(Настройки!J44,"ч:мм"))+TIME(0,Февраль!H15,0),"ч::мм"))</f>
        <v/>
      </c>
      <c r="F16" s="30" t="str">
        <f ca="1">IF(TEXT(IF(Настройки!K44="",TEXT(Настройки!$J4,"ч:мм"),TEXT(Настройки!K44,"ч:мм"))+TIME(0,Февраль!I15,0),"ч::мм")=TEXT(IF(Настройки!K44="",TEXT(Настройки!$J4,"ч:мм"),TEXT(Настройки!K44,"ч:мм")),"ч:мм"),"",TEXT(IF(Настройки!K44="",TEXT(Настройки!$J4,"ч:мм"),TEXT(Настройки!K44,"ч:мм")),"ч:мм")&amp;"-"&amp;TEXT(IF(Настройки!K44="",TEXT(Настройки!$J4,"ч:мм"),TEXT(Настройки!K44,"ч:мм"))+TIME(0,Февраль!I15,0),"ч::мм"))</f>
        <v/>
      </c>
      <c r="G16" s="30" t="str">
        <f ca="1">IF(TEXT(IF(Настройки!L44="",TEXT(Настройки!$J4,"ч:мм"),TEXT(Настройки!L44,"ч:мм"))+TIME(0,Февраль!J15,0),"ч::мм")=TEXT(IF(Настройки!L44="",TEXT(Настройки!$J4,"ч:мм"),TEXT(Настройки!L44,"ч:мм")),"ч:мм"),"",TEXT(IF(Настройки!L44="",TEXT(Настройки!$J4,"ч:мм"),TEXT(Настройки!L44,"ч:мм")),"ч:мм")&amp;"-"&amp;TEXT(IF(Настройки!L44="",TEXT(Настройки!$J4,"ч:мм"),TEXT(Настройки!L44,"ч:мм"))+TIME(0,Февраль!J15,0),"ч::мм"))</f>
        <v/>
      </c>
      <c r="H16" s="30" t="str">
        <f ca="1">IF(TEXT(IF(Настройки!M44="",TEXT(Настройки!$J4,"ч:мм"),TEXT(Настройки!M44,"ч:мм"))+TIME(0,Февраль!K15,0),"ч::мм")=TEXT(IF(Настройки!M44="",TEXT(Настройки!$J4,"ч:мм"),TEXT(Настройки!M44,"ч:мм")),"ч:мм"),"",TEXT(IF(Настройки!M44="",TEXT(Настройки!$J4,"ч:мм"),TEXT(Настройки!M44,"ч:мм")),"ч:мм")&amp;"-"&amp;TEXT(IF(Настройки!M44="",TEXT(Настройки!$J4,"ч:мм"),TEXT(Настройки!M44,"ч:мм"))+TIME(0,Февраль!K15,0),"ч::мм"))</f>
        <v/>
      </c>
      <c r="I16" s="30" t="str">
        <f ca="1">IF(TEXT(IF(Настройки!N44="",TEXT(Настройки!$J4,"ч:мм"),TEXT(Настройки!N44,"ч:мм"))+TIME(0,Февраль!L15,0),"ч::мм")=TEXT(IF(Настройки!N44="",TEXT(Настройки!$J4,"ч:мм"),TEXT(Настройки!N44,"ч:мм")),"ч:мм"),"",TEXT(IF(Настройки!N44="",TEXT(Настройки!$J4,"ч:мм"),TEXT(Настройки!N44,"ч:мм")),"ч:мм")&amp;"-"&amp;TEXT(IF(Настройки!N44="",TEXT(Настройки!$J4,"ч:мм"),TEXT(Настройки!N44,"ч:мм"))+TIME(0,Февраль!L15,0),"ч::мм"))</f>
        <v/>
      </c>
      <c r="J16" s="30" t="str">
        <f ca="1">IF(TEXT(IF(Настройки!O44="",TEXT(Настройки!$J4,"ч:мм"),TEXT(Настройки!O44,"ч:мм"))+TIME(0,Февраль!M15,0),"ч::мм")=TEXT(IF(Настройки!O44="",TEXT(Настройки!$J4,"ч:мм"),TEXT(Настройки!O44,"ч:мм")),"ч:мм"),"",TEXT(IF(Настройки!O44="",TEXT(Настройки!$J4,"ч:мм"),TEXT(Настройки!O44,"ч:мм")),"ч:мм")&amp;"-"&amp;TEXT(IF(Настройки!O44="",TEXT(Настройки!$J4,"ч:мм"),TEXT(Настройки!O44,"ч:мм"))+TIME(0,Февраль!M15,0),"ч::мм"))</f>
        <v/>
      </c>
      <c r="K16" s="30" t="str">
        <f ca="1">IF(TEXT(IF(Настройки!P44="",TEXT(Настройки!$J4,"ч:мм"),TEXT(Настройки!P44,"ч:мм"))+TIME(0,Февраль!N15,0),"ч::мм")=TEXT(IF(Настройки!P44="",TEXT(Настройки!$J4,"ч:мм"),TEXT(Настройки!P44,"ч:мм")),"ч:мм"),"",TEXT(IF(Настройки!P44="",TEXT(Настройки!$J4,"ч:мм"),TEXT(Настройки!P44,"ч:мм")),"ч:мм")&amp;"-"&amp;TEXT(IF(Настройки!P44="",TEXT(Настройки!$J4,"ч:мм"),TEXT(Настройки!P44,"ч:мм"))+TIME(0,Февраль!N15,0),"ч::мм"))</f>
        <v/>
      </c>
      <c r="L16" s="30" t="str">
        <f ca="1">IF(TEXT(IF(Настройки!Q44="",TEXT(Настройки!$J4,"ч:мм"),TEXT(Настройки!Q44,"ч:мм"))+TIME(0,Февраль!O15,0),"ч::мм")=TEXT(IF(Настройки!Q44="",TEXT(Настройки!$J4,"ч:мм"),TEXT(Настройки!Q44,"ч:мм")),"ч:мм"),"",TEXT(IF(Настройки!Q44="",TEXT(Настройки!$J4,"ч:мм"),TEXT(Настройки!Q44,"ч:мм")),"ч:мм")&amp;"-"&amp;TEXT(IF(Настройки!Q44="",TEXT(Настройки!$J4,"ч:мм"),TEXT(Настройки!Q44,"ч:мм"))+TIME(0,Февраль!O15,0),"ч::мм"))</f>
        <v/>
      </c>
      <c r="M16" s="30" t="str">
        <f ca="1">IF(TEXT(IF(Настройки!R44="",TEXT(Настройки!$J4,"ч:мм"),TEXT(Настройки!R44,"ч:мм"))+TIME(0,Февраль!P15,0),"ч::мм")=TEXT(IF(Настройки!R44="",TEXT(Настройки!$J4,"ч:мм"),TEXT(Настройки!R44,"ч:мм")),"ч:мм"),"",TEXT(IF(Настройки!R44="",TEXT(Настройки!$J4,"ч:мм"),TEXT(Настройки!R44,"ч:мм")),"ч:мм")&amp;"-"&amp;TEXT(IF(Настройки!R44="",TEXT(Настройки!$J4,"ч:мм"),TEXT(Настройки!R44,"ч:мм"))+TIME(0,Февраль!P15,0),"ч::мм"))</f>
        <v/>
      </c>
      <c r="N16" s="30" t="str">
        <f ca="1">IF(TEXT(IF(Настройки!S44="",TEXT(Настройки!$J4,"ч:мм"),TEXT(Настройки!S44,"ч:мм"))+TIME(0,Февраль!Q15,0),"ч::мм")=TEXT(IF(Настройки!S44="",TEXT(Настройки!$J4,"ч:мм"),TEXT(Настройки!S44,"ч:мм")),"ч:мм"),"",TEXT(IF(Настройки!S44="",TEXT(Настройки!$J4,"ч:мм"),TEXT(Настройки!S44,"ч:мм")),"ч:мм")&amp;"-"&amp;TEXT(IF(Настройки!S44="",TEXT(Настройки!$J4,"ч:мм"),TEXT(Настройки!S44,"ч:мм"))+TIME(0,Февраль!Q15,0),"ч::мм"))</f>
        <v/>
      </c>
      <c r="O16" s="30" t="str">
        <f ca="1">IF(TEXT(IF(Настройки!T44="",TEXT(Настройки!$J4,"ч:мм"),TEXT(Настройки!T44,"ч:мм"))+TIME(0,Февраль!R15,0),"ч::мм")=TEXT(IF(Настройки!T44="",TEXT(Настройки!$J4,"ч:мм"),TEXT(Настройки!T44,"ч:мм")),"ч:мм"),"",TEXT(IF(Настройки!T44="",TEXT(Настройки!$J4,"ч:мм"),TEXT(Настройки!T44,"ч:мм")),"ч:мм")&amp;"-"&amp;TEXT(IF(Настройки!T44="",TEXT(Настройки!$J4,"ч:мм"),TEXT(Настройки!T44,"ч:мм"))+TIME(0,Февраль!R15,0),"ч::мм"))</f>
        <v/>
      </c>
      <c r="P16" s="30" t="str">
        <f ca="1">IF(TEXT(IF(Настройки!U44="",TEXT(Настройки!$J4,"ч:мм"),TEXT(Настройки!U44,"ч:мм"))+TIME(0,Февраль!S15,0),"ч::мм")=TEXT(IF(Настройки!U44="",TEXT(Настройки!$J4,"ч:мм"),TEXT(Настройки!U44,"ч:мм")),"ч:мм"),"",TEXT(IF(Настройки!U44="",TEXT(Настройки!$J4,"ч:мм"),TEXT(Настройки!U44,"ч:мм")),"ч:мм")&amp;"-"&amp;TEXT(IF(Настройки!U44="",TEXT(Настройки!$J4,"ч:мм"),TEXT(Настройки!U44,"ч:мм"))+TIME(0,Февраль!S15,0),"ч::мм"))</f>
        <v/>
      </c>
      <c r="S16" s="30"/>
    </row>
    <row r="18" spans="1:18" x14ac:dyDescent="0.25">
      <c r="A18" s="81"/>
      <c r="B18" s="73" t="s">
        <v>55</v>
      </c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33"/>
    </row>
    <row r="19" spans="1:18" x14ac:dyDescent="0.25">
      <c r="A19" s="83"/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33"/>
    </row>
    <row r="20" spans="1:18" x14ac:dyDescent="0.25">
      <c r="A20" s="83"/>
      <c r="B20" s="29">
        <f>Настройки!V8</f>
        <v>45338</v>
      </c>
      <c r="C20" s="29">
        <f>Настройки!W8</f>
        <v>45339</v>
      </c>
      <c r="D20" s="29">
        <f>Настройки!X8</f>
        <v>45340</v>
      </c>
      <c r="E20" s="29">
        <f>Настройки!Y8</f>
        <v>45341</v>
      </c>
      <c r="F20" s="29">
        <f>Настройки!Z8</f>
        <v>45342</v>
      </c>
      <c r="G20" s="29">
        <f>Настройки!AA8</f>
        <v>45343</v>
      </c>
      <c r="H20" s="29">
        <f>Настройки!AB8</f>
        <v>45344</v>
      </c>
      <c r="I20" s="29">
        <f>Настройки!AC8</f>
        <v>45345</v>
      </c>
      <c r="J20" s="29">
        <f>Настройки!AD8</f>
        <v>45346</v>
      </c>
      <c r="K20" s="29">
        <f>Настройки!AE8</f>
        <v>45347</v>
      </c>
      <c r="L20" s="29">
        <f>Настройки!AF8</f>
        <v>45348</v>
      </c>
      <c r="M20" s="29">
        <f>Настройки!AG8</f>
        <v>45349</v>
      </c>
      <c r="N20" s="29">
        <f>Настройки!AH8</f>
        <v>45350</v>
      </c>
      <c r="O20" s="29">
        <f>Настройки!AI8</f>
        <v>45351</v>
      </c>
      <c r="P20" s="29" t="str">
        <f>Настройки!AJ8</f>
        <v/>
      </c>
      <c r="Q20" s="31"/>
    </row>
    <row r="21" spans="1:18" x14ac:dyDescent="0.25">
      <c r="A21" s="83"/>
      <c r="B21" s="73" t="s">
        <v>54</v>
      </c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33"/>
    </row>
    <row r="22" spans="1:18" x14ac:dyDescent="0.25">
      <c r="A22" s="84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6"/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42="",TEXT(Настройки!$J2,"ч:мм"),TEXT(Настройки!V42,"ч:мм"))+TIME(0,Февраль!T13,0),"ч::мм")=TEXT(IF(Настройки!V42="",TEXT(Настройки!$J2,"ч:мм"),TEXT(Настройки!V42,"ч:мм")),"ч:мм"),"",TEXT(IF(Настройки!V42="",TEXT(Настройки!$J2,"ч:мм"),TEXT(Настройки!V42,"ч:мм")),"ч:мм")&amp;"-"&amp;TEXT(IF(Настройки!V42="",TEXT(Настройки!$J2,"ч:мм"),TEXT(Настройки!V42,"ч:мм"))+TIME(0,Февраль!T13,0),"ч::мм"))</f>
        <v/>
      </c>
      <c r="C24" s="3" t="str">
        <f>IF(TEXT(IF(Настройки!W42="",TEXT(Настройки!$J2,"ч:мм"),TEXT(Настройки!W42,"ч:мм"))+TIME(0,Февраль!U13,0),"ч::мм")=TEXT(IF(Настройки!W42="",TEXT(Настройки!$J2,"ч:мм"),TEXT(Настройки!W42,"ч:мм")),"ч:мм"),"",TEXT(IF(Настройки!W42="",TEXT(Настройки!$J2,"ч:мм"),TEXT(Настройки!W42,"ч:мм")),"ч:мм")&amp;"-"&amp;TEXT(IF(Настройки!W42="",TEXT(Настройки!$J2,"ч:мм"),TEXT(Настройки!W42,"ч:мм"))+TIME(0,Февраль!U13,0),"ч::мм"))</f>
        <v/>
      </c>
      <c r="D24" s="3" t="str">
        <f>IF(TEXT(IF(Настройки!X42="",TEXT(Настройки!$J2,"ч:мм"),TEXT(Настройки!X42,"ч:мм"))+TIME(0,Февраль!V13,0),"ч::мм")=TEXT(IF(Настройки!X42="",TEXT(Настройки!$J2,"ч:мм"),TEXT(Настройки!X42,"ч:мм")),"ч:мм"),"",TEXT(IF(Настройки!X42="",TEXT(Настройки!$J2,"ч:мм"),TEXT(Настройки!X42,"ч:мм")),"ч:мм")&amp;"-"&amp;TEXT(IF(Настройки!X42="",TEXT(Настройки!$J2,"ч:мм"),TEXT(Настройки!X42,"ч:мм"))+TIME(0,Февраль!V13,0),"ч::мм"))</f>
        <v/>
      </c>
      <c r="E24" s="3" t="str">
        <f>IF(TEXT(IF(Настройки!Y42="",TEXT(Настройки!$J2,"ч:мм"),TEXT(Настройки!Y42,"ч:мм"))+TIME(0,Февраль!W13,0),"ч::мм")=TEXT(IF(Настройки!Y42="",TEXT(Настройки!$J2,"ч:мм"),TEXT(Настройки!Y42,"ч:мм")),"ч:мм"),"",TEXT(IF(Настройки!Y42="",TEXT(Настройки!$J2,"ч:мм"),TEXT(Настройки!Y42,"ч:мм")),"ч:мм")&amp;"-"&amp;TEXT(IF(Настройки!Y42="",TEXT(Настройки!$J2,"ч:мм"),TEXT(Настройки!Y42,"ч:мм"))+TIME(0,Февраль!W13,0),"ч::мм"))</f>
        <v/>
      </c>
      <c r="F24" s="3" t="str">
        <f>IF(TEXT(IF(Настройки!Z42="",TEXT(Настройки!$J2,"ч:мм"),TEXT(Настройки!Z42,"ч:мм"))+TIME(0,Февраль!X13,0),"ч::мм")=TEXT(IF(Настройки!Z42="",TEXT(Настройки!$J2,"ч:мм"),TEXT(Настройки!Z42,"ч:мм")),"ч:мм"),"",TEXT(IF(Настройки!Z42="",TEXT(Настройки!$J2,"ч:мм"),TEXT(Настройки!Z42,"ч:мм")),"ч:мм")&amp;"-"&amp;TEXT(IF(Настройки!Z42="",TEXT(Настройки!$J2,"ч:мм"),TEXT(Настройки!Z42,"ч:мм"))+TIME(0,Февраль!X13,0),"ч::мм"))</f>
        <v/>
      </c>
      <c r="G24" s="3" t="str">
        <f>IF(TEXT(IF(Настройки!AA42="",TEXT(Настройки!$J2,"ч:мм"),TEXT(Настройки!AA42,"ч:мм"))+TIME(0,Февраль!Y13,0),"ч::мм")=TEXT(IF(Настройки!AA42="",TEXT(Настройки!$J2,"ч:мм"),TEXT(Настройки!AA42,"ч:мм")),"ч:мм"),"",TEXT(IF(Настройки!AA42="",TEXT(Настройки!$J2,"ч:мм"),TEXT(Настройки!AA42,"ч:мм")),"ч:мм")&amp;"-"&amp;TEXT(IF(Настройки!AA42="",TEXT(Настройки!$J2,"ч:мм"),TEXT(Настройки!AA42,"ч:мм"))+TIME(0,Февраль!Y13,0),"ч::мм"))</f>
        <v/>
      </c>
      <c r="H24" s="3" t="str">
        <f>IF(TEXT(IF(Настройки!AB42="",TEXT(Настройки!$J2,"ч:мм"),TEXT(Настройки!AB42,"ч:мм"))+TIME(0,Февраль!Z13,0),"ч::мм")=TEXT(IF(Настройки!AB42="",TEXT(Настройки!$J2,"ч:мм"),TEXT(Настройки!AB42,"ч:мм")),"ч:мм"),"",TEXT(IF(Настройки!AB42="",TEXT(Настройки!$J2,"ч:мм"),TEXT(Настройки!AB42,"ч:мм")),"ч:мм")&amp;"-"&amp;TEXT(IF(Настройки!AB42="",TEXT(Настройки!$J2,"ч:мм"),TEXT(Настройки!AB42,"ч:мм"))+TIME(0,Февраль!Z13,0),"ч::мм"))</f>
        <v/>
      </c>
      <c r="I24" s="3" t="str">
        <f>IF(TEXT(IF(Настройки!AC42="",TEXT(Настройки!$J2,"ч:мм"),TEXT(Настройки!AC42,"ч:мм"))+TIME(0,Февраль!AA13,0),"ч::мм")=TEXT(IF(Настройки!AC42="",TEXT(Настройки!$J2,"ч:мм"),TEXT(Настройки!AC42,"ч:мм")),"ч:мм"),"",TEXT(IF(Настройки!AC42="",TEXT(Настройки!$J2,"ч:мм"),TEXT(Настройки!AC42,"ч:мм")),"ч:мм")&amp;"-"&amp;TEXT(IF(Настройки!AC42="",TEXT(Настройки!$J2,"ч:мм"),TEXT(Настройки!AC42,"ч:мм"))+TIME(0,Февраль!AA13,0),"ч::мм"))</f>
        <v/>
      </c>
      <c r="J24" s="3" t="str">
        <f>IF(TEXT(IF(Настройки!AD42="",TEXT(Настройки!$J2,"ч:мм"),TEXT(Настройки!AD42,"ч:мм"))+TIME(0,Февраль!AB13,0),"ч::мм")=TEXT(IF(Настройки!AD42="",TEXT(Настройки!$J2,"ч:мм"),TEXT(Настройки!AD42,"ч:мм")),"ч:мм"),"",TEXT(IF(Настройки!AD42="",TEXT(Настройки!$J2,"ч:мм"),TEXT(Настройки!AD42,"ч:мм")),"ч:мм")&amp;"-"&amp;TEXT(IF(Настройки!AD42="",TEXT(Настройки!$J2,"ч:мм"),TEXT(Настройки!AD42,"ч:мм"))+TIME(0,Февраль!AB13,0),"ч::мм"))</f>
        <v/>
      </c>
      <c r="K24" s="3" t="str">
        <f>IF(TEXT(IF(Настройки!AE42="",TEXT(Настройки!$J2,"ч:мм"),TEXT(Настройки!AE42,"ч:мм"))+TIME(0,Февраль!AC13,0),"ч::мм")=TEXT(IF(Настройки!AE42="",TEXT(Настройки!$J2,"ч:мм"),TEXT(Настройки!AE42,"ч:мм")),"ч:мм"),"",TEXT(IF(Настройки!AE42="",TEXT(Настройки!$J2,"ч:мм"),TEXT(Настройки!AE42,"ч:мм")),"ч:мм")&amp;"-"&amp;TEXT(IF(Настройки!AE42="",TEXT(Настройки!$J2,"ч:мм"),TEXT(Настройки!AE42,"ч:мм"))+TIME(0,Февраль!AC13,0),"ч::мм"))</f>
        <v/>
      </c>
      <c r="L24" s="3" t="str">
        <f>IF(TEXT(IF(Настройки!AF42="",TEXT(Настройки!$J2,"ч:мм"),TEXT(Настройки!AF42,"ч:мм"))+TIME(0,Февраль!AD13,0),"ч::мм")=TEXT(IF(Настройки!AF42="",TEXT(Настройки!$J2,"ч:мм"),TEXT(Настройки!AF42,"ч:мм")),"ч:мм"),"",TEXT(IF(Настройки!AF42="",TEXT(Настройки!$J2,"ч:мм"),TEXT(Настройки!AF42,"ч:мм")),"ч:мм")&amp;"-"&amp;TEXT(IF(Настройки!AF42="",TEXT(Настройки!$J2,"ч:мм"),TEXT(Настройки!AF42,"ч:мм"))+TIME(0,Февраль!AD13,0),"ч::мм"))</f>
        <v/>
      </c>
      <c r="M24" s="3" t="str">
        <f>IF(TEXT(IF(Настройки!AG42="",TEXT(Настройки!$J2,"ч:мм"),TEXT(Настройки!AG42,"ч:мм"))+TIME(0,Февраль!AE13,0),"ч::мм")=TEXT(IF(Настройки!AG42="",TEXT(Настройки!$J2,"ч:мм"),TEXT(Настройки!AG42,"ч:мм")),"ч:мм"),"",TEXT(IF(Настройки!AG42="",TEXT(Настройки!$J2,"ч:мм"),TEXT(Настройки!AG42,"ч:мм")),"ч:мм")&amp;"-"&amp;TEXT(IF(Настройки!AG42="",TEXT(Настройки!$J2,"ч:мм"),TEXT(Настройки!AG42,"ч:мм"))+TIME(0,Февраль!AE13,0),"ч::мм"))</f>
        <v/>
      </c>
      <c r="N24" s="3" t="str">
        <f>IF(TEXT(IF(Настройки!AH42="",TEXT(Настройки!$J2,"ч:мм"),TEXT(Настройки!AH42,"ч:мм"))+TIME(0,Февраль!AF13,0),"ч::мм")=TEXT(IF(Настройки!AH42="",TEXT(Настройки!$J2,"ч:мм"),TEXT(Настройки!AH42,"ч:мм")),"ч:мм"),"",TEXT(IF(Настройки!AH42="",TEXT(Настройки!$J2,"ч:мм"),TEXT(Настройки!AH42,"ч:мм")),"ч:мм")&amp;"-"&amp;TEXT(IF(Настройки!AH42="",TEXT(Настройки!$J2,"ч:мм"),TEXT(Настройки!AH42,"ч:мм"))+TIME(0,Февраль!AF13,0),"ч::мм"))</f>
        <v/>
      </c>
      <c r="O24" s="3" t="str">
        <f>IF(TEXT(IF(Настройки!AI42="",TEXT(Настройки!$J2,"ч:мм"),TEXT(Настройки!AI42,"ч:мм"))+TIME(0,Февраль!AG13,0),"ч::мм")=TEXT(IF(Настройки!AI42="",TEXT(Настройки!$J2,"ч:мм"),TEXT(Настройки!AI42,"ч:мм")),"ч:мм"),"",TEXT(IF(Настройки!AI42="",TEXT(Настройки!$J2,"ч:мм"),TEXT(Настройки!AI42,"ч:мм")),"ч:мм")&amp;"-"&amp;TEXT(IF(Настройки!AI42="",TEXT(Настройки!$J2,"ч:мм"),TEXT(Настройки!AI42,"ч:мм"))+TIME(0,Февраль!AG13,0),"ч::мм"))</f>
        <v/>
      </c>
      <c r="P24" s="36"/>
    </row>
    <row r="25" spans="1:18" x14ac:dyDescent="0.25">
      <c r="A25" s="32" t="str">
        <f t="shared" ca="1" si="0"/>
        <v>13:00-13:00</v>
      </c>
      <c r="B25" s="3" t="str">
        <f ca="1">IF(TEXT(IF(Настройки!V43="",TEXT(Настройки!$J3,"ч:мм"),TEXT(Настройки!V43,"ч:мм"))+TIME(0,Февраль!T14,0),"ч::мм")=TEXT(IF(Настройки!V43="",TEXT(Настройки!$J3,"ч:мм"),TEXT(Настройки!V43,"ч:мм")),"ч:мм"),"",TEXT(IF(Настройки!V43="",TEXT(Настройки!$J3,"ч:мм"),TEXT(Настройки!V43,"ч:мм")),"ч:мм")&amp;"-"&amp;TEXT(IF(Настройки!V43="",TEXT(Настройки!$J3,"ч:мм"),TEXT(Настройки!V43,"ч:мм"))+TIME(0,Февраль!T14,0),"ч::мм"))</f>
        <v/>
      </c>
      <c r="C25" s="3" t="str">
        <f ca="1">IF(TEXT(IF(Настройки!W43="",TEXT(Настройки!$J3,"ч:мм"),TEXT(Настройки!W43,"ч:мм"))+TIME(0,Февраль!U14,0),"ч::мм")=TEXT(IF(Настройки!W43="",TEXT(Настройки!$J3,"ч:мм"),TEXT(Настройки!W43,"ч:мм")),"ч:мм"),"",TEXT(IF(Настройки!W43="",TEXT(Настройки!$J3,"ч:мм"),TEXT(Настройки!W43,"ч:мм")),"ч:мм")&amp;"-"&amp;TEXT(IF(Настройки!W43="",TEXT(Настройки!$J3,"ч:мм"),TEXT(Настройки!W43,"ч:мм"))+TIME(0,Февраль!U14,0),"ч::мм"))</f>
        <v/>
      </c>
      <c r="D25" s="3" t="str">
        <f ca="1">IF(TEXT(IF(Настройки!X43="",TEXT(Настройки!$J3,"ч:мм"),TEXT(Настройки!X43,"ч:мм"))+TIME(0,Февраль!V14,0),"ч::мм")=TEXT(IF(Настройки!X43="",TEXT(Настройки!$J3,"ч:мм"),TEXT(Настройки!X43,"ч:мм")),"ч:мм"),"",TEXT(IF(Настройки!X43="",TEXT(Настройки!$J3,"ч:мм"),TEXT(Настройки!X43,"ч:мм")),"ч:мм")&amp;"-"&amp;TEXT(IF(Настройки!X43="",TEXT(Настройки!$J3,"ч:мм"),TEXT(Настройки!X43,"ч:мм"))+TIME(0,Февраль!V14,0),"ч::мм"))</f>
        <v/>
      </c>
      <c r="E25" s="3" t="str">
        <f ca="1">IF(TEXT(IF(Настройки!Y43="",TEXT(Настройки!$J3,"ч:мм"),TEXT(Настройки!Y43,"ч:мм"))+TIME(0,Февраль!W14,0),"ч::мм")=TEXT(IF(Настройки!Y43="",TEXT(Настройки!$J3,"ч:мм"),TEXT(Настройки!Y43,"ч:мм")),"ч:мм"),"",TEXT(IF(Настройки!Y43="",TEXT(Настройки!$J3,"ч:мм"),TEXT(Настройки!Y43,"ч:мм")),"ч:мм")&amp;"-"&amp;TEXT(IF(Настройки!Y43="",TEXT(Настройки!$J3,"ч:мм"),TEXT(Настройки!Y43,"ч:мм"))+TIME(0,Февраль!W14,0),"ч::мм"))</f>
        <v/>
      </c>
      <c r="F25" s="3" t="str">
        <f ca="1">IF(TEXT(IF(Настройки!Z43="",TEXT(Настройки!$J3,"ч:мм"),TEXT(Настройки!Z43,"ч:мм"))+TIME(0,Февраль!X14,0),"ч::мм")=TEXT(IF(Настройки!Z43="",TEXT(Настройки!$J3,"ч:мм"),TEXT(Настройки!Z43,"ч:мм")),"ч:мм"),"",TEXT(IF(Настройки!Z43="",TEXT(Настройки!$J3,"ч:мм"),TEXT(Настройки!Z43,"ч:мм")),"ч:мм")&amp;"-"&amp;TEXT(IF(Настройки!Z43="",TEXT(Настройки!$J3,"ч:мм"),TEXT(Настройки!Z43,"ч:мм"))+TIME(0,Февраль!X14,0),"ч::мм"))</f>
        <v/>
      </c>
      <c r="G25" s="3" t="str">
        <f ca="1">IF(TEXT(IF(Настройки!AA43="",TEXT(Настройки!$J3,"ч:мм"),TEXT(Настройки!AA43,"ч:мм"))+TIME(0,Февраль!Y14,0),"ч::мм")=TEXT(IF(Настройки!AA43="",TEXT(Настройки!$J3,"ч:мм"),TEXT(Настройки!AA43,"ч:мм")),"ч:мм"),"",TEXT(IF(Настройки!AA43="",TEXT(Настройки!$J3,"ч:мм"),TEXT(Настройки!AA43,"ч:мм")),"ч:мм")&amp;"-"&amp;TEXT(IF(Настройки!AA43="",TEXT(Настройки!$J3,"ч:мм"),TEXT(Настройки!AA43,"ч:мм"))+TIME(0,Февраль!Y14,0),"ч::мм"))</f>
        <v/>
      </c>
      <c r="H25" s="3" t="str">
        <f ca="1">IF(TEXT(IF(Настройки!AB43="",TEXT(Настройки!$J3,"ч:мм"),TEXT(Настройки!AB43,"ч:мм"))+TIME(0,Февраль!Z14,0),"ч::мм")=TEXT(IF(Настройки!AB43="",TEXT(Настройки!$J3,"ч:мм"),TEXT(Настройки!AB43,"ч:мм")),"ч:мм"),"",TEXT(IF(Настройки!AB43="",TEXT(Настройки!$J3,"ч:мм"),TEXT(Настройки!AB43,"ч:мм")),"ч:мм")&amp;"-"&amp;TEXT(IF(Настройки!AB43="",TEXT(Настройки!$J3,"ч:мм"),TEXT(Настройки!AB43,"ч:мм"))+TIME(0,Февраль!Z14,0),"ч::мм"))</f>
        <v/>
      </c>
      <c r="I25" s="3" t="str">
        <f ca="1">IF(TEXT(IF(Настройки!AC43="",TEXT(Настройки!$J3,"ч:мм"),TEXT(Настройки!AC43,"ч:мм"))+TIME(0,Февраль!AA14,0),"ч::мм")=TEXT(IF(Настройки!AC43="",TEXT(Настройки!$J3,"ч:мм"),TEXT(Настройки!AC43,"ч:мм")),"ч:мм"),"",TEXT(IF(Настройки!AC43="",TEXT(Настройки!$J3,"ч:мм"),TEXT(Настройки!AC43,"ч:мм")),"ч:мм")&amp;"-"&amp;TEXT(IF(Настройки!AC43="",TEXT(Настройки!$J3,"ч:мм"),TEXT(Настройки!AC43,"ч:мм"))+TIME(0,Февраль!AA14,0),"ч::мм"))</f>
        <v/>
      </c>
      <c r="J25" s="3" t="str">
        <f ca="1">IF(TEXT(IF(Настройки!AD43="",TEXT(Настройки!$J3,"ч:мм"),TEXT(Настройки!AD43,"ч:мм"))+TIME(0,Февраль!AB14,0),"ч::мм")=TEXT(IF(Настройки!AD43="",TEXT(Настройки!$J3,"ч:мм"),TEXT(Настройки!AD43,"ч:мм")),"ч:мм"),"",TEXT(IF(Настройки!AD43="",TEXT(Настройки!$J3,"ч:мм"),TEXT(Настройки!AD43,"ч:мм")),"ч:мм")&amp;"-"&amp;TEXT(IF(Настройки!AD43="",TEXT(Настройки!$J3,"ч:мм"),TEXT(Настройки!AD43,"ч:мм"))+TIME(0,Февраль!AB14,0),"ч::мм"))</f>
        <v/>
      </c>
      <c r="K25" s="3" t="str">
        <f ca="1">IF(TEXT(IF(Настройки!AE43="",TEXT(Настройки!$J3,"ч:мм"),TEXT(Настройки!AE43,"ч:мм"))+TIME(0,Февраль!AC14,0),"ч::мм")=TEXT(IF(Настройки!AE43="",TEXT(Настройки!$J3,"ч:мм"),TEXT(Настройки!AE43,"ч:мм")),"ч:мм"),"",TEXT(IF(Настройки!AE43="",TEXT(Настройки!$J3,"ч:мм"),TEXT(Настройки!AE43,"ч:мм")),"ч:мм")&amp;"-"&amp;TEXT(IF(Настройки!AE43="",TEXT(Настройки!$J3,"ч:мм"),TEXT(Настройки!AE43,"ч:мм"))+TIME(0,Февраль!AC14,0),"ч::мм"))</f>
        <v/>
      </c>
      <c r="L25" s="3" t="str">
        <f ca="1">IF(TEXT(IF(Настройки!AF43="",TEXT(Настройки!$J3,"ч:мм"),TEXT(Настройки!AF43,"ч:мм"))+TIME(0,Февраль!AD14,0),"ч::мм")=TEXT(IF(Настройки!AF43="",TEXT(Настройки!$J3,"ч:мм"),TEXT(Настройки!AF43,"ч:мм")),"ч:мм"),"",TEXT(IF(Настройки!AF43="",TEXT(Настройки!$J3,"ч:мм"),TEXT(Настройки!AF43,"ч:мм")),"ч:мм")&amp;"-"&amp;TEXT(IF(Настройки!AF43="",TEXT(Настройки!$J3,"ч:мм"),TEXT(Настройки!AF43,"ч:мм"))+TIME(0,Февраль!AD14,0),"ч::мм"))</f>
        <v/>
      </c>
      <c r="M25" s="3" t="str">
        <f ca="1">IF(TEXT(IF(Настройки!AG43="",TEXT(Настройки!$J3,"ч:мм"),TEXT(Настройки!AG43,"ч:мм"))+TIME(0,Февраль!AE14,0),"ч::мм")=TEXT(IF(Настройки!AG43="",TEXT(Настройки!$J3,"ч:мм"),TEXT(Настройки!AG43,"ч:мм")),"ч:мм"),"",TEXT(IF(Настройки!AG43="",TEXT(Настройки!$J3,"ч:мм"),TEXT(Настройки!AG43,"ч:мм")),"ч:мм")&amp;"-"&amp;TEXT(IF(Настройки!AG43="",TEXT(Настройки!$J3,"ч:мм"),TEXT(Настройки!AG43,"ч:мм"))+TIME(0,Февраль!AE14,0),"ч::мм"))</f>
        <v/>
      </c>
      <c r="N25" s="3" t="str">
        <f ca="1">IF(TEXT(IF(Настройки!AH43="",TEXT(Настройки!$J3,"ч:мм"),TEXT(Настройки!AH43,"ч:мм"))+TIME(0,Февраль!AF14,0),"ч::мм")=TEXT(IF(Настройки!AH43="",TEXT(Настройки!$J3,"ч:мм"),TEXT(Настройки!AH43,"ч:мм")),"ч:мм"),"",TEXT(IF(Настройки!AH43="",TEXT(Настройки!$J3,"ч:мм"),TEXT(Настройки!AH43,"ч:мм")),"ч:мм")&amp;"-"&amp;TEXT(IF(Настройки!AH43="",TEXT(Настройки!$J3,"ч:мм"),TEXT(Настройки!AH43,"ч:мм"))+TIME(0,Февраль!AF14,0),"ч::мм"))</f>
        <v/>
      </c>
      <c r="O25" s="3" t="str">
        <f ca="1">IF(TEXT(IF(Настройки!AI43="",TEXT(Настройки!$J3,"ч:мм"),TEXT(Настройки!AI43,"ч:мм"))+TIME(0,Февраль!AG14,0),"ч::мм")=TEXT(IF(Настройки!AI43="",TEXT(Настройки!$J3,"ч:мм"),TEXT(Настройки!AI43,"ч:мм")),"ч:мм"),"",TEXT(IF(Настройки!AI43="",TEXT(Настройки!$J3,"ч:мм"),TEXT(Настройки!AI43,"ч:мм")),"ч:мм")&amp;"-"&amp;TEXT(IF(Настройки!AI43="",TEXT(Настройки!$J3,"ч:мм"),TEXT(Настройки!AI43,"ч:мм"))+TIME(0,Февраль!AG14,0),"ч::мм"))</f>
        <v/>
      </c>
      <c r="P25" s="36"/>
    </row>
    <row r="26" spans="1:18" x14ac:dyDescent="0.25">
      <c r="A26" s="32" t="str">
        <f t="shared" ca="1" si="0"/>
        <v>16:00-16:00</v>
      </c>
      <c r="B26" s="3" t="str">
        <f ca="1">IF(TEXT(IF(Настройки!V44="",TEXT(Настройки!$J4,"ч:мм"),TEXT(Настройки!V44,"ч:мм"))+TIME(0,Февраль!T15,0),"ч::мм")=TEXT(IF(Настройки!V44="",TEXT(Настройки!$J4,"ч:мм"),TEXT(Настройки!V44,"ч:мм")),"ч:мм"),"",TEXT(IF(Настройки!V44="",TEXT(Настройки!$J4,"ч:мм"),TEXT(Настройки!V44,"ч:мм")),"ч:мм")&amp;"-"&amp;TEXT(IF(Настройки!V44="",TEXT(Настройки!$J4,"ч:мм"),TEXT(Настройки!V44,"ч:мм"))+TIME(0,Февраль!T15,0),"ч::мм"))</f>
        <v/>
      </c>
      <c r="C26" s="3" t="str">
        <f ca="1">IF(TEXT(IF(Настройки!W44="",TEXT(Настройки!$J4,"ч:мм"),TEXT(Настройки!W44,"ч:мм"))+TIME(0,Февраль!U15,0),"ч::мм")=TEXT(IF(Настройки!W44="",TEXT(Настройки!$J4,"ч:мм"),TEXT(Настройки!W44,"ч:мм")),"ч:мм"),"",TEXT(IF(Настройки!W44="",TEXT(Настройки!$J4,"ч:мм"),TEXT(Настройки!W44,"ч:мм")),"ч:мм")&amp;"-"&amp;TEXT(IF(Настройки!W44="",TEXT(Настройки!$J4,"ч:мм"),TEXT(Настройки!W44,"ч:мм"))+TIME(0,Февраль!U15,0),"ч::мм"))</f>
        <v/>
      </c>
      <c r="D26" s="3" t="str">
        <f ca="1">IF(TEXT(IF(Настройки!X44="",TEXT(Настройки!$J4,"ч:мм"),TEXT(Настройки!X44,"ч:мм"))+TIME(0,Февраль!V15,0),"ч::мм")=TEXT(IF(Настройки!X44="",TEXT(Настройки!$J4,"ч:мм"),TEXT(Настройки!X44,"ч:мм")),"ч:мм"),"",TEXT(IF(Настройки!X44="",TEXT(Настройки!$J4,"ч:мм"),TEXT(Настройки!X44,"ч:мм")),"ч:мм")&amp;"-"&amp;TEXT(IF(Настройки!X44="",TEXT(Настройки!$J4,"ч:мм"),TEXT(Настройки!X44,"ч:мм"))+TIME(0,Февраль!V15,0),"ч::мм"))</f>
        <v/>
      </c>
      <c r="E26" s="3" t="str">
        <f ca="1">IF(TEXT(IF(Настройки!Y44="",TEXT(Настройки!$J4,"ч:мм"),TEXT(Настройки!Y44,"ч:мм"))+TIME(0,Февраль!W15,0),"ч::мм")=TEXT(IF(Настройки!Y44="",TEXT(Настройки!$J4,"ч:мм"),TEXT(Настройки!Y44,"ч:мм")),"ч:мм"),"",TEXT(IF(Настройки!Y44="",TEXT(Настройки!$J4,"ч:мм"),TEXT(Настройки!Y44,"ч:мм")),"ч:мм")&amp;"-"&amp;TEXT(IF(Настройки!Y44="",TEXT(Настройки!$J4,"ч:мм"),TEXT(Настройки!Y44,"ч:мм"))+TIME(0,Февраль!W15,0),"ч::мм"))</f>
        <v/>
      </c>
      <c r="F26" s="3" t="str">
        <f ca="1">IF(TEXT(IF(Настройки!Z44="",TEXT(Настройки!$J4,"ч:мм"),TEXT(Настройки!Z44,"ч:мм"))+TIME(0,Февраль!X15,0),"ч::мм")=TEXT(IF(Настройки!Z44="",TEXT(Настройки!$J4,"ч:мм"),TEXT(Настройки!Z44,"ч:мм")),"ч:мм"),"",TEXT(IF(Настройки!Z44="",TEXT(Настройки!$J4,"ч:мм"),TEXT(Настройки!Z44,"ч:мм")),"ч:мм")&amp;"-"&amp;TEXT(IF(Настройки!Z44="",TEXT(Настройки!$J4,"ч:мм"),TEXT(Настройки!Z44,"ч:мм"))+TIME(0,Февраль!X15,0),"ч::мм"))</f>
        <v/>
      </c>
      <c r="G26" s="3" t="str">
        <f ca="1">IF(TEXT(IF(Настройки!AA44="",TEXT(Настройки!$J4,"ч:мм"),TEXT(Настройки!AA44,"ч:мм"))+TIME(0,Февраль!Y15,0),"ч::мм")=TEXT(IF(Настройки!AA44="",TEXT(Настройки!$J4,"ч:мм"),TEXT(Настройки!AA44,"ч:мм")),"ч:мм"),"",TEXT(IF(Настройки!AA44="",TEXT(Настройки!$J4,"ч:мм"),TEXT(Настройки!AA44,"ч:мм")),"ч:мм")&amp;"-"&amp;TEXT(IF(Настройки!AA44="",TEXT(Настройки!$J4,"ч:мм"),TEXT(Настройки!AA44,"ч:мм"))+TIME(0,Февраль!Y15,0),"ч::мм"))</f>
        <v/>
      </c>
      <c r="H26" s="3" t="str">
        <f ca="1">IF(TEXT(IF(Настройки!AB44="",TEXT(Настройки!$J4,"ч:мм"),TEXT(Настройки!AB44,"ч:мм"))+TIME(0,Февраль!Z15,0),"ч::мм")=TEXT(IF(Настройки!AB44="",TEXT(Настройки!$J4,"ч:мм"),TEXT(Настройки!AB44,"ч:мм")),"ч:мм"),"",TEXT(IF(Настройки!AB44="",TEXT(Настройки!$J4,"ч:мм"),TEXT(Настройки!AB44,"ч:мм")),"ч:мм")&amp;"-"&amp;TEXT(IF(Настройки!AB44="",TEXT(Настройки!$J4,"ч:мм"),TEXT(Настройки!AB44,"ч:мм"))+TIME(0,Февраль!Z15,0),"ч::мм"))</f>
        <v/>
      </c>
      <c r="I26" s="3" t="str">
        <f ca="1">IF(TEXT(IF(Настройки!AC44="",TEXT(Настройки!$J4,"ч:мм"),TEXT(Настройки!AC44,"ч:мм"))+TIME(0,Февраль!AA15,0),"ч::мм")=TEXT(IF(Настройки!AC44="",TEXT(Настройки!$J4,"ч:мм"),TEXT(Настройки!AC44,"ч:мм")),"ч:мм"),"",TEXT(IF(Настройки!AC44="",TEXT(Настройки!$J4,"ч:мм"),TEXT(Настройки!AC44,"ч:мм")),"ч:мм")&amp;"-"&amp;TEXT(IF(Настройки!AC44="",TEXT(Настройки!$J4,"ч:мм"),TEXT(Настройки!AC44,"ч:мм"))+TIME(0,Февраль!AA15,0),"ч::мм"))</f>
        <v/>
      </c>
      <c r="J26" s="3" t="str">
        <f ca="1">IF(TEXT(IF(Настройки!AD44="",TEXT(Настройки!$J4,"ч:мм"),TEXT(Настройки!AD44,"ч:мм"))+TIME(0,Февраль!AB15,0),"ч::мм")=TEXT(IF(Настройки!AD44="",TEXT(Настройки!$J4,"ч:мм"),TEXT(Настройки!AD44,"ч:мм")),"ч:мм"),"",TEXT(IF(Настройки!AD44="",TEXT(Настройки!$J4,"ч:мм"),TEXT(Настройки!AD44,"ч:мм")),"ч:мм")&amp;"-"&amp;TEXT(IF(Настройки!AD44="",TEXT(Настройки!$J4,"ч:мм"),TEXT(Настройки!AD44,"ч:мм"))+TIME(0,Февраль!AB15,0),"ч::мм"))</f>
        <v/>
      </c>
      <c r="K26" s="3" t="str">
        <f ca="1">IF(TEXT(IF(Настройки!AE44="",TEXT(Настройки!$J4,"ч:мм"),TEXT(Настройки!AE44,"ч:мм"))+TIME(0,Февраль!AC15,0),"ч::мм")=TEXT(IF(Настройки!AE44="",TEXT(Настройки!$J4,"ч:мм"),TEXT(Настройки!AE44,"ч:мм")),"ч:мм"),"",TEXT(IF(Настройки!AE44="",TEXT(Настройки!$J4,"ч:мм"),TEXT(Настройки!AE44,"ч:мм")),"ч:мм")&amp;"-"&amp;TEXT(IF(Настройки!AE44="",TEXT(Настройки!$J4,"ч:мм"),TEXT(Настройки!AE44,"ч:мм"))+TIME(0,Февраль!AC15,0),"ч::мм"))</f>
        <v/>
      </c>
      <c r="L26" s="3" t="str">
        <f ca="1">IF(TEXT(IF(Настройки!AF44="",TEXT(Настройки!$J4,"ч:мм"),TEXT(Настройки!AF44,"ч:мм"))+TIME(0,Февраль!AD15,0),"ч::мм")=TEXT(IF(Настройки!AF44="",TEXT(Настройки!$J4,"ч:мм"),TEXT(Настройки!AF44,"ч:мм")),"ч:мм"),"",TEXT(IF(Настройки!AF44="",TEXT(Настройки!$J4,"ч:мм"),TEXT(Настройки!AF44,"ч:мм")),"ч:мм")&amp;"-"&amp;TEXT(IF(Настройки!AF44="",TEXT(Настройки!$J4,"ч:мм"),TEXT(Настройки!AF44,"ч:мм"))+TIME(0,Февраль!AD15,0),"ч::мм"))</f>
        <v/>
      </c>
      <c r="M26" s="3" t="str">
        <f ca="1">IF(TEXT(IF(Настройки!AG44="",TEXT(Настройки!$J4,"ч:мм"),TEXT(Настройки!AG44,"ч:мм"))+TIME(0,Февраль!AE15,0),"ч::мм")=TEXT(IF(Настройки!AG44="",TEXT(Настройки!$J4,"ч:мм"),TEXT(Настройки!AG44,"ч:мм")),"ч:мм"),"",TEXT(IF(Настройки!AG44="",TEXT(Настройки!$J4,"ч:мм"),TEXT(Настройки!AG44,"ч:мм")),"ч:мм")&amp;"-"&amp;TEXT(IF(Настройки!AG44="",TEXT(Настройки!$J4,"ч:мм"),TEXT(Настройки!AG44,"ч:мм"))+TIME(0,Февраль!AE15,0),"ч::мм"))</f>
        <v/>
      </c>
      <c r="N26" s="3" t="str">
        <f ca="1">IF(TEXT(IF(Настройки!AH44="",TEXT(Настройки!$J4,"ч:мм"),TEXT(Настройки!AH44,"ч:мм"))+TIME(0,Февраль!AF15,0),"ч::мм")=TEXT(IF(Настройки!AH44="",TEXT(Настройки!$J4,"ч:мм"),TEXT(Настройки!AH44,"ч:мм")),"ч:мм"),"",TEXT(IF(Настройки!AH44="",TEXT(Настройки!$J4,"ч:мм"),TEXT(Настройки!AH44,"ч:мм")),"ч:мм")&amp;"-"&amp;TEXT(IF(Настройки!AH44="",TEXT(Настройки!$J4,"ч:мм"),TEXT(Настройки!AH44,"ч:мм"))+TIME(0,Февраль!AF15,0),"ч::мм"))</f>
        <v/>
      </c>
      <c r="O26" s="3" t="str">
        <f ca="1">IF(TEXT(IF(Настройки!AI44="",TEXT(Настройки!$J4,"ч:мм"),TEXT(Настройки!AI44,"ч:мм"))+TIME(0,Февраль!AG15,0),"ч::мм")=TEXT(IF(Настройки!AI44="",TEXT(Настройки!$J4,"ч:мм"),TEXT(Настройки!AI44,"ч:мм")),"ч:мм"),"",TEXT(IF(Настройки!AI44="",TEXT(Настройки!$J4,"ч:мм"),TEXT(Настройки!AI44,"ч:мм")),"ч:мм")&amp;"-"&amp;TEXT(IF(Настройки!AI44="",TEXT(Настройки!$J4,"ч:мм"),TEXT(Настройки!AI44,"ч:мм"))+TIME(0,Февраль!AG15,0),"ч::мм"))</f>
        <v/>
      </c>
      <c r="P26" s="36"/>
    </row>
    <row r="27" spans="1:18" x14ac:dyDescent="0.25">
      <c r="Q27" s="9"/>
      <c r="R27" s="9"/>
    </row>
  </sheetData>
  <mergeCells count="9">
    <mergeCell ref="A18:A22"/>
    <mergeCell ref="A2:P2"/>
    <mergeCell ref="F6:G6"/>
    <mergeCell ref="A8:A12"/>
    <mergeCell ref="B8:P9"/>
    <mergeCell ref="B11:P12"/>
    <mergeCell ref="B18:P19"/>
    <mergeCell ref="B21:P22"/>
    <mergeCell ref="H6:I6"/>
  </mergeCells>
  <conditionalFormatting sqref="B10:P10">
    <cfRule type="expression" dxfId="1128" priority="3">
      <formula>WEEKDAY(B10:P10,2)&gt;5</formula>
    </cfRule>
  </conditionalFormatting>
  <conditionalFormatting sqref="B20:P20">
    <cfRule type="expression" dxfId="1127" priority="2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4" tint="0.39997558519241921"/>
    <pageSetUpPr fitToPage="1"/>
  </sheetPr>
  <dimension ref="A2:AL28"/>
  <sheetViews>
    <sheetView zoomScale="70" zoomScaleNormal="70" workbookViewId="0">
      <selection activeCell="C1" sqref="C1"/>
    </sheetView>
  </sheetViews>
  <sheetFormatPr defaultRowHeight="15.75" x14ac:dyDescent="0.25"/>
  <cols>
    <col min="1" max="1" width="21.42578125" style="3" customWidth="1"/>
    <col min="2" max="2" width="18.28515625" style="3" bestFit="1" customWidth="1"/>
    <col min="3" max="3" width="14.42578125" style="3" bestFit="1" customWidth="1"/>
    <col min="4" max="4" width="9.28515625" style="3" customWidth="1"/>
    <col min="5" max="17" width="4.42578125" style="3" bestFit="1" customWidth="1"/>
    <col min="18" max="18" width="6.42578125" style="3" bestFit="1" customWidth="1"/>
    <col min="19" max="35" width="4.42578125" style="3" bestFit="1" customWidth="1"/>
    <col min="36" max="36" width="9.5703125" style="3" bestFit="1" customWidth="1"/>
    <col min="37" max="37" width="10" style="3" bestFit="1" customWidth="1"/>
    <col min="38" max="38" width="14" style="3" bestFit="1" customWidth="1"/>
    <col min="39" max="16384" width="9.140625" style="3"/>
  </cols>
  <sheetData>
    <row r="2" spans="1:38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8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8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8" ht="18.75" x14ac:dyDescent="0.25">
      <c r="L5" s="10" t="s">
        <v>69</v>
      </c>
      <c r="M5" s="61" t="s">
        <v>126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7" spans="1:38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9"/>
      <c r="AJ7" s="63" t="s">
        <v>64</v>
      </c>
      <c r="AK7" s="64" t="s">
        <v>64</v>
      </c>
    </row>
    <row r="8" spans="1:38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78"/>
      <c r="AJ8" s="63"/>
      <c r="AK8" s="65"/>
    </row>
    <row r="9" spans="1:38" x14ac:dyDescent="0.25">
      <c r="A9" s="73"/>
      <c r="B9" s="76"/>
      <c r="C9" s="76"/>
      <c r="D9" s="82"/>
      <c r="E9" s="17">
        <f>Настройки!G9</f>
        <v>45352</v>
      </c>
      <c r="F9" s="17">
        <f>Настройки!H9</f>
        <v>45353</v>
      </c>
      <c r="G9" s="17">
        <f>Настройки!I9</f>
        <v>45354</v>
      </c>
      <c r="H9" s="17">
        <f>Настройки!J9</f>
        <v>45355</v>
      </c>
      <c r="I9" s="17">
        <f>Настройки!K9</f>
        <v>45356</v>
      </c>
      <c r="J9" s="17">
        <f>Настройки!L9</f>
        <v>45357</v>
      </c>
      <c r="K9" s="17">
        <f>Настройки!M9</f>
        <v>45358</v>
      </c>
      <c r="L9" s="17">
        <f>Настройки!N9</f>
        <v>45359</v>
      </c>
      <c r="M9" s="17">
        <f>Настройки!O9</f>
        <v>45360</v>
      </c>
      <c r="N9" s="17">
        <f>Настройки!P9</f>
        <v>45361</v>
      </c>
      <c r="O9" s="17">
        <f>Настройки!Q9</f>
        <v>45362</v>
      </c>
      <c r="P9" s="17">
        <f>Настройки!R9</f>
        <v>45363</v>
      </c>
      <c r="Q9" s="17">
        <f>Настройки!S9</f>
        <v>45364</v>
      </c>
      <c r="R9" s="17">
        <f>Настройки!T9</f>
        <v>45365</v>
      </c>
      <c r="S9" s="17">
        <f>Настройки!U9</f>
        <v>45366</v>
      </c>
      <c r="T9" s="17">
        <f>Настройки!V9</f>
        <v>45367</v>
      </c>
      <c r="U9" s="17">
        <f>Настройки!W9</f>
        <v>45368</v>
      </c>
      <c r="V9" s="17">
        <f>Настройки!X9</f>
        <v>45369</v>
      </c>
      <c r="W9" s="17">
        <f>Настройки!Y9</f>
        <v>45370</v>
      </c>
      <c r="X9" s="17">
        <f>Настройки!Z9</f>
        <v>45371</v>
      </c>
      <c r="Y9" s="17">
        <f>Настройки!AA9</f>
        <v>45372</v>
      </c>
      <c r="Z9" s="17">
        <f>Настройки!AB9</f>
        <v>45373</v>
      </c>
      <c r="AA9" s="17">
        <f>Настройки!AC9</f>
        <v>45374</v>
      </c>
      <c r="AB9" s="17">
        <f>Настройки!AD9</f>
        <v>45375</v>
      </c>
      <c r="AC9" s="17">
        <f>Настройки!AE9</f>
        <v>45376</v>
      </c>
      <c r="AD9" s="17">
        <f>Настройки!AF9</f>
        <v>45377</v>
      </c>
      <c r="AE9" s="17">
        <f>Настройки!AG9</f>
        <v>45378</v>
      </c>
      <c r="AF9" s="17">
        <f>Настройки!AH9</f>
        <v>45379</v>
      </c>
      <c r="AG9" s="17">
        <f>Настройки!AI9</f>
        <v>45380</v>
      </c>
      <c r="AH9" s="17">
        <f>Настройки!AJ9</f>
        <v>45381</v>
      </c>
      <c r="AI9" s="17">
        <f>Настройки!AK9</f>
        <v>45382</v>
      </c>
      <c r="AJ9" s="63"/>
      <c r="AK9" s="65"/>
    </row>
    <row r="10" spans="1:38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9"/>
      <c r="AJ10" s="63"/>
      <c r="AK10" s="65"/>
    </row>
    <row r="11" spans="1:38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2"/>
      <c r="AJ11" s="63"/>
      <c r="AK11" s="66"/>
    </row>
    <row r="12" spans="1:38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SUMPRODUCT((Настройки!$G$23:$AK$23=1)*E16:AI16)</f>
        <v>0</v>
      </c>
      <c r="D13" s="5">
        <v>1</v>
      </c>
      <c r="E13" s="23">
        <f>SUMPRODUCT((Март[№]=1)*Март[1],Март[Объем])</f>
        <v>0</v>
      </c>
      <c r="F13" s="23">
        <f>SUMPRODUCT((Март[№]=1)*Март[2],Март[Объем])</f>
        <v>0</v>
      </c>
      <c r="G13" s="23">
        <f>SUMPRODUCT((Март[№]=1)*Март[3],Март[Объем])</f>
        <v>0</v>
      </c>
      <c r="H13" s="23">
        <f>SUMPRODUCT((Март[№]=1)*Март[4],Март[Объем])</f>
        <v>0</v>
      </c>
      <c r="I13" s="23">
        <f>SUMPRODUCT((Март[№]=1)*Март[5],Март[Объем])</f>
        <v>0</v>
      </c>
      <c r="J13" s="23">
        <f>SUMPRODUCT((Март[№]=1)*Март[6],Март[Объем])</f>
        <v>0</v>
      </c>
      <c r="K13" s="23">
        <f>SUMPRODUCT((Март[№]=1)*Март[7],Март[Объем])</f>
        <v>0</v>
      </c>
      <c r="L13" s="23">
        <f>SUMPRODUCT((Март[№]=1)*Март[8],Март[Объем])</f>
        <v>0</v>
      </c>
      <c r="M13" s="23">
        <f>SUMPRODUCT((Март[№]=1)*Март[9],Март[Объем])</f>
        <v>0</v>
      </c>
      <c r="N13" s="23">
        <f>SUMPRODUCT((Март[№]=1)*Март[10],Март[Объем])</f>
        <v>0</v>
      </c>
      <c r="O13" s="23">
        <f>SUMPRODUCT((Март[№]=1)*Март[11],Март[Объем])</f>
        <v>0</v>
      </c>
      <c r="P13" s="23">
        <f>SUMPRODUCT((Март[№]=1)*Март[12],Март[Объем])</f>
        <v>0</v>
      </c>
      <c r="Q13" s="23">
        <f>SUMPRODUCT((Март[№]=1)*Март[13],Март[Объем])</f>
        <v>0</v>
      </c>
      <c r="R13" s="23">
        <f>SUMPRODUCT((Март[№]=1)*Март[14],Март[Объем])</f>
        <v>0</v>
      </c>
      <c r="S13" s="23">
        <f>SUMPRODUCT((Март[№]=1)*Март[15],Март[Объем])</f>
        <v>0</v>
      </c>
      <c r="T13" s="23">
        <f>SUMPRODUCT((Март[№]=1)*Март[16],Март[Объем])</f>
        <v>0</v>
      </c>
      <c r="U13" s="23">
        <f>SUMPRODUCT((Март[№]=1)*Март[17],Март[Объем])</f>
        <v>0</v>
      </c>
      <c r="V13" s="23">
        <f>SUMPRODUCT((Март[№]=1)*Март[18],Март[Объем])</f>
        <v>0</v>
      </c>
      <c r="W13" s="23">
        <f>SUMPRODUCT((Март[№]=1)*Март[19],Март[Объем])</f>
        <v>0</v>
      </c>
      <c r="X13" s="23">
        <f>SUMPRODUCT((Март[№]=1)*Март[20],Март[Объем])</f>
        <v>0</v>
      </c>
      <c r="Y13" s="23">
        <f>SUMPRODUCT((Март[№]=1)*Март[21],Март[Объем])</f>
        <v>0</v>
      </c>
      <c r="Z13" s="23">
        <f>SUMPRODUCT((Март[№]=1)*Март[22],Март[Объем])</f>
        <v>0</v>
      </c>
      <c r="AA13" s="23">
        <f>SUMPRODUCT((Март[№]=1)*Март[23],Март[Объем])</f>
        <v>0</v>
      </c>
      <c r="AB13" s="23">
        <f>SUMPRODUCT((Март[№]=1)*Март[24],Март[Объем])</f>
        <v>0</v>
      </c>
      <c r="AC13" s="23">
        <f>SUMPRODUCT((Март[№]=1)*Март[25],Март[Объем])</f>
        <v>0</v>
      </c>
      <c r="AD13" s="23">
        <f>SUMPRODUCT((Март[№]=1)*Март[26],Март[Объем])</f>
        <v>0</v>
      </c>
      <c r="AE13" s="23">
        <f>SUMPRODUCT((Март[№]=1)*Март[27],Март[Объем])</f>
        <v>0</v>
      </c>
      <c r="AF13" s="23">
        <f>SUMPRODUCT((Март[№]=1)*Март[28],Март[Объем])</f>
        <v>0</v>
      </c>
      <c r="AG13" s="23">
        <f>SUMPRODUCT((Март[№]=1)*Март[29],Март[Объем])</f>
        <v>0</v>
      </c>
      <c r="AH13" s="23">
        <f>SUMPRODUCT((Март[№]=1)*Март[30],Март[Объем])</f>
        <v>0</v>
      </c>
      <c r="AI13" s="23">
        <f>SUMPRODUCT((Март[№]=1)*Март[31],Март[Объем])</f>
        <v>0</v>
      </c>
      <c r="AL13" s="4"/>
    </row>
    <row r="14" spans="1:38" x14ac:dyDescent="0.25">
      <c r="B14" s="3">
        <f ca="1">SUMPRODUCT((Настройки!$G$23:$AK$23=2)*E16:AI16)</f>
        <v>0</v>
      </c>
      <c r="D14" s="5">
        <v>2</v>
      </c>
      <c r="E14" s="23">
        <f ca="1">SUMPRODUCT((Март[№]=2)*Март[1],OFFSET(Март[Объем],-1,0))</f>
        <v>0</v>
      </c>
      <c r="F14" s="23">
        <f ca="1">SUMPRODUCT((Март[№]=2)*Март[2],OFFSET(Март[Объем],-1,0))</f>
        <v>0</v>
      </c>
      <c r="G14" s="23">
        <f ca="1">SUMPRODUCT((Март[№]=2)*Март[3],OFFSET(Март[Объем],-1,0))</f>
        <v>0</v>
      </c>
      <c r="H14" s="23">
        <f ca="1">SUMPRODUCT((Март[№]=2)*Март[4],OFFSET(Март[Объем],-1,0))</f>
        <v>0</v>
      </c>
      <c r="I14" s="23">
        <f ca="1">SUMPRODUCT((Март[№]=2)*Март[5],OFFSET(Март[Объем],-1,0))</f>
        <v>0</v>
      </c>
      <c r="J14" s="23">
        <f ca="1">SUMPRODUCT((Март[№]=2)*Март[6],OFFSET(Март[Объем],-1,0))</f>
        <v>0</v>
      </c>
      <c r="K14" s="23">
        <f ca="1">SUMPRODUCT((Март[№]=2)*Март[7],OFFSET(Март[Объем],-1,0))</f>
        <v>0</v>
      </c>
      <c r="L14" s="23">
        <f ca="1">SUMPRODUCT((Март[№]=2)*Март[8],OFFSET(Март[Объем],-1,0))</f>
        <v>0</v>
      </c>
      <c r="M14" s="23">
        <f ca="1">SUMPRODUCT((Март[№]=2)*Март[9],OFFSET(Март[Объем],-1,0))</f>
        <v>0</v>
      </c>
      <c r="N14" s="23">
        <f ca="1">SUMPRODUCT((Март[№]=2)*Март[10],OFFSET(Март[Объем],-1,0))</f>
        <v>0</v>
      </c>
      <c r="O14" s="23">
        <f ca="1">SUMPRODUCT((Март[№]=2)*Март[11],OFFSET(Март[Объем],-1,0))</f>
        <v>0</v>
      </c>
      <c r="P14" s="23">
        <f ca="1">SUMPRODUCT((Март[№]=2)*Март[12],OFFSET(Март[Объем],-1,0))</f>
        <v>0</v>
      </c>
      <c r="Q14" s="23">
        <f ca="1">SUMPRODUCT((Март[№]=2)*Март[13],OFFSET(Март[Объем],-1,0))</f>
        <v>0</v>
      </c>
      <c r="R14" s="23">
        <f ca="1">SUMPRODUCT((Март[№]=2)*Март[14],OFFSET(Март[Объем],-1,0))</f>
        <v>0</v>
      </c>
      <c r="S14" s="23">
        <f ca="1">SUMPRODUCT((Март[№]=2)*Март[15],OFFSET(Март[Объем],-1,0))</f>
        <v>0</v>
      </c>
      <c r="T14" s="23">
        <f ca="1">SUMPRODUCT((Март[№]=2)*Март[16],OFFSET(Март[Объем],-1,0))</f>
        <v>0</v>
      </c>
      <c r="U14" s="23">
        <f ca="1">SUMPRODUCT((Март[№]=2)*Март[17],OFFSET(Март[Объем],-1,0))</f>
        <v>0</v>
      </c>
      <c r="V14" s="23">
        <f ca="1">SUMPRODUCT((Март[№]=2)*Март[18],OFFSET(Март[Объем],-1,0))</f>
        <v>0</v>
      </c>
      <c r="W14" s="23">
        <f ca="1">SUMPRODUCT((Март[№]=2)*Март[19],OFFSET(Март[Объем],-1,0))</f>
        <v>0</v>
      </c>
      <c r="X14" s="23">
        <f ca="1">SUMPRODUCT((Март[№]=2)*Март[20],OFFSET(Март[Объем],-1,0))</f>
        <v>0</v>
      </c>
      <c r="Y14" s="23">
        <f ca="1">SUMPRODUCT((Март[№]=2)*Март[21],OFFSET(Март[Объем],-1,0))</f>
        <v>0</v>
      </c>
      <c r="Z14" s="23">
        <f ca="1">SUMPRODUCT((Март[№]=2)*Март[22],OFFSET(Март[Объем],-1,0))</f>
        <v>0</v>
      </c>
      <c r="AA14" s="23">
        <f ca="1">SUMPRODUCT((Март[№]=2)*Март[23],OFFSET(Март[Объем],-1,0))</f>
        <v>0</v>
      </c>
      <c r="AB14" s="23">
        <f ca="1">SUMPRODUCT((Март[№]=2)*Март[24],OFFSET(Март[Объем],-1,0))</f>
        <v>0</v>
      </c>
      <c r="AC14" s="23">
        <f ca="1">SUMPRODUCT((Март[№]=2)*Март[25],OFFSET(Март[Объем],-1,0))</f>
        <v>0</v>
      </c>
      <c r="AD14" s="23">
        <f ca="1">SUMPRODUCT((Март[№]=2)*Март[26],OFFSET(Март[Объем],-1,0))</f>
        <v>0</v>
      </c>
      <c r="AE14" s="23">
        <f ca="1">SUMPRODUCT((Март[№]=2)*Март[27],OFFSET(Март[Объем],-1,0))</f>
        <v>0</v>
      </c>
      <c r="AF14" s="23">
        <f ca="1">SUMPRODUCT((Март[№]=2)*Март[28],OFFSET(Март[Объем],-1,0))</f>
        <v>0</v>
      </c>
      <c r="AG14" s="23">
        <f ca="1">SUMPRODUCT((Март[№]=2)*Март[29],OFFSET(Март[Объем],-1,0))</f>
        <v>0</v>
      </c>
      <c r="AH14" s="23">
        <f ca="1">SUMPRODUCT((Март[№]=2)*Март[30],OFFSET(Март[Объем],-1,0))</f>
        <v>0</v>
      </c>
      <c r="AI14" s="23">
        <f ca="1">SUMPRODUCT((Март[№]=2)*Март[31],OFFSET(Март[Объем],-1,0))</f>
        <v>0</v>
      </c>
      <c r="AL14" s="4"/>
    </row>
    <row r="15" spans="1:38" x14ac:dyDescent="0.25">
      <c r="B15" s="3">
        <f ca="1">SUMPRODUCT((Настройки!$G$23:$AK$23=3)*E16:AI16)</f>
        <v>0</v>
      </c>
      <c r="D15" s="5">
        <v>3</v>
      </c>
      <c r="E15" s="23">
        <f ca="1">SUMPRODUCT((Март[№]=3)*Март[1],OFFSET(Март[Объем],-2,0))</f>
        <v>0</v>
      </c>
      <c r="F15" s="23">
        <f ca="1">SUMPRODUCT((Март[№]=3)*Март[2],OFFSET(Март[Объем],-2,0))</f>
        <v>0</v>
      </c>
      <c r="G15" s="23">
        <f ca="1">SUMPRODUCT((Март[№]=3)*Март[3],OFFSET(Март[Объем],-2,0))</f>
        <v>0</v>
      </c>
      <c r="H15" s="23">
        <f ca="1">SUMPRODUCT((Март[№]=3)*Март[4],OFFSET(Март[Объем],-2,0))</f>
        <v>0</v>
      </c>
      <c r="I15" s="23">
        <f ca="1">SUMPRODUCT((Март[№]=3)*Март[5],OFFSET(Март[Объем],-2,0))</f>
        <v>0</v>
      </c>
      <c r="J15" s="23">
        <f ca="1">SUMPRODUCT((Март[№]=3)*Март[6],OFFSET(Март[Объем],-2,0))</f>
        <v>0</v>
      </c>
      <c r="K15" s="23">
        <f ca="1">SUMPRODUCT((Март[№]=3)*Март[7],OFFSET(Март[Объем],-2,0))</f>
        <v>0</v>
      </c>
      <c r="L15" s="23">
        <f ca="1">SUMPRODUCT((Март[№]=3)*Март[8],OFFSET(Март[Объем],-2,0))</f>
        <v>0</v>
      </c>
      <c r="M15" s="23">
        <f ca="1">SUMPRODUCT((Март[№]=3)*Март[9],OFFSET(Март[Объем],-2,0))</f>
        <v>0</v>
      </c>
      <c r="N15" s="23">
        <f ca="1">SUMPRODUCT((Март[№]=3)*Март[10],OFFSET(Март[Объем],-2,0))</f>
        <v>0</v>
      </c>
      <c r="O15" s="23">
        <f ca="1">SUMPRODUCT((Март[№]=3)*Март[11],OFFSET(Март[Объем],-2,0))</f>
        <v>0</v>
      </c>
      <c r="P15" s="23">
        <f ca="1">SUMPRODUCT((Март[№]=3)*Март[12],OFFSET(Март[Объем],-2,0))</f>
        <v>0</v>
      </c>
      <c r="Q15" s="23">
        <f ca="1">SUMPRODUCT((Март[№]=3)*Март[13],OFFSET(Март[Объем],-2,0))</f>
        <v>0</v>
      </c>
      <c r="R15" s="23">
        <f ca="1">SUMPRODUCT((Март[№]=3)*Март[14],OFFSET(Март[Объем],-2,0))</f>
        <v>0</v>
      </c>
      <c r="S15" s="23">
        <f ca="1">SUMPRODUCT((Март[№]=3)*Март[15],OFFSET(Март[Объем],-2,0))</f>
        <v>0</v>
      </c>
      <c r="T15" s="23">
        <f ca="1">SUMPRODUCT((Март[№]=3)*Март[16],OFFSET(Март[Объем],-2,0))</f>
        <v>0</v>
      </c>
      <c r="U15" s="23">
        <f ca="1">SUMPRODUCT((Март[№]=3)*Март[17],OFFSET(Март[Объем],-2,0))</f>
        <v>0</v>
      </c>
      <c r="V15" s="23">
        <f ca="1">SUMPRODUCT((Март[№]=3)*Март[18],OFFSET(Март[Объем],-2,0))</f>
        <v>0</v>
      </c>
      <c r="W15" s="23">
        <f ca="1">SUMPRODUCT((Март[№]=3)*Март[19],OFFSET(Март[Объем],-2,0))</f>
        <v>0</v>
      </c>
      <c r="X15" s="23">
        <f ca="1">SUMPRODUCT((Март[№]=3)*Март[20],OFFSET(Март[Объем],-2,0))</f>
        <v>0</v>
      </c>
      <c r="Y15" s="23">
        <f ca="1">SUMPRODUCT((Март[№]=3)*Март[21],OFFSET(Март[Объем],-2,0))</f>
        <v>0</v>
      </c>
      <c r="Z15" s="23">
        <f ca="1">SUMPRODUCT((Март[№]=3)*Март[22],OFFSET(Март[Объем],-2,0))</f>
        <v>0</v>
      </c>
      <c r="AA15" s="23">
        <f ca="1">SUMPRODUCT((Март[№]=3)*Март[23],OFFSET(Март[Объем],-2,0))</f>
        <v>0</v>
      </c>
      <c r="AB15" s="23">
        <f ca="1">SUMPRODUCT((Март[№]=3)*Март[24],OFFSET(Март[Объем],-2,0))</f>
        <v>0</v>
      </c>
      <c r="AC15" s="23">
        <f ca="1">SUMPRODUCT((Март[№]=3)*Март[25],OFFSET(Март[Объем],-2,0))</f>
        <v>0</v>
      </c>
      <c r="AD15" s="23">
        <f ca="1">SUMPRODUCT((Март[№]=3)*Март[26],OFFSET(Март[Объем],-2,0))</f>
        <v>0</v>
      </c>
      <c r="AE15" s="23">
        <f ca="1">SUMPRODUCT((Март[№]=3)*Март[27],OFFSET(Март[Объем],-2,0))</f>
        <v>0</v>
      </c>
      <c r="AF15" s="23">
        <f ca="1">SUMPRODUCT((Март[№]=3)*Март[28],OFFSET(Март[Объем],-2,0))</f>
        <v>0</v>
      </c>
      <c r="AG15" s="23">
        <f ca="1">SUMPRODUCT((Март[№]=3)*Март[29],OFFSET(Март[Объем],-2,0))</f>
        <v>0</v>
      </c>
      <c r="AH15" s="23">
        <f ca="1">SUMPRODUCT((Март[№]=3)*Март[30],OFFSET(Март[Объем],-2,0))</f>
        <v>0</v>
      </c>
      <c r="AI15" s="23">
        <f ca="1">SUMPRODUCT((Март[№]=3)*Март[31],OFFSET(Март[Объем],-2,0))</f>
        <v>0</v>
      </c>
      <c r="AK15" s="9"/>
    </row>
    <row r="16" spans="1:38" x14ac:dyDescent="0.25">
      <c r="B16" s="3">
        <f ca="1">SUMPRODUCT((Настройки!$G$23:$AK$23=4)*E16:AI16)</f>
        <v>0</v>
      </c>
      <c r="D16" s="5"/>
      <c r="E16" s="2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I16" s="23">
        <f ca="1">SUM(AI13:AI15)</f>
        <v>0</v>
      </c>
      <c r="AK16" s="9"/>
    </row>
    <row r="17" spans="1:37" x14ac:dyDescent="0.25">
      <c r="B17" s="3">
        <f ca="1">SUMPRODUCT((Настройки!$G$23:$AK$23=5)*E16:AI16)</f>
        <v>0</v>
      </c>
      <c r="C17" s="5">
        <f ca="1">МартИтоги[[#This Row],[№]]*60</f>
        <v>0</v>
      </c>
      <c r="D17" s="7">
        <f ca="1">SUM(МартИтоги[[#This Row],[1]:[31]])</f>
        <v>0</v>
      </c>
      <c r="E17" s="24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24">
        <f ca="1">AI16/60</f>
        <v>0</v>
      </c>
      <c r="AJ17" s="5">
        <f ca="1">SUM(Март[УСЛУГ])</f>
        <v>0</v>
      </c>
      <c r="AK17" s="15">
        <f ca="1">SUM(Март[МИНУТ])</f>
        <v>0</v>
      </c>
    </row>
    <row r="18" spans="1:37" x14ac:dyDescent="0.25">
      <c r="B18" s="13">
        <f ca="1">SUMPRODUCT((Настройки!$G$23:$AK$23=6)*E16:AI16)</f>
        <v>0</v>
      </c>
      <c r="C18" s="13"/>
      <c r="D18" s="7"/>
      <c r="E18" s="46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46"/>
      <c r="AJ18" s="13"/>
      <c r="AK18" s="45"/>
    </row>
    <row r="20" spans="1:37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9"/>
      <c r="AJ20" s="63" t="s">
        <v>64</v>
      </c>
      <c r="AK20" s="64" t="s">
        <v>64</v>
      </c>
    </row>
    <row r="21" spans="1:37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78"/>
      <c r="AJ21" s="63"/>
      <c r="AK21" s="65"/>
    </row>
    <row r="22" spans="1:37" x14ac:dyDescent="0.25">
      <c r="A22" s="73"/>
      <c r="B22" s="73"/>
      <c r="C22" s="74"/>
      <c r="D22" s="76"/>
      <c r="E22" s="20">
        <f>Настройки!G9</f>
        <v>45352</v>
      </c>
      <c r="F22" s="20">
        <f>Настройки!H9</f>
        <v>45353</v>
      </c>
      <c r="G22" s="20">
        <f>Настройки!I9</f>
        <v>45354</v>
      </c>
      <c r="H22" s="20">
        <f>Настройки!J9</f>
        <v>45355</v>
      </c>
      <c r="I22" s="20">
        <f>Настройки!K9</f>
        <v>45356</v>
      </c>
      <c r="J22" s="20">
        <f>Настройки!L9</f>
        <v>45357</v>
      </c>
      <c r="K22" s="20">
        <f>Настройки!M9</f>
        <v>45358</v>
      </c>
      <c r="L22" s="20">
        <f>Настройки!N9</f>
        <v>45359</v>
      </c>
      <c r="M22" s="20">
        <f>Настройки!O9</f>
        <v>45360</v>
      </c>
      <c r="N22" s="20">
        <f>Настройки!P9</f>
        <v>45361</v>
      </c>
      <c r="O22" s="20">
        <f>Настройки!Q9</f>
        <v>45362</v>
      </c>
      <c r="P22" s="20">
        <f>Настройки!R9</f>
        <v>45363</v>
      </c>
      <c r="Q22" s="20">
        <f>Настройки!S9</f>
        <v>45364</v>
      </c>
      <c r="R22" s="20">
        <f>Настройки!T9</f>
        <v>45365</v>
      </c>
      <c r="S22" s="20">
        <f>Настройки!U9</f>
        <v>45366</v>
      </c>
      <c r="T22" s="20">
        <f>Настройки!V9</f>
        <v>45367</v>
      </c>
      <c r="U22" s="20">
        <f>Настройки!W9</f>
        <v>45368</v>
      </c>
      <c r="V22" s="20">
        <f>Настройки!X9</f>
        <v>45369</v>
      </c>
      <c r="W22" s="20">
        <f>Настройки!Y9</f>
        <v>45370</v>
      </c>
      <c r="X22" s="20">
        <f>Настройки!Z9</f>
        <v>45371</v>
      </c>
      <c r="Y22" s="20">
        <f>Настройки!AA9</f>
        <v>45372</v>
      </c>
      <c r="Z22" s="20">
        <f>Настройки!AB9</f>
        <v>45373</v>
      </c>
      <c r="AA22" s="20">
        <f>Настройки!AC9</f>
        <v>45374</v>
      </c>
      <c r="AB22" s="20">
        <f>Настройки!AD9</f>
        <v>45375</v>
      </c>
      <c r="AC22" s="20">
        <f>Настройки!AE9</f>
        <v>45376</v>
      </c>
      <c r="AD22" s="20">
        <f>Настройки!AF9</f>
        <v>45377</v>
      </c>
      <c r="AE22" s="20">
        <f>Настройки!AG9</f>
        <v>45378</v>
      </c>
      <c r="AF22" s="20">
        <f>Настройки!AH9</f>
        <v>45379</v>
      </c>
      <c r="AG22" s="20">
        <f>Настройки!AI9</f>
        <v>45380</v>
      </c>
      <c r="AH22" s="20">
        <f>Настройки!AJ9</f>
        <v>45381</v>
      </c>
      <c r="AI22" s="20">
        <f>Настройки!AK9</f>
        <v>45382</v>
      </c>
      <c r="AJ22" s="63"/>
      <c r="AK22" s="65"/>
    </row>
    <row r="23" spans="1:37" x14ac:dyDescent="0.25">
      <c r="A23" s="73"/>
      <c r="B23" s="73"/>
      <c r="C23" s="74"/>
      <c r="D23" s="76"/>
      <c r="E23" s="73" t="s">
        <v>54</v>
      </c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9"/>
      <c r="AJ23" s="63"/>
      <c r="AK23" s="65"/>
    </row>
    <row r="24" spans="1:37" x14ac:dyDescent="0.25">
      <c r="A24" s="73"/>
      <c r="B24" s="73"/>
      <c r="C24" s="74"/>
      <c r="D24" s="76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9"/>
      <c r="AJ24" s="63"/>
      <c r="AK24" s="66"/>
    </row>
    <row r="25" spans="1:37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IF(Март[[#This Row],[№]]=1,SUM(Март[[#This Row],[1]:[31]])+SUM(OFFSET(Март[[#This Row],[1]:[31]],1,0))+SUM(OFFSET(Март[[#This Row],[1]:[31]],2,0)),"")</f>
        <v>0</v>
      </c>
      <c r="AK26" s="5">
        <f ca="1">IF(Март[[#This Row],[УСЛУГ]]&lt;&gt;"",Март[[#This Row],[УСЛУГ]]*Март[[#This Row],[Объем]],"")</f>
        <v>0</v>
      </c>
    </row>
    <row r="27" spans="1:37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IF(Март[[#This Row],[№]]=1,SUM(Март[[#This Row],[1]:[31]])+SUM(OFFSET(Март[[#This Row],[1]:[31]],1,0))+SUM(OFFSET(Март[[#This Row],[1]:[31]],2,0)),"")</f>
        <v/>
      </c>
      <c r="AK27" s="5" t="str">
        <f ca="1">IF(Март[[#This Row],[УСЛУГ]]&lt;&gt;"",Март[[#This Row],[УСЛУГ]]*Март[[#This Row],[Объем]],"")</f>
        <v/>
      </c>
    </row>
    <row r="28" spans="1:37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IF(Март[[#This Row],[№]]=1,SUM(Март[[#This Row],[1]:[31]])+SUM(OFFSET(Март[[#This Row],[1]:[31]],1,0))+SUM(OFFSET(Март[[#This Row],[1]:[31]],2,0)),"")</f>
        <v/>
      </c>
      <c r="AK28" s="5" t="str">
        <f ca="1">IF(Март[[#This Row],[УСЛУГ]]&lt;&gt;"",Март[[#This Row],[УСЛУГ]]*Март[[#This Row],[Объем]],"")</f>
        <v/>
      </c>
    </row>
  </sheetData>
  <mergeCells count="20">
    <mergeCell ref="A2:AJ2"/>
    <mergeCell ref="A3:AJ3"/>
    <mergeCell ref="J4:L4"/>
    <mergeCell ref="M4:U4"/>
    <mergeCell ref="M5:Q5"/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</mergeCells>
  <conditionalFormatting sqref="E9:AI9">
    <cfRule type="expression" dxfId="1091" priority="2">
      <formula>WEEKDAY(E9:AI9,2)&gt;5</formula>
    </cfRule>
  </conditionalFormatting>
  <conditionalFormatting sqref="E22:AI22">
    <cfRule type="expression" dxfId="1090" priority="1">
      <formula>WEEKDAY(E22:AI22,2)&gt;5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AI13:AK13 B13:B18 E16:E17 AI16:AK17 AJ14:AK14 AJ15:AK15 E14:AI15" calculatedColumn="1"/>
  </ignoredErrors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  <pageSetUpPr fitToPage="1"/>
  </sheetPr>
  <dimension ref="A2:AF36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126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Настройки!G9</f>
        <v>45352</v>
      </c>
      <c r="C10" s="29">
        <f>Настройки!H9</f>
        <v>45353</v>
      </c>
      <c r="D10" s="29">
        <f>Настройки!I9</f>
        <v>45354</v>
      </c>
      <c r="E10" s="29">
        <f>Настройки!J9</f>
        <v>45355</v>
      </c>
      <c r="F10" s="29">
        <f>Настройки!K9</f>
        <v>45356</v>
      </c>
      <c r="G10" s="29">
        <f>Настройки!L9</f>
        <v>45357</v>
      </c>
      <c r="H10" s="29">
        <f>Настройки!M9</f>
        <v>45358</v>
      </c>
      <c r="I10" s="29">
        <f>Настройки!N9</f>
        <v>45359</v>
      </c>
      <c r="J10" s="29">
        <f>Настройки!O9</f>
        <v>45360</v>
      </c>
      <c r="K10" s="29">
        <f>Настройки!P9</f>
        <v>45361</v>
      </c>
      <c r="L10" s="29">
        <f>Настройки!Q9</f>
        <v>45362</v>
      </c>
      <c r="M10" s="29">
        <f>Настройки!R9</f>
        <v>45363</v>
      </c>
      <c r="N10" s="29">
        <f>Настройки!S9</f>
        <v>45364</v>
      </c>
      <c r="O10" s="29">
        <f>Настройки!T9</f>
        <v>45365</v>
      </c>
      <c r="P10" s="29">
        <f>Настройки!U9</f>
        <v>45366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IF(Настройки!J2&lt;&gt;"",TEXT(MIN(Настройки!G48:AK48,Настройки!J2),"ч:мм")&amp;"-"&amp;TEXT(MAX(Настройки!G48:AK48,Настройки!J2)+TIME(0,MAX(Март!E13:AI13),0),"ч:мм"),"")</f>
        <v>9:00-9:00</v>
      </c>
      <c r="B14" s="30" t="str">
        <f>IF(TEXT(IF(Настройки!G48="",TEXT(Настройки!$J2,"ч:мм"),TEXT(Настройки!G48,"ч:мм"))+TIME(0,Март!E13,0),"ч::мм")=TEXT(IF(Настройки!G48="",TEXT(Настройки!$J2,"ч:мм"),TEXT(Настройки!G48,"ч:мм")),"ч:мм"),"",TEXT(IF(Настройки!G48="",TEXT(Настройки!$J2,"ч:мм"),TEXT(Настройки!G48,"ч:мм")),"ч:мм")&amp;"-"&amp;TEXT(IF(Настройки!G48="",TEXT(Настройки!$J2,"ч:мм"),TEXT(Настройки!G48,"ч:мм"))+TIME(0,Март!E13,0),"ч::мм"))</f>
        <v/>
      </c>
      <c r="C14" s="30" t="str">
        <f>IF(TEXT(IF(Настройки!H48="",TEXT(Настройки!$J2,"ч:мм"),TEXT(Настройки!H48,"ч:мм"))+TIME(0,Март!F13,0),"ч::мм")=TEXT(IF(Настройки!H48="",TEXT(Настройки!$J2,"ч:мм"),TEXT(Настройки!H48,"ч:мм")),"ч:мм"),"",TEXT(IF(Настройки!H48="",TEXT(Настройки!$J2,"ч:мм"),TEXT(Настройки!H48,"ч:мм")),"ч:мм")&amp;"-"&amp;TEXT(IF(Настройки!H48="",TEXT(Настройки!$J2,"ч:мм"),TEXT(Настройки!H48,"ч:мм"))+TIME(0,Март!F13,0),"ч::мм"))</f>
        <v/>
      </c>
      <c r="D14" s="30" t="str">
        <f>IF(TEXT(IF(Настройки!I48="",TEXT(Настройки!$J2,"ч:мм"),TEXT(Настройки!I48,"ч:мм"))+TIME(0,Март!G13,0),"ч::мм")=TEXT(IF(Настройки!I48="",TEXT(Настройки!$J2,"ч:мм"),TEXT(Настройки!I48,"ч:мм")),"ч:мм"),"",TEXT(IF(Настройки!I48="",TEXT(Настройки!$J2,"ч:мм"),TEXT(Настройки!I48,"ч:мм")),"ч:мм")&amp;"-"&amp;TEXT(IF(Настройки!I48="",TEXT(Настройки!$J2,"ч:мм"),TEXT(Настройки!I48,"ч:мм"))+TIME(0,Март!G13,0),"ч::мм"))</f>
        <v/>
      </c>
      <c r="E14" s="30" t="str">
        <f>IF(TEXT(IF(Настройки!J48="",TEXT(Настройки!$J2,"ч:мм"),TEXT(Настройки!J48,"ч:мм"))+TIME(0,Март!H13,0),"ч::мм")=TEXT(IF(Настройки!J48="",TEXT(Настройки!$J2,"ч:мм"),TEXT(Настройки!J48,"ч:мм")),"ч:мм"),"",TEXT(IF(Настройки!J48="",TEXT(Настройки!$J2,"ч:мм"),TEXT(Настройки!J48,"ч:мм")),"ч:мм")&amp;"-"&amp;TEXT(IF(Настройки!J48="",TEXT(Настройки!$J2,"ч:мм"),TEXT(Настройки!J48,"ч:мм"))+TIME(0,Март!H13,0),"ч::мм"))</f>
        <v/>
      </c>
      <c r="F14" s="30" t="str">
        <f>IF(TEXT(IF(Настройки!K48="",TEXT(Настройки!$J2,"ч:мм"),TEXT(Настройки!K48,"ч:мм"))+TIME(0,Март!I13,0),"ч::мм")=TEXT(IF(Настройки!K48="",TEXT(Настройки!$J2,"ч:мм"),TEXT(Настройки!K48,"ч:мм")),"ч:мм"),"",TEXT(IF(Настройки!K48="",TEXT(Настройки!$J2,"ч:мм"),TEXT(Настройки!K48,"ч:мм")),"ч:мм")&amp;"-"&amp;TEXT(IF(Настройки!K48="",TEXT(Настройки!$J2,"ч:мм"),TEXT(Настройки!K48,"ч:мм"))+TIME(0,Март!I13,0),"ч::мм"))</f>
        <v/>
      </c>
      <c r="G14" s="30" t="str">
        <f>IF(TEXT(IF(Настройки!L48="",TEXT(Настройки!$J2,"ч:мм"),TEXT(Настройки!L48,"ч:мм"))+TIME(0,Март!J13,0),"ч::мм")=TEXT(IF(Настройки!L48="",TEXT(Настройки!$J2,"ч:мм"),TEXT(Настройки!L48,"ч:мм")),"ч:мм"),"",TEXT(IF(Настройки!L48="",TEXT(Настройки!$J2,"ч:мм"),TEXT(Настройки!L48,"ч:мм")),"ч:мм")&amp;"-"&amp;TEXT(IF(Настройки!L48="",TEXT(Настройки!$J2,"ч:мм"),TEXT(Настройки!L48,"ч:мм"))+TIME(0,Март!J13,0),"ч::мм"))</f>
        <v/>
      </c>
      <c r="H14" s="30" t="str">
        <f>IF(TEXT(IF(Настройки!M48="",TEXT(Настройки!$J2,"ч:мм"),TEXT(Настройки!M48,"ч:мм"))+TIME(0,Март!K13,0),"ч::мм")=TEXT(IF(Настройки!M48="",TEXT(Настройки!$J2,"ч:мм"),TEXT(Настройки!M48,"ч:мм")),"ч:мм"),"",TEXT(IF(Настройки!M48="",TEXT(Настройки!$J2,"ч:мм"),TEXT(Настройки!M48,"ч:мм")),"ч:мм")&amp;"-"&amp;TEXT(IF(Настройки!M48="",TEXT(Настройки!$J2,"ч:мм"),TEXT(Настройки!M48,"ч:мм"))+TIME(0,Март!K13,0),"ч::мм"))</f>
        <v/>
      </c>
      <c r="I14" s="30" t="str">
        <f>IF(TEXT(IF(Настройки!N48="",TEXT(Настройки!$J2,"ч:мм"),TEXT(Настройки!N48,"ч:мм"))+TIME(0,Март!L13,0),"ч::мм")=TEXT(IF(Настройки!N48="",TEXT(Настройки!$J2,"ч:мм"),TEXT(Настройки!N48,"ч:мм")),"ч:мм"),"",TEXT(IF(Настройки!N48="",TEXT(Настройки!$J2,"ч:мм"),TEXT(Настройки!N48,"ч:мм")),"ч:мм")&amp;"-"&amp;TEXT(IF(Настройки!N48="",TEXT(Настройки!$J2,"ч:мм"),TEXT(Настройки!N48,"ч:мм"))+TIME(0,Март!L13,0),"ч::мм"))</f>
        <v/>
      </c>
      <c r="J14" s="30" t="str">
        <f>IF(TEXT(IF(Настройки!O48="",TEXT(Настройки!$J2,"ч:мм"),TEXT(Настройки!O48,"ч:мм"))+TIME(0,Март!M13,0),"ч::мм")=TEXT(IF(Настройки!O48="",TEXT(Настройки!$J2,"ч:мм"),TEXT(Настройки!O48,"ч:мм")),"ч:мм"),"",TEXT(IF(Настройки!O48="",TEXT(Настройки!$J2,"ч:мм"),TEXT(Настройки!O48,"ч:мм")),"ч:мм")&amp;"-"&amp;TEXT(IF(Настройки!O48="",TEXT(Настройки!$J2,"ч:мм"),TEXT(Настройки!O48,"ч:мм"))+TIME(0,Март!M13,0),"ч::мм"))</f>
        <v/>
      </c>
      <c r="K14" s="30" t="str">
        <f>IF(TEXT(IF(Настройки!P48="",TEXT(Настройки!$J2,"ч:мм"),TEXT(Настройки!P48,"ч:мм"))+TIME(0,Март!N13,0),"ч::мм")=TEXT(IF(Настройки!P48="",TEXT(Настройки!$J2,"ч:мм"),TEXT(Настройки!P48,"ч:мм")),"ч:мм"),"",TEXT(IF(Настройки!P48="",TEXT(Настройки!$J2,"ч:мм"),TEXT(Настройки!P48,"ч:мм")),"ч:мм")&amp;"-"&amp;TEXT(IF(Настройки!P48="",TEXT(Настройки!$J2,"ч:мм"),TEXT(Настройки!P48,"ч:мм"))+TIME(0,Март!N13,0),"ч::мм"))</f>
        <v/>
      </c>
      <c r="L14" s="30" t="str">
        <f>IF(TEXT(IF(Настройки!Q48="",TEXT(Настройки!$J2,"ч:мм"),TEXT(Настройки!Q48,"ч:мм"))+TIME(0,Март!O13,0),"ч::мм")=TEXT(IF(Настройки!Q48="",TEXT(Настройки!$J2,"ч:мм"),TEXT(Настройки!Q48,"ч:мм")),"ч:мм"),"",TEXT(IF(Настройки!Q48="",TEXT(Настройки!$J2,"ч:мм"),TEXT(Настройки!Q48,"ч:мм")),"ч:мм")&amp;"-"&amp;TEXT(IF(Настройки!Q48="",TEXT(Настройки!$J2,"ч:мм"),TEXT(Настройки!Q48,"ч:мм"))+TIME(0,Март!O13,0),"ч::мм"))</f>
        <v/>
      </c>
      <c r="M14" s="30" t="str">
        <f>IF(TEXT(IF(Настройки!R48="",TEXT(Настройки!$J2,"ч:мм"),TEXT(Настройки!R48,"ч:мм"))+TIME(0,Март!P13,0),"ч::мм")=TEXT(IF(Настройки!R48="",TEXT(Настройки!$J2,"ч:мм"),TEXT(Настройки!R48,"ч:мм")),"ч:мм"),"",TEXT(IF(Настройки!R48="",TEXT(Настройки!$J2,"ч:мм"),TEXT(Настройки!R48,"ч:мм")),"ч:мм")&amp;"-"&amp;TEXT(IF(Настройки!R48="",TEXT(Настройки!$J2,"ч:мм"),TEXT(Настройки!R48,"ч:мм"))+TIME(0,Март!P13,0),"ч::мм"))</f>
        <v/>
      </c>
      <c r="N14" s="30" t="str">
        <f>IF(TEXT(IF(Настройки!S48="",TEXT(Настройки!$J2,"ч:мм"),TEXT(Настройки!S48,"ч:мм"))+TIME(0,Март!Q13,0),"ч::мм")=TEXT(IF(Настройки!S48="",TEXT(Настройки!$J2,"ч:мм"),TEXT(Настройки!S48,"ч:мм")),"ч:мм"),"",TEXT(IF(Настройки!S48="",TEXT(Настройки!$J2,"ч:мм"),TEXT(Настройки!S48,"ч:мм")),"ч:мм")&amp;"-"&amp;TEXT(IF(Настройки!S48="",TEXT(Настройки!$J2,"ч:мм"),TEXT(Настройки!S48,"ч:мм"))+TIME(0,Март!Q13,0),"ч::мм"))</f>
        <v/>
      </c>
      <c r="O14" s="30" t="str">
        <f>IF(TEXT(IF(Настройки!T48="",TEXT(Настройки!$J2,"ч:мм"),TEXT(Настройки!T48,"ч:мм"))+TIME(0,Март!R13,0),"ч::мм")=TEXT(IF(Настройки!T48="",TEXT(Настройки!$J2,"ч:мм"),TEXT(Настройки!T48,"ч:мм")),"ч:мм"),"",TEXT(IF(Настройки!T48="",TEXT(Настройки!$J2,"ч:мм"),TEXT(Настройки!T48,"ч:мм")),"ч:мм")&amp;"-"&amp;TEXT(IF(Настройки!T48="",TEXT(Настройки!$J2,"ч:мм"),TEXT(Настройки!T48,"ч:мм"))+TIME(0,Март!R13,0),"ч::мм"))</f>
        <v/>
      </c>
      <c r="P14" s="30" t="str">
        <f>IF(TEXT(IF(Настройки!U48="",TEXT(Настройки!$J2,"ч:мм"),TEXT(Настройки!U48,"ч:мм"))+TIME(0,Март!S13,0),"ч::мм")=TEXT(IF(Настройки!U48="",TEXT(Настройки!$J2,"ч:мм"),TEXT(Настройки!U48,"ч:мм")),"ч:мм"),"",TEXT(IF(Настройки!U48="",TEXT(Настройки!$J2,"ч:мм"),TEXT(Настройки!U48,"ч:мм")),"ч:мм")&amp;"-"&amp;TEXT(IF(Настройки!U48="",TEXT(Настройки!$J2,"ч:мм"),TEXT(Настройки!U48,"ч:мм"))+TIME(0,Март!S13,0),"ч::мм"))</f>
        <v/>
      </c>
      <c r="R14" s="30"/>
    </row>
    <row r="15" spans="1:32" x14ac:dyDescent="0.25">
      <c r="A15" s="32" t="str">
        <f ca="1">IF(Настройки!J3&lt;&gt;"",TEXT(MIN(Настройки!G49:AK49,Настройки!J3),"ч:мм")&amp;"-"&amp;TEXT(MAX(Настройки!G49:AK49,Настройки!J3)+TIME(0,MAX(Март!E14:AI14),0),"ч:мм"),"")</f>
        <v>13:00-13:00</v>
      </c>
      <c r="B15" s="30" t="str">
        <f ca="1">IF(TEXT(IF(Настройки!G49="",TEXT(Настройки!$J3,"ч:мм"),TEXT(Настройки!G49,"ч:мм"))+TIME(0,Март!E14,0),"ч::мм")=TEXT(IF(Настройки!G49="",TEXT(Настройки!$J3,"ч:мм"),TEXT(Настройки!G49,"ч:мм")),"ч:мм"),"",TEXT(IF(Настройки!G49="",TEXT(Настройки!$J3,"ч:мм"),TEXT(Настройки!G49,"ч:мм")),"ч:мм")&amp;"-"&amp;TEXT(IF(Настройки!G49="",TEXT(Настройки!$J3,"ч:мм"),TEXT(Настройки!G49,"ч:мм"))+TIME(0,Март!E14,0),"ч::мм"))</f>
        <v/>
      </c>
      <c r="C15" s="30" t="str">
        <f ca="1">IF(TEXT(IF(Настройки!H49="",TEXT(Настройки!$J3,"ч:мм"),TEXT(Настройки!H49,"ч:мм"))+TIME(0,Март!F14,0),"ч::мм")=TEXT(IF(Настройки!H49="",TEXT(Настройки!$J3,"ч:мм"),TEXT(Настройки!H49,"ч:мм")),"ч:мм"),"",TEXT(IF(Настройки!H49="",TEXT(Настройки!$J3,"ч:мм"),TEXT(Настройки!H49,"ч:мм")),"ч:мм")&amp;"-"&amp;TEXT(IF(Настройки!H49="",TEXT(Настройки!$J3,"ч:мм"),TEXT(Настройки!H49,"ч:мм"))+TIME(0,Март!F14,0),"ч::мм"))</f>
        <v/>
      </c>
      <c r="D15" s="30" t="str">
        <f ca="1">IF(TEXT(IF(Настройки!I49="",TEXT(Настройки!$J3,"ч:мм"),TEXT(Настройки!I49,"ч:мм"))+TIME(0,Март!G14,0),"ч::мм")=TEXT(IF(Настройки!I49="",TEXT(Настройки!$J3,"ч:мм"),TEXT(Настройки!I49,"ч:мм")),"ч:мм"),"",TEXT(IF(Настройки!I49="",TEXT(Настройки!$J3,"ч:мм"),TEXT(Настройки!I49,"ч:мм")),"ч:мм")&amp;"-"&amp;TEXT(IF(Настройки!I49="",TEXT(Настройки!$J3,"ч:мм"),TEXT(Настройки!I49,"ч:мм"))+TIME(0,Март!G14,0),"ч::мм"))</f>
        <v/>
      </c>
      <c r="E15" s="30" t="str">
        <f ca="1">IF(TEXT(IF(Настройки!J49="",TEXT(Настройки!$J3,"ч:мм"),TEXT(Настройки!J49,"ч:мм"))+TIME(0,Март!H14,0),"ч::мм")=TEXT(IF(Настройки!J49="",TEXT(Настройки!$J3,"ч:мм"),TEXT(Настройки!J49,"ч:мм")),"ч:мм"),"",TEXT(IF(Настройки!J49="",TEXT(Настройки!$J3,"ч:мм"),TEXT(Настройки!J49,"ч:мм")),"ч:мм")&amp;"-"&amp;TEXT(IF(Настройки!J49="",TEXT(Настройки!$J3,"ч:мм"),TEXT(Настройки!J49,"ч:мм"))+TIME(0,Март!H14,0),"ч::мм"))</f>
        <v/>
      </c>
      <c r="F15" s="30" t="str">
        <f ca="1">IF(TEXT(IF(Настройки!K49="",TEXT(Настройки!$J3,"ч:мм"),TEXT(Настройки!K49,"ч:мм"))+TIME(0,Март!I14,0),"ч::мм")=TEXT(IF(Настройки!K49="",TEXT(Настройки!$J3,"ч:мм"),TEXT(Настройки!K49,"ч:мм")),"ч:мм"),"",TEXT(IF(Настройки!K49="",TEXT(Настройки!$J3,"ч:мм"),TEXT(Настройки!K49,"ч:мм")),"ч:мм")&amp;"-"&amp;TEXT(IF(Настройки!K49="",TEXT(Настройки!$J3,"ч:мм"),TEXT(Настройки!K49,"ч:мм"))+TIME(0,Март!I14,0),"ч::мм"))</f>
        <v/>
      </c>
      <c r="G15" s="30" t="str">
        <f ca="1">IF(TEXT(IF(Настройки!L49="",TEXT(Настройки!$J3,"ч:мм"),TEXT(Настройки!L49,"ч:мм"))+TIME(0,Март!J14,0),"ч::мм")=TEXT(IF(Настройки!L49="",TEXT(Настройки!$J3,"ч:мм"),TEXT(Настройки!L49,"ч:мм")),"ч:мм"),"",TEXT(IF(Настройки!L49="",TEXT(Настройки!$J3,"ч:мм"),TEXT(Настройки!L49,"ч:мм")),"ч:мм")&amp;"-"&amp;TEXT(IF(Настройки!L49="",TEXT(Настройки!$J3,"ч:мм"),TEXT(Настройки!L49,"ч:мм"))+TIME(0,Март!J14,0),"ч::мм"))</f>
        <v/>
      </c>
      <c r="H15" s="30" t="str">
        <f ca="1">IF(TEXT(IF(Настройки!M49="",TEXT(Настройки!$J3,"ч:мм"),TEXT(Настройки!M49,"ч:мм"))+TIME(0,Март!K14,0),"ч::мм")=TEXT(IF(Настройки!M49="",TEXT(Настройки!$J3,"ч:мм"),TEXT(Настройки!M49,"ч:мм")),"ч:мм"),"",TEXT(IF(Настройки!M49="",TEXT(Настройки!$J3,"ч:мм"),TEXT(Настройки!M49,"ч:мм")),"ч:мм")&amp;"-"&amp;TEXT(IF(Настройки!M49="",TEXT(Настройки!$J3,"ч:мм"),TEXT(Настройки!M49,"ч:мм"))+TIME(0,Март!K14,0),"ч::мм"))</f>
        <v/>
      </c>
      <c r="I15" s="30" t="str">
        <f ca="1">IF(TEXT(IF(Настройки!N49="",TEXT(Настройки!$J3,"ч:мм"),TEXT(Настройки!N49,"ч:мм"))+TIME(0,Март!L14,0),"ч::мм")=TEXT(IF(Настройки!N49="",TEXT(Настройки!$J3,"ч:мм"),TEXT(Настройки!N49,"ч:мм")),"ч:мм"),"",TEXT(IF(Настройки!N49="",TEXT(Настройки!$J3,"ч:мм"),TEXT(Настройки!N49,"ч:мм")),"ч:мм")&amp;"-"&amp;TEXT(IF(Настройки!N49="",TEXT(Настройки!$J3,"ч:мм"),TEXT(Настройки!N49,"ч:мм"))+TIME(0,Март!L14,0),"ч::мм"))</f>
        <v/>
      </c>
      <c r="J15" s="30" t="str">
        <f ca="1">IF(TEXT(IF(Настройки!O49="",TEXT(Настройки!$J3,"ч:мм"),TEXT(Настройки!O49,"ч:мм"))+TIME(0,Март!M14,0),"ч::мм")=TEXT(IF(Настройки!O49="",TEXT(Настройки!$J3,"ч:мм"),TEXT(Настройки!O49,"ч:мм")),"ч:мм"),"",TEXT(IF(Настройки!O49="",TEXT(Настройки!$J3,"ч:мм"),TEXT(Настройки!O49,"ч:мм")),"ч:мм")&amp;"-"&amp;TEXT(IF(Настройки!O49="",TEXT(Настройки!$J3,"ч:мм"),TEXT(Настройки!O49,"ч:мм"))+TIME(0,Март!M14,0),"ч::мм"))</f>
        <v/>
      </c>
      <c r="K15" s="30" t="str">
        <f ca="1">IF(TEXT(IF(Настройки!P49="",TEXT(Настройки!$J3,"ч:мм"),TEXT(Настройки!P49,"ч:мм"))+TIME(0,Март!N14,0),"ч::мм")=TEXT(IF(Настройки!P49="",TEXT(Настройки!$J3,"ч:мм"),TEXT(Настройки!P49,"ч:мм")),"ч:мм"),"",TEXT(IF(Настройки!P49="",TEXT(Настройки!$J3,"ч:мм"),TEXT(Настройки!P49,"ч:мм")),"ч:мм")&amp;"-"&amp;TEXT(IF(Настройки!P49="",TEXT(Настройки!$J3,"ч:мм"),TEXT(Настройки!P49,"ч:мм"))+TIME(0,Март!N14,0),"ч::мм"))</f>
        <v/>
      </c>
      <c r="L15" s="30" t="str">
        <f ca="1">IF(TEXT(IF(Настройки!Q49="",TEXT(Настройки!$J3,"ч:мм"),TEXT(Настройки!Q49,"ч:мм"))+TIME(0,Март!O14,0),"ч::мм")=TEXT(IF(Настройки!Q49="",TEXT(Настройки!$J3,"ч:мм"),TEXT(Настройки!Q49,"ч:мм")),"ч:мм"),"",TEXT(IF(Настройки!Q49="",TEXT(Настройки!$J3,"ч:мм"),TEXT(Настройки!Q49,"ч:мм")),"ч:мм")&amp;"-"&amp;TEXT(IF(Настройки!Q49="",TEXT(Настройки!$J3,"ч:мм"),TEXT(Настройки!Q49,"ч:мм"))+TIME(0,Март!O14,0),"ч::мм"))</f>
        <v/>
      </c>
      <c r="M15" s="30" t="str">
        <f ca="1">IF(TEXT(IF(Настройки!R49="",TEXT(Настройки!$J3,"ч:мм"),TEXT(Настройки!R49,"ч:мм"))+TIME(0,Март!P14,0),"ч::мм")=TEXT(IF(Настройки!R49="",TEXT(Настройки!$J3,"ч:мм"),TEXT(Настройки!R49,"ч:мм")),"ч:мм"),"",TEXT(IF(Настройки!R49="",TEXT(Настройки!$J3,"ч:мм"),TEXT(Настройки!R49,"ч:мм")),"ч:мм")&amp;"-"&amp;TEXT(IF(Настройки!R49="",TEXT(Настройки!$J3,"ч:мм"),TEXT(Настройки!R49,"ч:мм"))+TIME(0,Март!P14,0),"ч::мм"))</f>
        <v/>
      </c>
      <c r="N15" s="30" t="str">
        <f ca="1">IF(TEXT(IF(Настройки!S49="",TEXT(Настройки!$J3,"ч:мм"),TEXT(Настройки!S49,"ч:мм"))+TIME(0,Март!Q14,0),"ч::мм")=TEXT(IF(Настройки!S49="",TEXT(Настройки!$J3,"ч:мм"),TEXT(Настройки!S49,"ч:мм")),"ч:мм"),"",TEXT(IF(Настройки!S49="",TEXT(Настройки!$J3,"ч:мм"),TEXT(Настройки!S49,"ч:мм")),"ч:мм")&amp;"-"&amp;TEXT(IF(Настройки!S49="",TEXT(Настройки!$J3,"ч:мм"),TEXT(Настройки!S49,"ч:мм"))+TIME(0,Март!Q14,0),"ч::мм"))</f>
        <v/>
      </c>
      <c r="O15" s="30" t="str">
        <f ca="1">IF(TEXT(IF(Настройки!T49="",TEXT(Настройки!$J3,"ч:мм"),TEXT(Настройки!T49,"ч:мм"))+TIME(0,Март!R14,0),"ч::мм")=TEXT(IF(Настройки!T49="",TEXT(Настройки!$J3,"ч:мм"),TEXT(Настройки!T49,"ч:мм")),"ч:мм"),"",TEXT(IF(Настройки!T49="",TEXT(Настройки!$J3,"ч:мм"),TEXT(Настройки!T49,"ч:мм")),"ч:мм")&amp;"-"&amp;TEXT(IF(Настройки!T49="",TEXT(Настройки!$J3,"ч:мм"),TEXT(Настройки!T49,"ч:мм"))+TIME(0,Март!R14,0),"ч::мм"))</f>
        <v/>
      </c>
      <c r="P15" s="30" t="str">
        <f ca="1">IF(TEXT(IF(Настройки!U49="",TEXT(Настройки!$J3,"ч:мм"),TEXT(Настройки!U49,"ч:мм"))+TIME(0,Март!S14,0),"ч::мм")=TEXT(IF(Настройки!U49="",TEXT(Настройки!$J3,"ч:мм"),TEXT(Настройки!U49,"ч:мм")),"ч:мм"),"",TEXT(IF(Настройки!U49="",TEXT(Настройки!$J3,"ч:мм"),TEXT(Настройки!U49,"ч:мм")),"ч:мм")&amp;"-"&amp;TEXT(IF(Настройки!U49="",TEXT(Настройки!$J3,"ч:мм"),TEXT(Настройки!U49,"ч:мм"))+TIME(0,Март!S14,0),"ч::мм"))</f>
        <v/>
      </c>
      <c r="S15" s="30"/>
    </row>
    <row r="16" spans="1:32" x14ac:dyDescent="0.25">
      <c r="A16" s="32" t="str">
        <f ca="1">IF(Настройки!J4&lt;&gt;"",TEXT(MIN(Настройки!G50:AK50,Настройки!J4),"ч:мм")&amp;"-"&amp;TEXT(MAX(Настройки!G50:AK50,Настройки!J4)+TIME(0,MAX(Март!E15:AI15),0),"ч:мм"),"")</f>
        <v>16:00-16:00</v>
      </c>
      <c r="B16" s="30" t="str">
        <f ca="1">IF(TEXT(IF(Настройки!G50="",TEXT(Настройки!$J4,"ч:мм"),TEXT(Настройки!G50,"ч:мм"))+TIME(0,Март!E15,0),"ч::мм")=TEXT(IF(Настройки!G50="",TEXT(Настройки!$J4,"ч:мм"),TEXT(Настройки!G50,"ч:мм")),"ч:мм"),"",TEXT(IF(Настройки!G50="",TEXT(Настройки!$J4,"ч:мм"),TEXT(Настройки!G50,"ч:мм")),"ч:мм")&amp;"-"&amp;TEXT(IF(Настройки!G50="",TEXT(Настройки!$J4,"ч:мм"),TEXT(Настройки!G50,"ч:мм"))+TIME(0,Март!E15,0),"ч::мм"))</f>
        <v/>
      </c>
      <c r="C16" s="30" t="str">
        <f ca="1">IF(TEXT(IF(Настройки!H50="",TEXT(Настройки!$J4,"ч:мм"),TEXT(Настройки!H50,"ч:мм"))+TIME(0,Март!F15,0),"ч::мм")=TEXT(IF(Настройки!H50="",TEXT(Настройки!$J4,"ч:мм"),TEXT(Настройки!H50,"ч:мм")),"ч:мм"),"",TEXT(IF(Настройки!H50="",TEXT(Настройки!$J4,"ч:мм"),TEXT(Настройки!H50,"ч:мм")),"ч:мм")&amp;"-"&amp;TEXT(IF(Настройки!H50="",TEXT(Настройки!$J4,"ч:мм"),TEXT(Настройки!H50,"ч:мм"))+TIME(0,Март!F15,0),"ч::мм"))</f>
        <v/>
      </c>
      <c r="D16" s="30" t="str">
        <f ca="1">IF(TEXT(IF(Настройки!I50="",TEXT(Настройки!$J4,"ч:мм"),TEXT(Настройки!I50,"ч:мм"))+TIME(0,Март!G15,0),"ч::мм")=TEXT(IF(Настройки!I50="",TEXT(Настройки!$J4,"ч:мм"),TEXT(Настройки!I50,"ч:мм")),"ч:мм"),"",TEXT(IF(Настройки!I50="",TEXT(Настройки!$J4,"ч:мм"),TEXT(Настройки!I50,"ч:мм")),"ч:мм")&amp;"-"&amp;TEXT(IF(Настройки!I50="",TEXT(Настройки!$J4,"ч:мм"),TEXT(Настройки!I50,"ч:мм"))+TIME(0,Март!G15,0),"ч::мм"))</f>
        <v/>
      </c>
      <c r="E16" s="30" t="str">
        <f ca="1">IF(TEXT(IF(Настройки!J50="",TEXT(Настройки!$J4,"ч:мм"),TEXT(Настройки!J50,"ч:мм"))+TIME(0,Март!H15,0),"ч::мм")=TEXT(IF(Настройки!J50="",TEXT(Настройки!$J4,"ч:мм"),TEXT(Настройки!J50,"ч:мм")),"ч:мм"),"",TEXT(IF(Настройки!J50="",TEXT(Настройки!$J4,"ч:мм"),TEXT(Настройки!J50,"ч:мм")),"ч:мм")&amp;"-"&amp;TEXT(IF(Настройки!J50="",TEXT(Настройки!$J4,"ч:мм"),TEXT(Настройки!J50,"ч:мм"))+TIME(0,Март!H15,0),"ч::мм"))</f>
        <v/>
      </c>
      <c r="F16" s="30" t="str">
        <f ca="1">IF(TEXT(IF(Настройки!K50="",TEXT(Настройки!$J4,"ч:мм"),TEXT(Настройки!K50,"ч:мм"))+TIME(0,Март!I15,0),"ч::мм")=TEXT(IF(Настройки!K50="",TEXT(Настройки!$J4,"ч:мм"),TEXT(Настройки!K50,"ч:мм")),"ч:мм"),"",TEXT(IF(Настройки!K50="",TEXT(Настройки!$J4,"ч:мм"),TEXT(Настройки!K50,"ч:мм")),"ч:мм")&amp;"-"&amp;TEXT(IF(Настройки!K50="",TEXT(Настройки!$J4,"ч:мм"),TEXT(Настройки!K50,"ч:мм"))+TIME(0,Март!I15,0),"ч::мм"))</f>
        <v/>
      </c>
      <c r="G16" s="30" t="str">
        <f ca="1">IF(TEXT(IF(Настройки!L50="",TEXT(Настройки!$J4,"ч:мм"),TEXT(Настройки!L50,"ч:мм"))+TIME(0,Март!J15,0),"ч::мм")=TEXT(IF(Настройки!L50="",TEXT(Настройки!$J4,"ч:мм"),TEXT(Настройки!L50,"ч:мм")),"ч:мм"),"",TEXT(IF(Настройки!L50="",TEXT(Настройки!$J4,"ч:мм"),TEXT(Настройки!L50,"ч:мм")),"ч:мм")&amp;"-"&amp;TEXT(IF(Настройки!L50="",TEXT(Настройки!$J4,"ч:мм"),TEXT(Настройки!L50,"ч:мм"))+TIME(0,Март!J15,0),"ч::мм"))</f>
        <v/>
      </c>
      <c r="H16" s="30" t="str">
        <f ca="1">IF(TEXT(IF(Настройки!M50="",TEXT(Настройки!$J4,"ч:мм"),TEXT(Настройки!M50,"ч:мм"))+TIME(0,Март!K15,0),"ч::мм")=TEXT(IF(Настройки!M50="",TEXT(Настройки!$J4,"ч:мм"),TEXT(Настройки!M50,"ч:мм")),"ч:мм"),"",TEXT(IF(Настройки!M50="",TEXT(Настройки!$J4,"ч:мм"),TEXT(Настройки!M50,"ч:мм")),"ч:мм")&amp;"-"&amp;TEXT(IF(Настройки!M50="",TEXT(Настройки!$J4,"ч:мм"),TEXT(Настройки!M50,"ч:мм"))+TIME(0,Март!K15,0),"ч::мм"))</f>
        <v/>
      </c>
      <c r="I16" s="30" t="str">
        <f ca="1">IF(TEXT(IF(Настройки!N50="",TEXT(Настройки!$J4,"ч:мм"),TEXT(Настройки!N50,"ч:мм"))+TIME(0,Март!L15,0),"ч::мм")=TEXT(IF(Настройки!N50="",TEXT(Настройки!$J4,"ч:мм"),TEXT(Настройки!N50,"ч:мм")),"ч:мм"),"",TEXT(IF(Настройки!N50="",TEXT(Настройки!$J4,"ч:мм"),TEXT(Настройки!N50,"ч:мм")),"ч:мм")&amp;"-"&amp;TEXT(IF(Настройки!N50="",TEXT(Настройки!$J4,"ч:мм"),TEXT(Настройки!N50,"ч:мм"))+TIME(0,Март!L15,0),"ч::мм"))</f>
        <v/>
      </c>
      <c r="J16" s="30" t="str">
        <f ca="1">IF(TEXT(IF(Настройки!O50="",TEXT(Настройки!$J4,"ч:мм"),TEXT(Настройки!O50,"ч:мм"))+TIME(0,Март!M15,0),"ч::мм")=TEXT(IF(Настройки!O50="",TEXT(Настройки!$J4,"ч:мм"),TEXT(Настройки!O50,"ч:мм")),"ч:мм"),"",TEXT(IF(Настройки!O50="",TEXT(Настройки!$J4,"ч:мм"),TEXT(Настройки!O50,"ч:мм")),"ч:мм")&amp;"-"&amp;TEXT(IF(Настройки!O50="",TEXT(Настройки!$J4,"ч:мм"),TEXT(Настройки!O50,"ч:мм"))+TIME(0,Март!M15,0),"ч::мм"))</f>
        <v/>
      </c>
      <c r="K16" s="30" t="str">
        <f ca="1">IF(TEXT(IF(Настройки!P50="",TEXT(Настройки!$J4,"ч:мм"),TEXT(Настройки!P50,"ч:мм"))+TIME(0,Март!N15,0),"ч::мм")=TEXT(IF(Настройки!P50="",TEXT(Настройки!$J4,"ч:мм"),TEXT(Настройки!P50,"ч:мм")),"ч:мм"),"",TEXT(IF(Настройки!P50="",TEXT(Настройки!$J4,"ч:мм"),TEXT(Настройки!P50,"ч:мм")),"ч:мм")&amp;"-"&amp;TEXT(IF(Настройки!P50="",TEXT(Настройки!$J4,"ч:мм"),TEXT(Настройки!P50,"ч:мм"))+TIME(0,Март!N15,0),"ч::мм"))</f>
        <v/>
      </c>
      <c r="L16" s="30" t="str">
        <f ca="1">IF(TEXT(IF(Настройки!Q50="",TEXT(Настройки!$J4,"ч:мм"),TEXT(Настройки!Q50,"ч:мм"))+TIME(0,Март!O15,0),"ч::мм")=TEXT(IF(Настройки!Q50="",TEXT(Настройки!$J4,"ч:мм"),TEXT(Настройки!Q50,"ч:мм")),"ч:мм"),"",TEXT(IF(Настройки!Q50="",TEXT(Настройки!$J4,"ч:мм"),TEXT(Настройки!Q50,"ч:мм")),"ч:мм")&amp;"-"&amp;TEXT(IF(Настройки!Q50="",TEXT(Настройки!$J4,"ч:мм"),TEXT(Настройки!Q50,"ч:мм"))+TIME(0,Март!O15,0),"ч::мм"))</f>
        <v/>
      </c>
      <c r="M16" s="30" t="str">
        <f ca="1">IF(TEXT(IF(Настройки!R50="",TEXT(Настройки!$J4,"ч:мм"),TEXT(Настройки!R50,"ч:мм"))+TIME(0,Март!P15,0),"ч::мм")=TEXT(IF(Настройки!R50="",TEXT(Настройки!$J4,"ч:мм"),TEXT(Настройки!R50,"ч:мм")),"ч:мм"),"",TEXT(IF(Настройки!R50="",TEXT(Настройки!$J4,"ч:мм"),TEXT(Настройки!R50,"ч:мм")),"ч:мм")&amp;"-"&amp;TEXT(IF(Настройки!R50="",TEXT(Настройки!$J4,"ч:мм"),TEXT(Настройки!R50,"ч:мм"))+TIME(0,Март!P15,0),"ч::мм"))</f>
        <v/>
      </c>
      <c r="N16" s="30" t="str">
        <f ca="1">IF(TEXT(IF(Настройки!S50="",TEXT(Настройки!$J4,"ч:мм"),TEXT(Настройки!S50,"ч:мм"))+TIME(0,Март!Q15,0),"ч::мм")=TEXT(IF(Настройки!S50="",TEXT(Настройки!$J4,"ч:мм"),TEXT(Настройки!S50,"ч:мм")),"ч:мм"),"",TEXT(IF(Настройки!S50="",TEXT(Настройки!$J4,"ч:мм"),TEXT(Настройки!S50,"ч:мм")),"ч:мм")&amp;"-"&amp;TEXT(IF(Настройки!S50="",TEXT(Настройки!$J4,"ч:мм"),TEXT(Настройки!S50,"ч:мм"))+TIME(0,Март!Q15,0),"ч::мм"))</f>
        <v/>
      </c>
      <c r="O16" s="30" t="str">
        <f ca="1">IF(TEXT(IF(Настройки!T50="",TEXT(Настройки!$J4,"ч:мм"),TEXT(Настройки!T50,"ч:мм"))+TIME(0,Март!R15,0),"ч::мм")=TEXT(IF(Настройки!T50="",TEXT(Настройки!$J4,"ч:мм"),TEXT(Настройки!T50,"ч:мм")),"ч:мм"),"",TEXT(IF(Настройки!T50="",TEXT(Настройки!$J4,"ч:мм"),TEXT(Настройки!T50,"ч:мм")),"ч:мм")&amp;"-"&amp;TEXT(IF(Настройки!T50="",TEXT(Настройки!$J4,"ч:мм"),TEXT(Настройки!T50,"ч:мм"))+TIME(0,Март!R15,0),"ч::мм"))</f>
        <v/>
      </c>
      <c r="P16" s="30" t="str">
        <f ca="1">IF(TEXT(IF(Настройки!U50="",TEXT(Настройки!$J4,"ч:мм"),TEXT(Настройки!U50,"ч:мм"))+TIME(0,Март!S15,0),"ч::мм")=TEXT(IF(Настройки!U50="",TEXT(Настройки!$J4,"ч:мм"),TEXT(Настройки!U50,"ч:мм")),"ч:мм"),"",TEXT(IF(Настройки!U50="",TEXT(Настройки!$J4,"ч:мм"),TEXT(Настройки!U50,"ч:мм")),"ч:мм")&amp;"-"&amp;TEXT(IF(Настройки!U50="",TEXT(Настройки!$J4,"ч:мм"),TEXT(Настройки!U50,"ч:мм"))+TIME(0,Март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Настройки!V9</f>
        <v>45367</v>
      </c>
      <c r="C20" s="29">
        <f>Настройки!W9</f>
        <v>45368</v>
      </c>
      <c r="D20" s="29">
        <f>Настройки!X9</f>
        <v>45369</v>
      </c>
      <c r="E20" s="29">
        <f>Настройки!Y9</f>
        <v>45370</v>
      </c>
      <c r="F20" s="29">
        <f>Настройки!Z9</f>
        <v>45371</v>
      </c>
      <c r="G20" s="29">
        <f>Настройки!AA9</f>
        <v>45372</v>
      </c>
      <c r="H20" s="29">
        <f>Настройки!AB9</f>
        <v>45373</v>
      </c>
      <c r="I20" s="29">
        <f>Настройки!AC9</f>
        <v>45374</v>
      </c>
      <c r="J20" s="29">
        <f>Настройки!AD9</f>
        <v>45375</v>
      </c>
      <c r="K20" s="29">
        <f>Настройки!AE9</f>
        <v>45376</v>
      </c>
      <c r="L20" s="29">
        <f>Настройки!AF9</f>
        <v>45377</v>
      </c>
      <c r="M20" s="29">
        <f>Настройки!AG9</f>
        <v>45378</v>
      </c>
      <c r="N20" s="29">
        <f>Настройки!AH9</f>
        <v>45379</v>
      </c>
      <c r="O20" s="29">
        <f>Настройки!AI9</f>
        <v>45380</v>
      </c>
      <c r="P20" s="29">
        <f>Настройки!AJ9</f>
        <v>45381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48="",TEXT(Настройки!$J2,"ч:мм"),TEXT(Настройки!V48,"ч:мм"))+TIME(0,Март!T13,0),"ч::мм")=TEXT(IF(Настройки!V48="",TEXT(Настройки!$J2,"ч:мм"),TEXT(Настройки!V48,"ч:мм")),"ч:мм"),"",TEXT(IF(Настройки!V48="",TEXT(Настройки!$J2,"ч:мм"),TEXT(Настройки!V48,"ч:мм")),"ч:мм")&amp;"-"&amp;TEXT(IF(Настройки!V48="",TEXT(Настройки!$J2,"ч:мм"),TEXT(Настройки!V48,"ч:мм"))+TIME(0,Март!T13,0),"ч::мм"))</f>
        <v/>
      </c>
      <c r="C24" s="3" t="str">
        <f>IF(TEXT(IF(Настройки!W48="",TEXT(Настройки!$J2,"ч:мм"),TEXT(Настройки!W48,"ч:мм"))+TIME(0,Март!U13,0),"ч::мм")=TEXT(IF(Настройки!W48="",TEXT(Настройки!$J2,"ч:мм"),TEXT(Настройки!W48,"ч:мм")),"ч:мм"),"",TEXT(IF(Настройки!W48="",TEXT(Настройки!$J2,"ч:мм"),TEXT(Настройки!W48,"ч:мм")),"ч:мм")&amp;"-"&amp;TEXT(IF(Настройки!W48="",TEXT(Настройки!$J2,"ч:мм"),TEXT(Настройки!W48,"ч:мм"))+TIME(0,Март!U13,0),"ч::мм"))</f>
        <v/>
      </c>
      <c r="D24" s="3" t="str">
        <f>IF(TEXT(IF(Настройки!X48="",TEXT(Настройки!$J2,"ч:мм"),TEXT(Настройки!X48,"ч:мм"))+TIME(0,Март!V13,0),"ч::мм")=TEXT(IF(Настройки!X48="",TEXT(Настройки!$J2,"ч:мм"),TEXT(Настройки!X48,"ч:мм")),"ч:мм"),"",TEXT(IF(Настройки!X48="",TEXT(Настройки!$J2,"ч:мм"),TEXT(Настройки!X48,"ч:мм")),"ч:мм")&amp;"-"&amp;TEXT(IF(Настройки!X48="",TEXT(Настройки!$J2,"ч:мм"),TEXT(Настройки!X48,"ч:мм"))+TIME(0,Март!V13,0),"ч::мм"))</f>
        <v/>
      </c>
      <c r="E24" s="3" t="str">
        <f>IF(TEXT(IF(Настройки!Y48="",TEXT(Настройки!$J2,"ч:мм"),TEXT(Настройки!Y48,"ч:мм"))+TIME(0,Март!W13,0),"ч::мм")=TEXT(IF(Настройки!Y48="",TEXT(Настройки!$J2,"ч:мм"),TEXT(Настройки!Y48,"ч:мм")),"ч:мм"),"",TEXT(IF(Настройки!Y48="",TEXT(Настройки!$J2,"ч:мм"),TEXT(Настройки!Y48,"ч:мм")),"ч:мм")&amp;"-"&amp;TEXT(IF(Настройки!Y48="",TEXT(Настройки!$J2,"ч:мм"),TEXT(Настройки!Y48,"ч:мм"))+TIME(0,Март!W13,0),"ч::мм"))</f>
        <v/>
      </c>
      <c r="F24" s="3" t="str">
        <f>IF(TEXT(IF(Настройки!Z48="",TEXT(Настройки!$J2,"ч:мм"),TEXT(Настройки!Z48,"ч:мм"))+TIME(0,Март!X13,0),"ч::мм")=TEXT(IF(Настройки!Z48="",TEXT(Настройки!$J2,"ч:мм"),TEXT(Настройки!Z48,"ч:мм")),"ч:мм"),"",TEXT(IF(Настройки!Z48="",TEXT(Настройки!$J2,"ч:мм"),TEXT(Настройки!Z48,"ч:мм")),"ч:мм")&amp;"-"&amp;TEXT(IF(Настройки!Z48="",TEXT(Настройки!$J2,"ч:мм"),TEXT(Настройки!Z48,"ч:мм"))+TIME(0,Март!X13,0),"ч::мм"))</f>
        <v/>
      </c>
      <c r="G24" s="3" t="str">
        <f>IF(TEXT(IF(Настройки!AA48="",TEXT(Настройки!$J2,"ч:мм"),TEXT(Настройки!AA48,"ч:мм"))+TIME(0,Март!Y13,0),"ч::мм")=TEXT(IF(Настройки!AA48="",TEXT(Настройки!$J2,"ч:мм"),TEXT(Настройки!AA48,"ч:мм")),"ч:мм"),"",TEXT(IF(Настройки!AA48="",TEXT(Настройки!$J2,"ч:мм"),TEXT(Настройки!AA48,"ч:мм")),"ч:мм")&amp;"-"&amp;TEXT(IF(Настройки!AA48="",TEXT(Настройки!$J2,"ч:мм"),TEXT(Настройки!AA48,"ч:мм"))+TIME(0,Март!Y13,0),"ч::мм"))</f>
        <v/>
      </c>
      <c r="H24" s="3" t="str">
        <f>IF(TEXT(IF(Настройки!AB48="",TEXT(Настройки!$J2,"ч:мм"),TEXT(Настройки!AB48,"ч:мм"))+TIME(0,Март!Z13,0),"ч::мм")=TEXT(IF(Настройки!AB48="",TEXT(Настройки!$J2,"ч:мм"),TEXT(Настройки!AB48,"ч:мм")),"ч:мм"),"",TEXT(IF(Настройки!AB48="",TEXT(Настройки!$J2,"ч:мм"),TEXT(Настройки!AB48,"ч:мм")),"ч:мм")&amp;"-"&amp;TEXT(IF(Настройки!AB48="",TEXT(Настройки!$J2,"ч:мм"),TEXT(Настройки!AB48,"ч:мм"))+TIME(0,Март!Z13,0),"ч::мм"))</f>
        <v/>
      </c>
      <c r="I24" s="3" t="str">
        <f>IF(TEXT(IF(Настройки!AC48="",TEXT(Настройки!$J2,"ч:мм"),TEXT(Настройки!AC48,"ч:мм"))+TIME(0,Март!AA13,0),"ч::мм")=TEXT(IF(Настройки!AC48="",TEXT(Настройки!$J2,"ч:мм"),TEXT(Настройки!AC48,"ч:мм")),"ч:мм"),"",TEXT(IF(Настройки!AC48="",TEXT(Настройки!$J2,"ч:мм"),TEXT(Настройки!AC48,"ч:мм")),"ч:мм")&amp;"-"&amp;TEXT(IF(Настройки!AC48="",TEXT(Настройки!$J2,"ч:мм"),TEXT(Настройки!AC48,"ч:мм"))+TIME(0,Март!AA13,0),"ч::мм"))</f>
        <v/>
      </c>
      <c r="J24" s="3" t="str">
        <f>IF(TEXT(IF(Настройки!AD48="",TEXT(Настройки!$J2,"ч:мм"),TEXT(Настройки!AD48,"ч:мм"))+TIME(0,Март!AB13,0),"ч::мм")=TEXT(IF(Настройки!AD48="",TEXT(Настройки!$J2,"ч:мм"),TEXT(Настройки!AD48,"ч:мм")),"ч:мм"),"",TEXT(IF(Настройки!AD48="",TEXT(Настройки!$J2,"ч:мм"),TEXT(Настройки!AD48,"ч:мм")),"ч:мм")&amp;"-"&amp;TEXT(IF(Настройки!AD48="",TEXT(Настройки!$J2,"ч:мм"),TEXT(Настройки!AD48,"ч:мм"))+TIME(0,Март!AB13,0),"ч::мм"))</f>
        <v/>
      </c>
      <c r="K24" s="3" t="str">
        <f>IF(TEXT(IF(Настройки!AE48="",TEXT(Настройки!$J2,"ч:мм"),TEXT(Настройки!AE48,"ч:мм"))+TIME(0,Март!AC13,0),"ч::мм")=TEXT(IF(Настройки!AE48="",TEXT(Настройки!$J2,"ч:мм"),TEXT(Настройки!AE48,"ч:мм")),"ч:мм"),"",TEXT(IF(Настройки!AE48="",TEXT(Настройки!$J2,"ч:мм"),TEXT(Настройки!AE48,"ч:мм")),"ч:мм")&amp;"-"&amp;TEXT(IF(Настройки!AE48="",TEXT(Настройки!$J2,"ч:мм"),TEXT(Настройки!AE48,"ч:мм"))+TIME(0,Март!AC13,0),"ч::мм"))</f>
        <v/>
      </c>
      <c r="L24" s="3" t="str">
        <f>IF(TEXT(IF(Настройки!AF48="",TEXT(Настройки!$J2,"ч:мм"),TEXT(Настройки!AF48,"ч:мм"))+TIME(0,Март!AD13,0),"ч::мм")=TEXT(IF(Настройки!AF48="",TEXT(Настройки!$J2,"ч:мм"),TEXT(Настройки!AF48,"ч:мм")),"ч:мм"),"",TEXT(IF(Настройки!AF48="",TEXT(Настройки!$J2,"ч:мм"),TEXT(Настройки!AF48,"ч:мм")),"ч:мм")&amp;"-"&amp;TEXT(IF(Настройки!AF48="",TEXT(Настройки!$J2,"ч:мм"),TEXT(Настройки!AF48,"ч:мм"))+TIME(0,Март!AD13,0),"ч::мм"))</f>
        <v/>
      </c>
      <c r="M24" s="3" t="str">
        <f>IF(TEXT(IF(Настройки!AG48="",TEXT(Настройки!$J2,"ч:мм"),TEXT(Настройки!AG48,"ч:мм"))+TIME(0,Март!AE13,0),"ч::мм")=TEXT(IF(Настройки!AG48="",TEXT(Настройки!$J2,"ч:мм"),TEXT(Настройки!AG48,"ч:мм")),"ч:мм"),"",TEXT(IF(Настройки!AG48="",TEXT(Настройки!$J2,"ч:мм"),TEXT(Настройки!AG48,"ч:мм")),"ч:мм")&amp;"-"&amp;TEXT(IF(Настройки!AG48="",TEXT(Настройки!$J2,"ч:мм"),TEXT(Настройки!AG48,"ч:мм"))+TIME(0,Март!AE13,0),"ч::мм"))</f>
        <v/>
      </c>
      <c r="N24" s="3" t="str">
        <f>IF(TEXT(IF(Настройки!AH48="",TEXT(Настройки!$J2,"ч:мм"),TEXT(Настройки!AH48,"ч:мм"))+TIME(0,Март!AF13,0),"ч::мм")=TEXT(IF(Настройки!AH48="",TEXT(Настройки!$J2,"ч:мм"),TEXT(Настройки!AH48,"ч:мм")),"ч:мм"),"",TEXT(IF(Настройки!AH48="",TEXT(Настройки!$J2,"ч:мм"),TEXT(Настройки!AH48,"ч:мм")),"ч:мм")&amp;"-"&amp;TEXT(IF(Настройки!AH48="",TEXT(Настройки!$J2,"ч:мм"),TEXT(Настройки!AH48,"ч:мм"))+TIME(0,Март!AF13,0),"ч::мм"))</f>
        <v/>
      </c>
      <c r="O24" s="3" t="str">
        <f>IF(TEXT(IF(Настройки!AI48="",TEXT(Настройки!$J2,"ч:мм"),TEXT(Настройки!AI48,"ч:мм"))+TIME(0,Март!AG13,0),"ч::мм")=TEXT(IF(Настройки!AI48="",TEXT(Настройки!$J2,"ч:мм"),TEXT(Настройки!AI48,"ч:мм")),"ч:мм"),"",TEXT(IF(Настройки!AI48="",TEXT(Настройки!$J2,"ч:мм"),TEXT(Настройки!AI48,"ч:мм")),"ч:мм")&amp;"-"&amp;TEXT(IF(Настройки!AI48="",TEXT(Настройки!$J2,"ч:мм"),TEXT(Настройки!AI48,"ч:мм"))+TIME(0,Март!AG13,0),"ч::мм"))</f>
        <v/>
      </c>
      <c r="P24" s="3" t="str">
        <f>IF(TEXT(IF(Настройки!AJ48="",TEXT(Настройки!$J2,"ч:мм"),TEXT(Настройки!AJ48,"ч:мм"))+TIME(0,Март!AH13,0),"ч::мм")=TEXT(IF(Настройки!AJ48="",TEXT(Настройки!$J2,"ч:мм"),TEXT(Настройки!AJ48,"ч:мм")),"ч:мм"),"",TEXT(IF(Настройки!AJ48="",TEXT(Настройки!$J2,"ч:мм"),TEXT(Настройки!AJ48,"ч:мм")),"ч:мм")&amp;"-"&amp;TEXT(IF(Настройки!AJ48="",TEXT(Настройки!$J2,"ч:мм"),TEXT(Настройки!AJ48,"ч:мм"))+TIME(0,Март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49="",TEXT(Настройки!$J3,"ч:мм"),TEXT(Настройки!V49,"ч:мм"))+TIME(0,Март!T14,0),"ч::мм")=TEXT(IF(Настройки!V49="",TEXT(Настройки!$J3,"ч:мм"),TEXT(Настройки!V49,"ч:мм")),"ч:мм"),"",TEXT(IF(Настройки!V49="",TEXT(Настройки!$J3,"ч:мм"),TEXT(Настройки!V49,"ч:мм")),"ч:мм")&amp;"-"&amp;TEXT(IF(Настройки!V49="",TEXT(Настройки!$J3,"ч:мм"),TEXT(Настройки!V49,"ч:мм"))+TIME(0,Март!T14,0),"ч::мм"))</f>
        <v/>
      </c>
      <c r="C25" s="3" t="str">
        <f ca="1">IF(TEXT(IF(Настройки!W49="",TEXT(Настройки!$J3,"ч:мм"),TEXT(Настройки!W49,"ч:мм"))+TIME(0,Март!U14,0),"ч::мм")=TEXT(IF(Настройки!W49="",TEXT(Настройки!$J3,"ч:мм"),TEXT(Настройки!W49,"ч:мм")),"ч:мм"),"",TEXT(IF(Настройки!W49="",TEXT(Настройки!$J3,"ч:мм"),TEXT(Настройки!W49,"ч:мм")),"ч:мм")&amp;"-"&amp;TEXT(IF(Настройки!W49="",TEXT(Настройки!$J3,"ч:мм"),TEXT(Настройки!W49,"ч:мм"))+TIME(0,Март!U14,0),"ч::мм"))</f>
        <v/>
      </c>
      <c r="D25" s="3" t="str">
        <f ca="1">IF(TEXT(IF(Настройки!X49="",TEXT(Настройки!$J3,"ч:мм"),TEXT(Настройки!X49,"ч:мм"))+TIME(0,Март!V14,0),"ч::мм")=TEXT(IF(Настройки!X49="",TEXT(Настройки!$J3,"ч:мм"),TEXT(Настройки!X49,"ч:мм")),"ч:мм"),"",TEXT(IF(Настройки!X49="",TEXT(Настройки!$J3,"ч:мм"),TEXT(Настройки!X49,"ч:мм")),"ч:мм")&amp;"-"&amp;TEXT(IF(Настройки!X49="",TEXT(Настройки!$J3,"ч:мм"),TEXT(Настройки!X49,"ч:мм"))+TIME(0,Март!V14,0),"ч::мм"))</f>
        <v/>
      </c>
      <c r="E25" s="3" t="str">
        <f ca="1">IF(TEXT(IF(Настройки!Y49="",TEXT(Настройки!$J3,"ч:мм"),TEXT(Настройки!Y49,"ч:мм"))+TIME(0,Март!W14,0),"ч::мм")=TEXT(IF(Настройки!Y49="",TEXT(Настройки!$J3,"ч:мм"),TEXT(Настройки!Y49,"ч:мм")),"ч:мм"),"",TEXT(IF(Настройки!Y49="",TEXT(Настройки!$J3,"ч:мм"),TEXT(Настройки!Y49,"ч:мм")),"ч:мм")&amp;"-"&amp;TEXT(IF(Настройки!Y49="",TEXT(Настройки!$J3,"ч:мм"),TEXT(Настройки!Y49,"ч:мм"))+TIME(0,Март!W14,0),"ч::мм"))</f>
        <v/>
      </c>
      <c r="F25" s="3" t="str">
        <f ca="1">IF(TEXT(IF(Настройки!Z49="",TEXT(Настройки!$J3,"ч:мм"),TEXT(Настройки!Z49,"ч:мм"))+TIME(0,Март!X14,0),"ч::мм")=TEXT(IF(Настройки!Z49="",TEXT(Настройки!$J3,"ч:мм"),TEXT(Настройки!Z49,"ч:мм")),"ч:мм"),"",TEXT(IF(Настройки!Z49="",TEXT(Настройки!$J3,"ч:мм"),TEXT(Настройки!Z49,"ч:мм")),"ч:мм")&amp;"-"&amp;TEXT(IF(Настройки!Z49="",TEXT(Настройки!$J3,"ч:мм"),TEXT(Настройки!Z49,"ч:мм"))+TIME(0,Март!X14,0),"ч::мм"))</f>
        <v/>
      </c>
      <c r="G25" s="3" t="str">
        <f ca="1">IF(TEXT(IF(Настройки!AA49="",TEXT(Настройки!$J3,"ч:мм"),TEXT(Настройки!AA49,"ч:мм"))+TIME(0,Март!Y14,0),"ч::мм")=TEXT(IF(Настройки!AA49="",TEXT(Настройки!$J3,"ч:мм"),TEXT(Настройки!AA49,"ч:мм")),"ч:мм"),"",TEXT(IF(Настройки!AA49="",TEXT(Настройки!$J3,"ч:мм"),TEXT(Настройки!AA49,"ч:мм")),"ч:мм")&amp;"-"&amp;TEXT(IF(Настройки!AA49="",TEXT(Настройки!$J3,"ч:мм"),TEXT(Настройки!AA49,"ч:мм"))+TIME(0,Март!Y14,0),"ч::мм"))</f>
        <v/>
      </c>
      <c r="H25" s="3" t="str">
        <f ca="1">IF(TEXT(IF(Настройки!AB49="",TEXT(Настройки!$J3,"ч:мм"),TEXT(Настройки!AB49,"ч:мм"))+TIME(0,Март!Z14,0),"ч::мм")=TEXT(IF(Настройки!AB49="",TEXT(Настройки!$J3,"ч:мм"),TEXT(Настройки!AB49,"ч:мм")),"ч:мм"),"",TEXT(IF(Настройки!AB49="",TEXT(Настройки!$J3,"ч:мм"),TEXT(Настройки!AB49,"ч:мм")),"ч:мм")&amp;"-"&amp;TEXT(IF(Настройки!AB49="",TEXT(Настройки!$J3,"ч:мм"),TEXT(Настройки!AB49,"ч:мм"))+TIME(0,Март!Z14,0),"ч::мм"))</f>
        <v/>
      </c>
      <c r="I25" s="3" t="str">
        <f ca="1">IF(TEXT(IF(Настройки!AC49="",TEXT(Настройки!$J3,"ч:мм"),TEXT(Настройки!AC49,"ч:мм"))+TIME(0,Март!AA14,0),"ч::мм")=TEXT(IF(Настройки!AC49="",TEXT(Настройки!$J3,"ч:мм"),TEXT(Настройки!AC49,"ч:мм")),"ч:мм"),"",TEXT(IF(Настройки!AC49="",TEXT(Настройки!$J3,"ч:мм"),TEXT(Настройки!AC49,"ч:мм")),"ч:мм")&amp;"-"&amp;TEXT(IF(Настройки!AC49="",TEXT(Настройки!$J3,"ч:мм"),TEXT(Настройки!AC49,"ч:мм"))+TIME(0,Март!AA14,0),"ч::мм"))</f>
        <v/>
      </c>
      <c r="J25" s="3" t="str">
        <f ca="1">IF(TEXT(IF(Настройки!AD49="",TEXT(Настройки!$J3,"ч:мм"),TEXT(Настройки!AD49,"ч:мм"))+TIME(0,Март!AB14,0),"ч::мм")=TEXT(IF(Настройки!AD49="",TEXT(Настройки!$J3,"ч:мм"),TEXT(Настройки!AD49,"ч:мм")),"ч:мм"),"",TEXT(IF(Настройки!AD49="",TEXT(Настройки!$J3,"ч:мм"),TEXT(Настройки!AD49,"ч:мм")),"ч:мм")&amp;"-"&amp;TEXT(IF(Настройки!AD49="",TEXT(Настройки!$J3,"ч:мм"),TEXT(Настройки!AD49,"ч:мм"))+TIME(0,Март!AB14,0),"ч::мм"))</f>
        <v/>
      </c>
      <c r="K25" s="3" t="str">
        <f ca="1">IF(TEXT(IF(Настройки!AE49="",TEXT(Настройки!$J3,"ч:мм"),TEXT(Настройки!AE49,"ч:мм"))+TIME(0,Март!AC14,0),"ч::мм")=TEXT(IF(Настройки!AE49="",TEXT(Настройки!$J3,"ч:мм"),TEXT(Настройки!AE49,"ч:мм")),"ч:мм"),"",TEXT(IF(Настройки!AE49="",TEXT(Настройки!$J3,"ч:мм"),TEXT(Настройки!AE49,"ч:мм")),"ч:мм")&amp;"-"&amp;TEXT(IF(Настройки!AE49="",TEXT(Настройки!$J3,"ч:мм"),TEXT(Настройки!AE49,"ч:мм"))+TIME(0,Март!AC14,0),"ч::мм"))</f>
        <v/>
      </c>
      <c r="L25" s="3" t="str">
        <f ca="1">IF(TEXT(IF(Настройки!AF49="",TEXT(Настройки!$J3,"ч:мм"),TEXT(Настройки!AF49,"ч:мм"))+TIME(0,Март!AD14,0),"ч::мм")=TEXT(IF(Настройки!AF49="",TEXT(Настройки!$J3,"ч:мм"),TEXT(Настройки!AF49,"ч:мм")),"ч:мм"),"",TEXT(IF(Настройки!AF49="",TEXT(Настройки!$J3,"ч:мм"),TEXT(Настройки!AF49,"ч:мм")),"ч:мм")&amp;"-"&amp;TEXT(IF(Настройки!AF49="",TEXT(Настройки!$J3,"ч:мм"),TEXT(Настройки!AF49,"ч:мм"))+TIME(0,Март!AD14,0),"ч::мм"))</f>
        <v/>
      </c>
      <c r="M25" s="3" t="str">
        <f ca="1">IF(TEXT(IF(Настройки!AG49="",TEXT(Настройки!$J3,"ч:мм"),TEXT(Настройки!AG49,"ч:мм"))+TIME(0,Март!AE14,0),"ч::мм")=TEXT(IF(Настройки!AG49="",TEXT(Настройки!$J3,"ч:мм"),TEXT(Настройки!AG49,"ч:мм")),"ч:мм"),"",TEXT(IF(Настройки!AG49="",TEXT(Настройки!$J3,"ч:мм"),TEXT(Настройки!AG49,"ч:мм")),"ч:мм")&amp;"-"&amp;TEXT(IF(Настройки!AG49="",TEXT(Настройки!$J3,"ч:мм"),TEXT(Настройки!AG49,"ч:мм"))+TIME(0,Март!AE14,0),"ч::мм"))</f>
        <v/>
      </c>
      <c r="N25" s="3" t="str">
        <f ca="1">IF(TEXT(IF(Настройки!AH49="",TEXT(Настройки!$J3,"ч:мм"),TEXT(Настройки!AH49,"ч:мм"))+TIME(0,Март!AF14,0),"ч::мм")=TEXT(IF(Настройки!AH49="",TEXT(Настройки!$J3,"ч:мм"),TEXT(Настройки!AH49,"ч:мм")),"ч:мм"),"",TEXT(IF(Настройки!AH49="",TEXT(Настройки!$J3,"ч:мм"),TEXT(Настройки!AH49,"ч:мм")),"ч:мм")&amp;"-"&amp;TEXT(IF(Настройки!AH49="",TEXT(Настройки!$J3,"ч:мм"),TEXT(Настройки!AH49,"ч:мм"))+TIME(0,Март!AF14,0),"ч::мм"))</f>
        <v/>
      </c>
      <c r="O25" s="3" t="str">
        <f ca="1">IF(TEXT(IF(Настройки!AI49="",TEXT(Настройки!$J3,"ч:мм"),TEXT(Настройки!AI49,"ч:мм"))+TIME(0,Март!AG14,0),"ч::мм")=TEXT(IF(Настройки!AI49="",TEXT(Настройки!$J3,"ч:мм"),TEXT(Настройки!AI49,"ч:мм")),"ч:мм"),"",TEXT(IF(Настройки!AI49="",TEXT(Настройки!$J3,"ч:мм"),TEXT(Настройки!AI49,"ч:мм")),"ч:мм")&amp;"-"&amp;TEXT(IF(Настройки!AI49="",TEXT(Настройки!$J3,"ч:мм"),TEXT(Настройки!AI49,"ч:мм"))+TIME(0,Март!AG14,0),"ч::мм"))</f>
        <v/>
      </c>
      <c r="P25" s="3" t="str">
        <f ca="1">IF(TEXT(IF(Настройки!AJ49="",TEXT(Настройки!$J3,"ч:мм"),TEXT(Настройки!AJ49,"ч:мм"))+TIME(0,Март!AH14,0),"ч::мм")=TEXT(IF(Настройки!AJ49="",TEXT(Настройки!$J3,"ч:мм"),TEXT(Настройки!AJ49,"ч:мм")),"ч:мм"),"",TEXT(IF(Настройки!AJ49="",TEXT(Настройки!$J3,"ч:мм"),TEXT(Настройки!AJ49,"ч:мм")),"ч:мм")&amp;"-"&amp;TEXT(IF(Настройки!AJ49="",TEXT(Настройки!$J3,"ч:мм"),TEXT(Настройки!AJ49,"ч:мм"))+TIME(0,Март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50="",TEXT(Настройки!$J4,"ч:мм"),TEXT(Настройки!V50,"ч:мм"))+TIME(0,Март!T15,0),"ч::мм")=TEXT(IF(Настройки!V50="",TEXT(Настройки!$J4,"ч:мм"),TEXT(Настройки!V50,"ч:мм")),"ч:мм"),"",TEXT(IF(Настройки!V50="",TEXT(Настройки!$J4,"ч:мм"),TEXT(Настройки!V50,"ч:мм")),"ч:мм")&amp;"-"&amp;TEXT(IF(Настройки!V50="",TEXT(Настройки!$J4,"ч:мм"),TEXT(Настройки!V50,"ч:мм"))+TIME(0,Март!T15,0),"ч::мм"))</f>
        <v/>
      </c>
      <c r="C26" s="3" t="str">
        <f ca="1">IF(TEXT(IF(Настройки!W50="",TEXT(Настройки!$J4,"ч:мм"),TEXT(Настройки!W50,"ч:мм"))+TIME(0,Март!U15,0),"ч::мм")=TEXT(IF(Настройки!W50="",TEXT(Настройки!$J4,"ч:мм"),TEXT(Настройки!W50,"ч:мм")),"ч:мм"),"",TEXT(IF(Настройки!W50="",TEXT(Настройки!$J4,"ч:мм"),TEXT(Настройки!W50,"ч:мм")),"ч:мм")&amp;"-"&amp;TEXT(IF(Настройки!W50="",TEXT(Настройки!$J4,"ч:мм"),TEXT(Настройки!W50,"ч:мм"))+TIME(0,Март!U15,0),"ч::мм"))</f>
        <v/>
      </c>
      <c r="D26" s="3" t="str">
        <f ca="1">IF(TEXT(IF(Настройки!X50="",TEXT(Настройки!$J4,"ч:мм"),TEXT(Настройки!X50,"ч:мм"))+TIME(0,Март!V15,0),"ч::мм")=TEXT(IF(Настройки!X50="",TEXT(Настройки!$J4,"ч:мм"),TEXT(Настройки!X50,"ч:мм")),"ч:мм"),"",TEXT(IF(Настройки!X50="",TEXT(Настройки!$J4,"ч:мм"),TEXT(Настройки!X50,"ч:мм")),"ч:мм")&amp;"-"&amp;TEXT(IF(Настройки!X50="",TEXT(Настройки!$J4,"ч:мм"),TEXT(Настройки!X50,"ч:мм"))+TIME(0,Март!V15,0),"ч::мм"))</f>
        <v/>
      </c>
      <c r="E26" s="3" t="str">
        <f ca="1">IF(TEXT(IF(Настройки!Y50="",TEXT(Настройки!$J4,"ч:мм"),TEXT(Настройки!Y50,"ч:мм"))+TIME(0,Март!W15,0),"ч::мм")=TEXT(IF(Настройки!Y50="",TEXT(Настройки!$J4,"ч:мм"),TEXT(Настройки!Y50,"ч:мм")),"ч:мм"),"",TEXT(IF(Настройки!Y50="",TEXT(Настройки!$J4,"ч:мм"),TEXT(Настройки!Y50,"ч:мм")),"ч:мм")&amp;"-"&amp;TEXT(IF(Настройки!Y50="",TEXT(Настройки!$J4,"ч:мм"),TEXT(Настройки!Y50,"ч:мм"))+TIME(0,Март!W15,0),"ч::мм"))</f>
        <v/>
      </c>
      <c r="F26" s="3" t="str">
        <f ca="1">IF(TEXT(IF(Настройки!Z50="",TEXT(Настройки!$J4,"ч:мм"),TEXT(Настройки!Z50,"ч:мм"))+TIME(0,Март!X15,0),"ч::мм")=TEXT(IF(Настройки!Z50="",TEXT(Настройки!$J4,"ч:мм"),TEXT(Настройки!Z50,"ч:мм")),"ч:мм"),"",TEXT(IF(Настройки!Z50="",TEXT(Настройки!$J4,"ч:мм"),TEXT(Настройки!Z50,"ч:мм")),"ч:мм")&amp;"-"&amp;TEXT(IF(Настройки!Z50="",TEXT(Настройки!$J4,"ч:мм"),TEXT(Настройки!Z50,"ч:мм"))+TIME(0,Март!X15,0),"ч::мм"))</f>
        <v/>
      </c>
      <c r="G26" s="3" t="str">
        <f ca="1">IF(TEXT(IF(Настройки!AA50="",TEXT(Настройки!$J4,"ч:мм"),TEXT(Настройки!AA50,"ч:мм"))+TIME(0,Март!Y15,0),"ч::мм")=TEXT(IF(Настройки!AA50="",TEXT(Настройки!$J4,"ч:мм"),TEXT(Настройки!AA50,"ч:мм")),"ч:мм"),"",TEXT(IF(Настройки!AA50="",TEXT(Настройки!$J4,"ч:мм"),TEXT(Настройки!AA50,"ч:мм")),"ч:мм")&amp;"-"&amp;TEXT(IF(Настройки!AA50="",TEXT(Настройки!$J4,"ч:мм"),TEXT(Настройки!AA50,"ч:мм"))+TIME(0,Март!Y15,0),"ч::мм"))</f>
        <v/>
      </c>
      <c r="H26" s="3" t="str">
        <f ca="1">IF(TEXT(IF(Настройки!AB50="",TEXT(Настройки!$J4,"ч:мм"),TEXT(Настройки!AB50,"ч:мм"))+TIME(0,Март!Z15,0),"ч::мм")=TEXT(IF(Настройки!AB50="",TEXT(Настройки!$J4,"ч:мм"),TEXT(Настройки!AB50,"ч:мм")),"ч:мм"),"",TEXT(IF(Настройки!AB50="",TEXT(Настройки!$J4,"ч:мм"),TEXT(Настройки!AB50,"ч:мм")),"ч:мм")&amp;"-"&amp;TEXT(IF(Настройки!AB50="",TEXT(Настройки!$J4,"ч:мм"),TEXT(Настройки!AB50,"ч:мм"))+TIME(0,Март!Z15,0),"ч::мм"))</f>
        <v/>
      </c>
      <c r="I26" s="3" t="str">
        <f ca="1">IF(TEXT(IF(Настройки!AC50="",TEXT(Настройки!$J4,"ч:мм"),TEXT(Настройки!AC50,"ч:мм"))+TIME(0,Март!AA15,0),"ч::мм")=TEXT(IF(Настройки!AC50="",TEXT(Настройки!$J4,"ч:мм"),TEXT(Настройки!AC50,"ч:мм")),"ч:мм"),"",TEXT(IF(Настройки!AC50="",TEXT(Настройки!$J4,"ч:мм"),TEXT(Настройки!AC50,"ч:мм")),"ч:мм")&amp;"-"&amp;TEXT(IF(Настройки!AC50="",TEXT(Настройки!$J4,"ч:мм"),TEXT(Настройки!AC50,"ч:мм"))+TIME(0,Март!AA15,0),"ч::мм"))</f>
        <v/>
      </c>
      <c r="J26" s="3" t="str">
        <f ca="1">IF(TEXT(IF(Настройки!AD50="",TEXT(Настройки!$J4,"ч:мм"),TEXT(Настройки!AD50,"ч:мм"))+TIME(0,Март!AB15,0),"ч::мм")=TEXT(IF(Настройки!AD50="",TEXT(Настройки!$J4,"ч:мм"),TEXT(Настройки!AD50,"ч:мм")),"ч:мм"),"",TEXT(IF(Настройки!AD50="",TEXT(Настройки!$J4,"ч:мм"),TEXT(Настройки!AD50,"ч:мм")),"ч:мм")&amp;"-"&amp;TEXT(IF(Настройки!AD50="",TEXT(Настройки!$J4,"ч:мм"),TEXT(Настройки!AD50,"ч:мм"))+TIME(0,Март!AB15,0),"ч::мм"))</f>
        <v/>
      </c>
      <c r="K26" s="3" t="str">
        <f ca="1">IF(TEXT(IF(Настройки!AE50="",TEXT(Настройки!$J4,"ч:мм"),TEXT(Настройки!AE50,"ч:мм"))+TIME(0,Март!AC15,0),"ч::мм")=TEXT(IF(Настройки!AE50="",TEXT(Настройки!$J4,"ч:мм"),TEXT(Настройки!AE50,"ч:мм")),"ч:мм"),"",TEXT(IF(Настройки!AE50="",TEXT(Настройки!$J4,"ч:мм"),TEXT(Настройки!AE50,"ч:мм")),"ч:мм")&amp;"-"&amp;TEXT(IF(Настройки!AE50="",TEXT(Настройки!$J4,"ч:мм"),TEXT(Настройки!AE50,"ч:мм"))+TIME(0,Март!AC15,0),"ч::мм"))</f>
        <v/>
      </c>
      <c r="L26" s="3" t="str">
        <f ca="1">IF(TEXT(IF(Настройки!AF50="",TEXT(Настройки!$J4,"ч:мм"),TEXT(Настройки!AF50,"ч:мм"))+TIME(0,Март!AD15,0),"ч::мм")=TEXT(IF(Настройки!AF50="",TEXT(Настройки!$J4,"ч:мм"),TEXT(Настройки!AF50,"ч:мм")),"ч:мм"),"",TEXT(IF(Настройки!AF50="",TEXT(Настройки!$J4,"ч:мм"),TEXT(Настройки!AF50,"ч:мм")),"ч:мм")&amp;"-"&amp;TEXT(IF(Настройки!AF50="",TEXT(Настройки!$J4,"ч:мм"),TEXT(Настройки!AF50,"ч:мм"))+TIME(0,Март!AD15,0),"ч::мм"))</f>
        <v/>
      </c>
      <c r="M26" s="3" t="str">
        <f ca="1">IF(TEXT(IF(Настройки!AG50="",TEXT(Настройки!$J4,"ч:мм"),TEXT(Настройки!AG50,"ч:мм"))+TIME(0,Март!AE15,0),"ч::мм")=TEXT(IF(Настройки!AG50="",TEXT(Настройки!$J4,"ч:мм"),TEXT(Настройки!AG50,"ч:мм")),"ч:мм"),"",TEXT(IF(Настройки!AG50="",TEXT(Настройки!$J4,"ч:мм"),TEXT(Настройки!AG50,"ч:мм")),"ч:мм")&amp;"-"&amp;TEXT(IF(Настройки!AG50="",TEXT(Настройки!$J4,"ч:мм"),TEXT(Настройки!AG50,"ч:мм"))+TIME(0,Март!AE15,0),"ч::мм"))</f>
        <v/>
      </c>
      <c r="N26" s="3" t="str">
        <f ca="1">IF(TEXT(IF(Настройки!AH50="",TEXT(Настройки!$J4,"ч:мм"),TEXT(Настройки!AH50,"ч:мм"))+TIME(0,Март!AF15,0),"ч::мм")=TEXT(IF(Настройки!AH50="",TEXT(Настройки!$J4,"ч:мм"),TEXT(Настройки!AH50,"ч:мм")),"ч:мм"),"",TEXT(IF(Настройки!AH50="",TEXT(Настройки!$J4,"ч:мм"),TEXT(Настройки!AH50,"ч:мм")),"ч:мм")&amp;"-"&amp;TEXT(IF(Настройки!AH50="",TEXT(Настройки!$J4,"ч:мм"),TEXT(Настройки!AH50,"ч:мм"))+TIME(0,Март!AF15,0),"ч::мм"))</f>
        <v/>
      </c>
      <c r="O26" s="3" t="str">
        <f ca="1">IF(TEXT(IF(Настройки!AI50="",TEXT(Настройки!$J4,"ч:мм"),TEXT(Настройки!AI50,"ч:мм"))+TIME(0,Март!AG15,0),"ч::мм")=TEXT(IF(Настройки!AI50="",TEXT(Настройки!$J4,"ч:мм"),TEXT(Настройки!AI50,"ч:мм")),"ч:мм"),"",TEXT(IF(Настройки!AI50="",TEXT(Настройки!$J4,"ч:мм"),TEXT(Настройки!AI50,"ч:мм")),"ч:мм")&amp;"-"&amp;TEXT(IF(Настройки!AI50="",TEXT(Настройки!$J4,"ч:мм"),TEXT(Настройки!AI50,"ч:мм"))+TIME(0,Март!AG15,0),"ч::мм"))</f>
        <v/>
      </c>
      <c r="P26" s="3" t="str">
        <f ca="1">IF(TEXT(IF(Настройки!AJ50="",TEXT(Настройки!$J4,"ч:мм"),TEXT(Настройки!AJ50,"ч:мм"))+TIME(0,Март!AH15,0),"ч::мм")=TEXT(IF(Настройки!AJ50="",TEXT(Настройки!$J4,"ч:мм"),TEXT(Настройки!AJ50,"ч:мм")),"ч:мм"),"",TEXT(IF(Настройки!AJ50="",TEXT(Настройки!$J4,"ч:мм"),TEXT(Настройки!AJ50,"ч:мм")),"ч:мм")&amp;"-"&amp;TEXT(IF(Настройки!AJ50="",TEXT(Настройки!$J4,"ч:мм"),TEXT(Настройки!AJ50,"ч:мм"))+TIME(0,Март!AH15,0),"ч::мм"))</f>
        <v/>
      </c>
    </row>
    <row r="27" spans="1:18" x14ac:dyDescent="0.25">
      <c r="Q27" s="9"/>
      <c r="R27" s="9"/>
    </row>
    <row r="28" spans="1:18" x14ac:dyDescent="0.25">
      <c r="A28" s="81"/>
      <c r="B28" s="67" t="s">
        <v>55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4"/>
      <c r="Q28" s="33"/>
      <c r="R28" s="9"/>
    </row>
    <row r="29" spans="1:18" x14ac:dyDescent="0.25">
      <c r="A29" s="83"/>
      <c r="B29" s="95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6"/>
      <c r="Q29" s="33"/>
      <c r="R29" s="9"/>
    </row>
    <row r="30" spans="1:18" x14ac:dyDescent="0.25">
      <c r="A30" s="83"/>
      <c r="B30" s="29">
        <f>Настройки!AK9</f>
        <v>45382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31"/>
      <c r="R30" s="9"/>
    </row>
    <row r="31" spans="1:18" x14ac:dyDescent="0.25">
      <c r="A31" s="83"/>
      <c r="B31" s="67" t="s">
        <v>54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4"/>
      <c r="Q31" s="33"/>
      <c r="R31" s="9"/>
    </row>
    <row r="32" spans="1:18" x14ac:dyDescent="0.25">
      <c r="A32" s="84"/>
      <c r="B32" s="95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6"/>
      <c r="Q32" s="33"/>
      <c r="R32" s="9"/>
    </row>
    <row r="33" spans="1:16" x14ac:dyDescent="0.25">
      <c r="A33" s="3" t="s">
        <v>138</v>
      </c>
      <c r="B33" s="3" t="s">
        <v>113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</row>
    <row r="34" spans="1:16" x14ac:dyDescent="0.25">
      <c r="A34" s="32" t="str">
        <f t="shared" ref="A34:A36" si="1">A14</f>
        <v>9:00-9:00</v>
      </c>
      <c r="B34" s="3" t="str">
        <f>IF(TEXT(IF(Настройки!AK48="",TEXT(Настройки!$J2,"ч:мм"),TEXT(Настройки!AK48,"ч:мм"))+TIME(0,Март!AI13,0),"ч::мм")=TEXT(IF(Настройки!AK48="",TEXT(Настройки!$J2,"ч:мм"),TEXT(Настройки!AK48,"ч:мм")),"ч:мм"),"",TEXT(IF(Настройки!AK48="",TEXT(Настройки!$J2,"ч:мм"),TEXT(Настройки!AK48,"ч:мм")),"ч:мм")&amp;"-"&amp;TEXT(IF(Настройки!AK48="",TEXT(Настройки!$J2,"ч:мм"),TEXT(Настройки!AK48,"ч:мм"))+TIME(0,Март!AI13,0),"ч::мм"))</f>
        <v/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</row>
    <row r="35" spans="1:16" x14ac:dyDescent="0.25">
      <c r="A35" s="32" t="str">
        <f t="shared" ca="1" si="1"/>
        <v>13:00-13:00</v>
      </c>
      <c r="B35" s="3" t="str">
        <f ca="1">IF(TEXT(IF(Настройки!AK49="",TEXT(Настройки!$J3,"ч:мм"),TEXT(Настройки!AK49,"ч:мм"))+TIME(0,Март!AI14,0),"ч::мм")=TEXT(IF(Настройки!AK49="",TEXT(Настройки!$J3,"ч:мм"),TEXT(Настройки!AK49,"ч:мм")),"ч:мм"),"",TEXT(IF(Настройки!AK49="",TEXT(Настройки!$J3,"ч:мм"),TEXT(Настройки!AK49,"ч:мм")),"ч:мм")&amp;"-"&amp;TEXT(IF(Настройки!AK49="",TEXT(Настройки!$J3,"ч:мм"),TEXT(Настройки!AK49,"ч:мм"))+TIME(0,Март!AI14,0),"ч::мм"))</f>
        <v/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</row>
    <row r="36" spans="1:16" x14ac:dyDescent="0.25">
      <c r="A36" s="32" t="str">
        <f t="shared" ca="1" si="1"/>
        <v>16:00-16:00</v>
      </c>
      <c r="B36" s="3" t="str">
        <f ca="1">IF(TEXT(IF(Настройки!AK50="",TEXT(Настройки!$J4,"ч:мм"),TEXT(Настройки!AK50,"ч:мм"))+TIME(0,Март!AI15,0),"ч::мм")=TEXT(IF(Настройки!AK50="",TEXT(Настройки!$J4,"ч:мм"),TEXT(Настройки!AK50,"ч:мм")),"ч:мм"),"",TEXT(IF(Настройки!AK50="",TEXT(Настройки!$J4,"ч:мм"),TEXT(Настройки!AK50,"ч:мм")),"ч:мм")&amp;"-"&amp;TEXT(IF(Настройки!AK50="",TEXT(Настройки!$J4,"ч:мм"),TEXT(Настройки!AK50,"ч:мм"))+TIME(0,Март!AI15,0),"ч::мм"))</f>
        <v/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</row>
  </sheetData>
  <mergeCells count="12">
    <mergeCell ref="A2:P2"/>
    <mergeCell ref="F6:G6"/>
    <mergeCell ref="A8:A12"/>
    <mergeCell ref="B8:P9"/>
    <mergeCell ref="B11:P12"/>
    <mergeCell ref="H6:I6"/>
    <mergeCell ref="A18:A22"/>
    <mergeCell ref="B18:P19"/>
    <mergeCell ref="B21:P22"/>
    <mergeCell ref="A28:A32"/>
    <mergeCell ref="B28:P29"/>
    <mergeCell ref="B31:P32"/>
  </mergeCells>
  <conditionalFormatting sqref="B10:P10">
    <cfRule type="expression" dxfId="1023" priority="3">
      <formula>WEEKDAY(B10:P10,2)&gt;5</formula>
    </cfRule>
  </conditionalFormatting>
  <conditionalFormatting sqref="B20:P20">
    <cfRule type="expression" dxfId="1022" priority="2">
      <formula>WEEKDAY(B20:P20,2)&gt;5</formula>
    </cfRule>
  </conditionalFormatting>
  <conditionalFormatting sqref="B30">
    <cfRule type="expression" dxfId="1021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 tint="0.39997558519241921"/>
    <pageSetUpPr fitToPage="1"/>
  </sheetPr>
  <dimension ref="A2:AK28"/>
  <sheetViews>
    <sheetView zoomScale="70" zoomScaleNormal="70" workbookViewId="0">
      <selection activeCell="D1" sqref="D1"/>
    </sheetView>
  </sheetViews>
  <sheetFormatPr defaultRowHeight="15.75" x14ac:dyDescent="0.25"/>
  <cols>
    <col min="1" max="1" width="21.42578125" style="3" customWidth="1"/>
    <col min="2" max="2" width="18.7109375" style="3" bestFit="1" customWidth="1"/>
    <col min="3" max="3" width="14.7109375" style="3" bestFit="1" customWidth="1"/>
    <col min="4" max="4" width="9.28515625" style="3" customWidth="1"/>
    <col min="5" max="17" width="4.7109375" style="3" bestFit="1" customWidth="1"/>
    <col min="18" max="18" width="7.28515625" style="3" bestFit="1" customWidth="1"/>
    <col min="19" max="34" width="4.7109375" style="3" bestFit="1" customWidth="1"/>
    <col min="35" max="35" width="9.85546875" style="3" bestFit="1" customWidth="1"/>
    <col min="36" max="36" width="10.85546875" style="3" bestFit="1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7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7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7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7" ht="18.75" x14ac:dyDescent="0.25">
      <c r="C5" s="14"/>
      <c r="L5" s="10" t="s">
        <v>69</v>
      </c>
      <c r="M5" s="61" t="s">
        <v>116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6" spans="1:37" ht="18.75" x14ac:dyDescent="0.25">
      <c r="C6" s="14"/>
      <c r="L6" s="10"/>
      <c r="M6" s="16"/>
      <c r="N6" s="25"/>
      <c r="O6" s="25"/>
      <c r="P6" s="25"/>
      <c r="Q6" s="25"/>
      <c r="R6" s="16"/>
      <c r="S6" s="25"/>
      <c r="T6" s="12"/>
      <c r="U6" s="12"/>
    </row>
    <row r="7" spans="1:37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69"/>
      <c r="AI7" s="63" t="s">
        <v>64</v>
      </c>
      <c r="AJ7" s="63" t="s">
        <v>64</v>
      </c>
      <c r="AK7" s="4"/>
    </row>
    <row r="8" spans="1:37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78"/>
      <c r="AI8" s="63"/>
      <c r="AJ8" s="63"/>
      <c r="AK8" s="4"/>
    </row>
    <row r="9" spans="1:37" x14ac:dyDescent="0.25">
      <c r="A9" s="73"/>
      <c r="B9" s="76"/>
      <c r="C9" s="76"/>
      <c r="D9" s="82"/>
      <c r="E9" s="17">
        <f>Настройки!G10</f>
        <v>45383</v>
      </c>
      <c r="F9" s="17">
        <f>Настройки!H10</f>
        <v>45384</v>
      </c>
      <c r="G9" s="17">
        <f>Настройки!I10</f>
        <v>45385</v>
      </c>
      <c r="H9" s="17">
        <f>Настройки!J10</f>
        <v>45386</v>
      </c>
      <c r="I9" s="17">
        <f>Настройки!K10</f>
        <v>45387</v>
      </c>
      <c r="J9" s="17">
        <f>Настройки!L10</f>
        <v>45388</v>
      </c>
      <c r="K9" s="17">
        <f>Настройки!M10</f>
        <v>45389</v>
      </c>
      <c r="L9" s="17">
        <f>Настройки!N10</f>
        <v>45390</v>
      </c>
      <c r="M9" s="17">
        <f>Настройки!O10</f>
        <v>45391</v>
      </c>
      <c r="N9" s="17">
        <f>Настройки!P10</f>
        <v>45392</v>
      </c>
      <c r="O9" s="17">
        <f>Настройки!Q10</f>
        <v>45393</v>
      </c>
      <c r="P9" s="17">
        <f>Настройки!R10</f>
        <v>45394</v>
      </c>
      <c r="Q9" s="17">
        <f>Настройки!S10</f>
        <v>45395</v>
      </c>
      <c r="R9" s="17">
        <f>Настройки!T10</f>
        <v>45396</v>
      </c>
      <c r="S9" s="17">
        <f>Настройки!U10</f>
        <v>45397</v>
      </c>
      <c r="T9" s="17">
        <f>Настройки!V10</f>
        <v>45398</v>
      </c>
      <c r="U9" s="17">
        <f>Настройки!W10</f>
        <v>45399</v>
      </c>
      <c r="V9" s="17">
        <f>Настройки!X10</f>
        <v>45400</v>
      </c>
      <c r="W9" s="17">
        <f>Настройки!Y10</f>
        <v>45401</v>
      </c>
      <c r="X9" s="17">
        <f>Настройки!Z10</f>
        <v>45402</v>
      </c>
      <c r="Y9" s="17">
        <f>Настройки!AA10</f>
        <v>45403</v>
      </c>
      <c r="Z9" s="17">
        <f>Настройки!AB10</f>
        <v>45404</v>
      </c>
      <c r="AA9" s="17">
        <f>Настройки!AC10</f>
        <v>45405</v>
      </c>
      <c r="AB9" s="17">
        <f>Настройки!AD10</f>
        <v>45406</v>
      </c>
      <c r="AC9" s="17">
        <f>Настройки!AE10</f>
        <v>45407</v>
      </c>
      <c r="AD9" s="17">
        <f>Настройки!AF10</f>
        <v>45408</v>
      </c>
      <c r="AE9" s="17">
        <f>Настройки!AG10</f>
        <v>45409</v>
      </c>
      <c r="AF9" s="17">
        <f>Настройки!AH10</f>
        <v>45410</v>
      </c>
      <c r="AG9" s="17">
        <f>Настройки!AI10</f>
        <v>45411</v>
      </c>
      <c r="AH9" s="17">
        <f>Настройки!AJ10</f>
        <v>45412</v>
      </c>
      <c r="AI9" s="63"/>
      <c r="AJ9" s="63"/>
      <c r="AK9" s="4"/>
    </row>
    <row r="10" spans="1:37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85"/>
      <c r="AI10" s="63"/>
      <c r="AJ10" s="63"/>
      <c r="AK10" s="4"/>
    </row>
    <row r="11" spans="1:37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2"/>
      <c r="AI11" s="63"/>
      <c r="AJ11" s="63"/>
    </row>
    <row r="12" spans="1:37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13" t="s">
        <v>75</v>
      </c>
      <c r="F12" s="13" t="s">
        <v>76</v>
      </c>
      <c r="G12" s="13" t="s">
        <v>77</v>
      </c>
      <c r="H12" s="13" t="s">
        <v>78</v>
      </c>
      <c r="I12" s="13" t="s">
        <v>79</v>
      </c>
      <c r="J12" s="13" t="s">
        <v>80</v>
      </c>
      <c r="K12" s="13" t="s">
        <v>81</v>
      </c>
      <c r="L12" s="13" t="s">
        <v>82</v>
      </c>
      <c r="M12" s="13" t="s">
        <v>83</v>
      </c>
      <c r="N12" s="13" t="s">
        <v>84</v>
      </c>
      <c r="O12" s="13" t="s">
        <v>85</v>
      </c>
      <c r="P12" s="13" t="s">
        <v>86</v>
      </c>
      <c r="Q12" s="13" t="s">
        <v>87</v>
      </c>
      <c r="R12" s="13" t="s">
        <v>88</v>
      </c>
      <c r="S12" s="13" t="s">
        <v>89</v>
      </c>
      <c r="T12" s="13" t="s">
        <v>90</v>
      </c>
      <c r="U12" s="13" t="s">
        <v>91</v>
      </c>
      <c r="V12" s="13" t="s">
        <v>92</v>
      </c>
      <c r="W12" s="13" t="s">
        <v>93</v>
      </c>
      <c r="X12" s="13" t="s">
        <v>94</v>
      </c>
      <c r="Y12" s="13" t="s">
        <v>95</v>
      </c>
      <c r="Z12" s="13" t="s">
        <v>96</v>
      </c>
      <c r="AA12" s="13" t="s">
        <v>97</v>
      </c>
      <c r="AB12" s="13" t="s">
        <v>98</v>
      </c>
      <c r="AC12" s="13" t="s">
        <v>99</v>
      </c>
      <c r="AD12" s="13" t="s">
        <v>100</v>
      </c>
      <c r="AE12" s="13" t="s">
        <v>101</v>
      </c>
      <c r="AF12" s="13" t="s">
        <v>102</v>
      </c>
      <c r="AG12" s="13" t="s">
        <v>103</v>
      </c>
      <c r="AH12" s="13" t="s">
        <v>104</v>
      </c>
      <c r="AI12" s="3" t="s">
        <v>62</v>
      </c>
      <c r="AJ12" s="3" t="s">
        <v>63</v>
      </c>
    </row>
    <row r="13" spans="1:37" x14ac:dyDescent="0.25">
      <c r="A13" s="5" t="s">
        <v>56</v>
      </c>
      <c r="B13" s="3">
        <f ca="1">SUMPRODUCT((Настройки!$G$24:$AJ$24=1)*E16:AH16)</f>
        <v>0</v>
      </c>
      <c r="C13" s="13"/>
      <c r="D13" s="5">
        <v>1</v>
      </c>
      <c r="E13" s="3">
        <f>SUMPRODUCT((Апрель[№]=1)*Апрель[1],Апрель[Объем])</f>
        <v>0</v>
      </c>
      <c r="F13" s="23">
        <f>SUMPRODUCT((Апрель[№]=1)*Апрель[2],Апрель[Объем])</f>
        <v>0</v>
      </c>
      <c r="G13" s="23">
        <f>SUMPRODUCT((Апрель[№]=1)*Апрель[3],Апрель[Объем])</f>
        <v>0</v>
      </c>
      <c r="H13" s="23">
        <f>SUMPRODUCT((Апрель[№]=1)*Апрель[4],Апрель[Объем])</f>
        <v>0</v>
      </c>
      <c r="I13" s="23">
        <f>SUMPRODUCT((Апрель[№]=1)*Апрель[5],Апрель[Объем])</f>
        <v>0</v>
      </c>
      <c r="J13" s="23">
        <f>SUMPRODUCT((Апрель[№]=1)*Апрель[6],Апрель[Объем])</f>
        <v>0</v>
      </c>
      <c r="K13" s="23">
        <f>SUMPRODUCT((Апрель[№]=1)*Апрель[7],Апрель[Объем])</f>
        <v>0</v>
      </c>
      <c r="L13" s="23">
        <f>SUMPRODUCT((Апрель[№]=1)*Апрель[8],Апрель[Объем])</f>
        <v>0</v>
      </c>
      <c r="M13" s="23">
        <f>SUMPRODUCT((Апрель[№]=1)*Апрель[9],Апрель[Объем])</f>
        <v>0</v>
      </c>
      <c r="N13" s="23">
        <f>SUMPRODUCT((Апрель[№]=1)*Апрель[10],Апрель[Объем])</f>
        <v>0</v>
      </c>
      <c r="O13" s="23">
        <f>SUMPRODUCT((Апрель[№]=1)*Апрель[11],Апрель[Объем])</f>
        <v>0</v>
      </c>
      <c r="P13" s="23">
        <f>SUMPRODUCT((Апрель[№]=1)*Апрель[12],Апрель[Объем])</f>
        <v>0</v>
      </c>
      <c r="Q13" s="23">
        <f>SUMPRODUCT((Апрель[№]=1)*Апрель[13],Апрель[Объем])</f>
        <v>0</v>
      </c>
      <c r="R13" s="23">
        <f>SUMPRODUCT((Апрель[№]=1)*Апрель[14],Апрель[Объем])</f>
        <v>0</v>
      </c>
      <c r="S13" s="23">
        <f>SUMPRODUCT((Апрель[№]=1)*Апрель[15],Апрель[Объем])</f>
        <v>0</v>
      </c>
      <c r="T13" s="23">
        <f>SUMPRODUCT((Апрель[№]=1)*Апрель[16],Апрель[Объем])</f>
        <v>0</v>
      </c>
      <c r="U13" s="23">
        <f>SUMPRODUCT((Апрель[№]=1)*Апрель[17],Апрель[Объем])</f>
        <v>0</v>
      </c>
      <c r="V13" s="23">
        <f>SUMPRODUCT((Апрель[№]=1)*Апрель[18],Апрель[Объем])</f>
        <v>0</v>
      </c>
      <c r="W13" s="23">
        <f>SUMPRODUCT((Апрель[№]=1)*Апрель[19],Апрель[Объем])</f>
        <v>0</v>
      </c>
      <c r="X13" s="23">
        <f>SUMPRODUCT((Апрель[№]=1)*Апрель[20],Апрель[Объем])</f>
        <v>0</v>
      </c>
      <c r="Y13" s="23">
        <f>SUMPRODUCT((Апрель[№]=1)*Апрель[21],Апрель[Объем])</f>
        <v>0</v>
      </c>
      <c r="Z13" s="23">
        <f>SUMPRODUCT((Апрель[№]=1)*Апрель[22],Апрель[Объем])</f>
        <v>0</v>
      </c>
      <c r="AA13" s="23">
        <f>SUMPRODUCT((Апрель[№]=1)*Апрель[23],Апрель[Объем])</f>
        <v>0</v>
      </c>
      <c r="AB13" s="23">
        <f>SUMPRODUCT((Апрель[№]=1)*Апрель[24],Апрель[Объем])</f>
        <v>0</v>
      </c>
      <c r="AC13" s="23">
        <f>SUMPRODUCT((Апрель[№]=1)*Апрель[25],Апрель[Объем])</f>
        <v>0</v>
      </c>
      <c r="AD13" s="23">
        <f>SUMPRODUCT((Апрель[№]=1)*Апрель[26],Апрель[Объем])</f>
        <v>0</v>
      </c>
      <c r="AE13" s="23">
        <f>SUMPRODUCT((Апрель[№]=1)*Апрель[27],Апрель[Объем])</f>
        <v>0</v>
      </c>
      <c r="AF13" s="23">
        <f>SUMPRODUCT((Апрель[№]=1)*Апрель[28],Апрель[Объем])</f>
        <v>0</v>
      </c>
      <c r="AG13" s="23">
        <f>SUMPRODUCT((Апрель[№]=1)*Апрель[29],Апрель[Объем])</f>
        <v>0</v>
      </c>
      <c r="AH13" s="23">
        <f>SUMPRODUCT((Апрель[№]=1)*Апрель[30],Апрель[Объем])</f>
        <v>0</v>
      </c>
    </row>
    <row r="14" spans="1:37" x14ac:dyDescent="0.25">
      <c r="B14" s="3">
        <f ca="1">SUMPRODUCT((Настройки!$G$24:$AJ$24=2)*E16:AH16)</f>
        <v>0</v>
      </c>
      <c r="D14" s="5">
        <v>2</v>
      </c>
      <c r="E14" s="3">
        <f ca="1">SUMPRODUCT((Апрель[№]=2)*Апрель[1],OFFSET(Апрель[Объем],-1,0))</f>
        <v>0</v>
      </c>
      <c r="F14" s="23">
        <f ca="1">SUMPRODUCT((Апрель[№]=2)*Апрель[2],OFFSET(Апрель[Объем],-1,0))</f>
        <v>0</v>
      </c>
      <c r="G14" s="23">
        <f ca="1">SUMPRODUCT((Апрель[№]=2)*Апрель[3],OFFSET(Апрель[Объем],-1,0))</f>
        <v>0</v>
      </c>
      <c r="H14" s="23">
        <f ca="1">SUMPRODUCT((Апрель[№]=2)*Апрель[4],OFFSET(Апрель[Объем],-1,0))</f>
        <v>0</v>
      </c>
      <c r="I14" s="23">
        <f ca="1">SUMPRODUCT((Апрель[№]=2)*Апрель[5],OFFSET(Апрель[Объем],-1,0))</f>
        <v>0</v>
      </c>
      <c r="J14" s="23">
        <f ca="1">SUMPRODUCT((Апрель[№]=2)*Апрель[6],OFFSET(Апрель[Объем],-1,0))</f>
        <v>0</v>
      </c>
      <c r="K14" s="23">
        <f ca="1">SUMPRODUCT((Апрель[№]=2)*Апрель[7],OFFSET(Апрель[Объем],-1,0))</f>
        <v>0</v>
      </c>
      <c r="L14" s="23">
        <f ca="1">SUMPRODUCT((Апрель[№]=2)*Апрель[8],OFFSET(Апрель[Объем],-1,0))</f>
        <v>0</v>
      </c>
      <c r="M14" s="23">
        <f ca="1">SUMPRODUCT((Апрель[№]=2)*Апрель[9],OFFSET(Апрель[Объем],-1,0))</f>
        <v>0</v>
      </c>
      <c r="N14" s="23">
        <f ca="1">SUMPRODUCT((Апрель[№]=2)*Апрель[10],OFFSET(Апрель[Объем],-1,0))</f>
        <v>0</v>
      </c>
      <c r="O14" s="23">
        <f ca="1">SUMPRODUCT((Апрель[№]=2)*Апрель[11],OFFSET(Апрель[Объем],-1,0))</f>
        <v>0</v>
      </c>
      <c r="P14" s="23">
        <f ca="1">SUMPRODUCT((Апрель[№]=2)*Апрель[12],OFFSET(Апрель[Объем],-1,0))</f>
        <v>0</v>
      </c>
      <c r="Q14" s="23">
        <f ca="1">SUMPRODUCT((Апрель[№]=2)*Апрель[13],OFFSET(Апрель[Объем],-1,0))</f>
        <v>0</v>
      </c>
      <c r="R14" s="23">
        <f ca="1">SUMPRODUCT((Апрель[№]=2)*Апрель[14],OFFSET(Апрель[Объем],-1,0))</f>
        <v>0</v>
      </c>
      <c r="S14" s="23">
        <f ca="1">SUMPRODUCT((Апрель[№]=2)*Апрель[15],OFFSET(Апрель[Объем],-1,0))</f>
        <v>0</v>
      </c>
      <c r="T14" s="23">
        <f ca="1">SUMPRODUCT((Апрель[№]=2)*Апрель[16],OFFSET(Апрель[Объем],-1,0))</f>
        <v>0</v>
      </c>
      <c r="U14" s="23">
        <f ca="1">SUMPRODUCT((Апрель[№]=2)*Апрель[17],OFFSET(Апрель[Объем],-1,0))</f>
        <v>0</v>
      </c>
      <c r="V14" s="23">
        <f ca="1">SUMPRODUCT((Апрель[№]=2)*Апрель[18],OFFSET(Апрель[Объем],-1,0))</f>
        <v>0</v>
      </c>
      <c r="W14" s="23">
        <f ca="1">SUMPRODUCT((Апрель[№]=2)*Апрель[19],OFFSET(Апрель[Объем],-1,0))</f>
        <v>0</v>
      </c>
      <c r="X14" s="23">
        <f ca="1">SUMPRODUCT((Апрель[№]=2)*Апрель[20],OFFSET(Апрель[Объем],-1,0))</f>
        <v>0</v>
      </c>
      <c r="Y14" s="23">
        <f ca="1">SUMPRODUCT((Апрель[№]=2)*Апрель[21],OFFSET(Апрель[Объем],-1,0))</f>
        <v>0</v>
      </c>
      <c r="Z14" s="23">
        <f ca="1">SUMPRODUCT((Апрель[№]=2)*Апрель[22],OFFSET(Апрель[Объем],-1,0))</f>
        <v>0</v>
      </c>
      <c r="AA14" s="23">
        <f ca="1">SUMPRODUCT((Апрель[№]=2)*Апрель[23],OFFSET(Апрель[Объем],-1,0))</f>
        <v>0</v>
      </c>
      <c r="AB14" s="23">
        <f ca="1">SUMPRODUCT((Апрель[№]=2)*Апрель[24],OFFSET(Апрель[Объем],-1,0))</f>
        <v>0</v>
      </c>
      <c r="AC14" s="23">
        <f ca="1">SUMPRODUCT((Апрель[№]=2)*Апрель[25],OFFSET(Апрель[Объем],-1,0))</f>
        <v>0</v>
      </c>
      <c r="AD14" s="23">
        <f ca="1">SUMPRODUCT((Апрель[№]=2)*Апрель[26],OFFSET(Апрель[Объем],-1,0))</f>
        <v>0</v>
      </c>
      <c r="AE14" s="23">
        <f ca="1">SUMPRODUCT((Апрель[№]=2)*Апрель[27],OFFSET(Апрель[Объем],-1,0))</f>
        <v>0</v>
      </c>
      <c r="AF14" s="23">
        <f ca="1">SUMPRODUCT((Апрель[№]=2)*Апрель[28],OFFSET(Апрель[Объем],-1,0))</f>
        <v>0</v>
      </c>
      <c r="AG14" s="23">
        <f ca="1">SUMPRODUCT((Апрель[№]=2)*Апрель[29],OFFSET(Апрель[Объем],-1,0))</f>
        <v>0</v>
      </c>
      <c r="AH14" s="23">
        <f ca="1">SUMPRODUCT((Апрель[№]=2)*Апрель[30],OFFSET(Апрель[Объем],-1,0))</f>
        <v>0</v>
      </c>
    </row>
    <row r="15" spans="1:37" x14ac:dyDescent="0.25">
      <c r="B15" s="3">
        <f ca="1">SUMPRODUCT((Настройки!$G$24:$AJ$24=3)*E16:AH16)</f>
        <v>0</v>
      </c>
      <c r="D15" s="5">
        <v>3</v>
      </c>
      <c r="E15" s="3">
        <f ca="1">SUMPRODUCT((Апрель[№]=3)*Апрель[1],OFFSET(Апрель[Объем],-2,0))</f>
        <v>0</v>
      </c>
      <c r="F15" s="23">
        <f ca="1">SUMPRODUCT((Апрель[№]=3)*Апрель[2],OFFSET(Апрель[Объем],-2,0))</f>
        <v>0</v>
      </c>
      <c r="G15" s="23">
        <f ca="1">SUMPRODUCT((Апрель[№]=3)*Апрель[3],OFFSET(Апрель[Объем],-2,0))</f>
        <v>0</v>
      </c>
      <c r="H15" s="23">
        <f ca="1">SUMPRODUCT((Апрель[№]=3)*Апрель[4],OFFSET(Апрель[Объем],-2,0))</f>
        <v>0</v>
      </c>
      <c r="I15" s="23">
        <f ca="1">SUMPRODUCT((Апрель[№]=3)*Апрель[5],OFFSET(Апрель[Объем],-2,0))</f>
        <v>0</v>
      </c>
      <c r="J15" s="23">
        <f ca="1">SUMPRODUCT((Апрель[№]=3)*Апрель[6],OFFSET(Апрель[Объем],-2,0))</f>
        <v>0</v>
      </c>
      <c r="K15" s="23">
        <f ca="1">SUMPRODUCT((Апрель[№]=3)*Апрель[7],OFFSET(Апрель[Объем],-2,0))</f>
        <v>0</v>
      </c>
      <c r="L15" s="23">
        <f ca="1">SUMPRODUCT((Апрель[№]=3)*Апрель[8],OFFSET(Апрель[Объем],-2,0))</f>
        <v>0</v>
      </c>
      <c r="M15" s="23">
        <f ca="1">SUMPRODUCT((Апрель[№]=3)*Апрель[9],OFFSET(Апрель[Объем],-2,0))</f>
        <v>0</v>
      </c>
      <c r="N15" s="23">
        <f ca="1">SUMPRODUCT((Апрель[№]=3)*Апрель[10],OFFSET(Апрель[Объем],-2,0))</f>
        <v>0</v>
      </c>
      <c r="O15" s="23">
        <f ca="1">SUMPRODUCT((Апрель[№]=3)*Апрель[11],OFFSET(Апрель[Объем],-2,0))</f>
        <v>0</v>
      </c>
      <c r="P15" s="23">
        <f ca="1">SUMPRODUCT((Апрель[№]=3)*Апрель[12],OFFSET(Апрель[Объем],-2,0))</f>
        <v>0</v>
      </c>
      <c r="Q15" s="23">
        <f ca="1">SUMPRODUCT((Апрель[№]=3)*Апрель[13],OFFSET(Апрель[Объем],-2,0))</f>
        <v>0</v>
      </c>
      <c r="R15" s="23">
        <f ca="1">SUMPRODUCT((Апрель[№]=3)*Апрель[14],OFFSET(Апрель[Объем],-2,0))</f>
        <v>0</v>
      </c>
      <c r="S15" s="23">
        <f ca="1">SUMPRODUCT((Апрель[№]=3)*Апрель[15],OFFSET(Апрель[Объем],-2,0))</f>
        <v>0</v>
      </c>
      <c r="T15" s="23">
        <f ca="1">SUMPRODUCT((Апрель[№]=3)*Апрель[16],OFFSET(Апрель[Объем],-2,0))</f>
        <v>0</v>
      </c>
      <c r="U15" s="23">
        <f ca="1">SUMPRODUCT((Апрель[№]=3)*Апрель[17],OFFSET(Апрель[Объем],-2,0))</f>
        <v>0</v>
      </c>
      <c r="V15" s="23">
        <f ca="1">SUMPRODUCT((Апрель[№]=3)*Апрель[18],OFFSET(Апрель[Объем],-2,0))</f>
        <v>0</v>
      </c>
      <c r="W15" s="23">
        <f ca="1">SUMPRODUCT((Апрель[№]=3)*Апрель[19],OFFSET(Апрель[Объем],-2,0))</f>
        <v>0</v>
      </c>
      <c r="X15" s="23">
        <f ca="1">SUMPRODUCT((Апрель[№]=3)*Апрель[20],OFFSET(Апрель[Объем],-2,0))</f>
        <v>0</v>
      </c>
      <c r="Y15" s="23">
        <f ca="1">SUMPRODUCT((Апрель[№]=3)*Апрель[21],OFFSET(Апрель[Объем],-2,0))</f>
        <v>0</v>
      </c>
      <c r="Z15" s="23">
        <f ca="1">SUMPRODUCT((Апрель[№]=3)*Апрель[22],OFFSET(Апрель[Объем],-2,0))</f>
        <v>0</v>
      </c>
      <c r="AA15" s="23">
        <f ca="1">SUMPRODUCT((Апрель[№]=3)*Апрель[23],OFFSET(Апрель[Объем],-2,0))</f>
        <v>0</v>
      </c>
      <c r="AB15" s="23">
        <f ca="1">SUMPRODUCT((Апрель[№]=3)*Апрель[24],OFFSET(Апрель[Объем],-2,0))</f>
        <v>0</v>
      </c>
      <c r="AC15" s="23">
        <f ca="1">SUMPRODUCT((Апрель[№]=3)*Апрель[25],OFFSET(Апрель[Объем],-2,0))</f>
        <v>0</v>
      </c>
      <c r="AD15" s="23">
        <f ca="1">SUMPRODUCT((Апрель[№]=3)*Апрель[26],OFFSET(Апрель[Объем],-2,0))</f>
        <v>0</v>
      </c>
      <c r="AE15" s="23">
        <f ca="1">SUMPRODUCT((Апрель[№]=3)*Апрель[27],OFFSET(Апрель[Объем],-2,0))</f>
        <v>0</v>
      </c>
      <c r="AF15" s="23">
        <f ca="1">SUMPRODUCT((Апрель[№]=3)*Апрель[28],OFFSET(Апрель[Объем],-2,0))</f>
        <v>0</v>
      </c>
      <c r="AG15" s="23">
        <f ca="1">SUMPRODUCT((Апрель[№]=3)*Апрель[29],OFFSET(Апрель[Объем],-2,0))</f>
        <v>0</v>
      </c>
      <c r="AH15" s="23">
        <f ca="1">SUMPRODUCT((Апрель[№]=3)*Апрель[30],OFFSET(Апрель[Объем],-2,0))</f>
        <v>0</v>
      </c>
      <c r="AJ15" s="9"/>
    </row>
    <row r="16" spans="1:37" x14ac:dyDescent="0.25">
      <c r="B16" s="3">
        <f ca="1">SUMPRODUCT((Настройки!$G$24:$AJ$24=4)*E16:AH16)</f>
        <v>0</v>
      </c>
      <c r="D16" s="5"/>
      <c r="E16" s="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J16" s="9"/>
    </row>
    <row r="17" spans="1:36" x14ac:dyDescent="0.25">
      <c r="B17" s="3">
        <f ca="1">SUMPRODUCT((Настройки!$G$24:$AJ$24=5)*E16:AH16)</f>
        <v>0</v>
      </c>
      <c r="C17" s="5">
        <f ca="1">АпрельИтоги[[#This Row],[№]]*60</f>
        <v>0</v>
      </c>
      <c r="D17" s="7">
        <f ca="1">SUM(АпрельИтоги[[#This Row],[1]:[30]])</f>
        <v>0</v>
      </c>
      <c r="E17" s="6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5">
        <f ca="1">SUM(Апрель[УСЛУГ])</f>
        <v>0</v>
      </c>
      <c r="AJ17" s="15">
        <f ca="1">SUM(Апрель[МИНУТ])</f>
        <v>0</v>
      </c>
    </row>
    <row r="18" spans="1:36" x14ac:dyDescent="0.25">
      <c r="B18" s="13">
        <f ca="1">SUMPRODUCT((Настройки!$G$24:$AJ$24=6)*E16:AH16)</f>
        <v>0</v>
      </c>
      <c r="C18" s="13"/>
      <c r="D18" s="7"/>
      <c r="E18" s="13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13"/>
      <c r="AJ18" s="45"/>
    </row>
    <row r="20" spans="1:36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69"/>
      <c r="AI20" s="63" t="s">
        <v>64</v>
      </c>
      <c r="AJ20" s="63" t="s">
        <v>64</v>
      </c>
    </row>
    <row r="21" spans="1:36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78"/>
      <c r="AI21" s="63"/>
      <c r="AJ21" s="63"/>
    </row>
    <row r="22" spans="1:36" x14ac:dyDescent="0.25">
      <c r="A22" s="73"/>
      <c r="B22" s="73"/>
      <c r="C22" s="74"/>
      <c r="D22" s="76"/>
      <c r="E22" s="21">
        <f>Настройки!G10</f>
        <v>45383</v>
      </c>
      <c r="F22" s="21">
        <f>Настройки!H10</f>
        <v>45384</v>
      </c>
      <c r="G22" s="21">
        <f>Настройки!I10</f>
        <v>45385</v>
      </c>
      <c r="H22" s="21">
        <f>Настройки!J10</f>
        <v>45386</v>
      </c>
      <c r="I22" s="21">
        <f>Настройки!K10</f>
        <v>45387</v>
      </c>
      <c r="J22" s="21">
        <f>Настройки!L10</f>
        <v>45388</v>
      </c>
      <c r="K22" s="21">
        <f>Настройки!M10</f>
        <v>45389</v>
      </c>
      <c r="L22" s="21">
        <f>Настройки!N10</f>
        <v>45390</v>
      </c>
      <c r="M22" s="21">
        <f>Настройки!O10</f>
        <v>45391</v>
      </c>
      <c r="N22" s="21">
        <f>Настройки!P10</f>
        <v>45392</v>
      </c>
      <c r="O22" s="21">
        <f>Настройки!Q10</f>
        <v>45393</v>
      </c>
      <c r="P22" s="21">
        <f>Настройки!R10</f>
        <v>45394</v>
      </c>
      <c r="Q22" s="21">
        <f>Настройки!S10</f>
        <v>45395</v>
      </c>
      <c r="R22" s="21">
        <f>Настройки!T10</f>
        <v>45396</v>
      </c>
      <c r="S22" s="21">
        <f>Настройки!U10</f>
        <v>45397</v>
      </c>
      <c r="T22" s="21">
        <f>Настройки!V10</f>
        <v>45398</v>
      </c>
      <c r="U22" s="21">
        <f>Настройки!W10</f>
        <v>45399</v>
      </c>
      <c r="V22" s="21">
        <f>Настройки!X10</f>
        <v>45400</v>
      </c>
      <c r="W22" s="21">
        <f>Настройки!Y10</f>
        <v>45401</v>
      </c>
      <c r="X22" s="21">
        <f>Настройки!Z10</f>
        <v>45402</v>
      </c>
      <c r="Y22" s="21">
        <f>Настройки!AA10</f>
        <v>45403</v>
      </c>
      <c r="Z22" s="21">
        <f>Настройки!AB10</f>
        <v>45404</v>
      </c>
      <c r="AA22" s="21">
        <f>Настройки!AC10</f>
        <v>45405</v>
      </c>
      <c r="AB22" s="21">
        <f>Настройки!AD10</f>
        <v>45406</v>
      </c>
      <c r="AC22" s="21">
        <f>Настройки!AE10</f>
        <v>45407</v>
      </c>
      <c r="AD22" s="21">
        <f>Настройки!AF10</f>
        <v>45408</v>
      </c>
      <c r="AE22" s="21">
        <f>Настройки!AG10</f>
        <v>45409</v>
      </c>
      <c r="AF22" s="21">
        <f>Настройки!AH10</f>
        <v>45410</v>
      </c>
      <c r="AG22" s="21">
        <f>Настройки!AI10</f>
        <v>45411</v>
      </c>
      <c r="AH22" s="21">
        <f>Настройки!AJ10</f>
        <v>45412</v>
      </c>
      <c r="AI22" s="63"/>
      <c r="AJ22" s="63"/>
    </row>
    <row r="23" spans="1:36" x14ac:dyDescent="0.25">
      <c r="A23" s="73"/>
      <c r="B23" s="73"/>
      <c r="C23" s="74"/>
      <c r="D23" s="76"/>
      <c r="E23" s="68" t="s">
        <v>54</v>
      </c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85"/>
      <c r="AI23" s="63"/>
      <c r="AJ23" s="63"/>
    </row>
    <row r="24" spans="1:36" x14ac:dyDescent="0.25">
      <c r="A24" s="73"/>
      <c r="B24" s="73"/>
      <c r="C24" s="74"/>
      <c r="D24" s="76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87"/>
      <c r="AI24" s="63"/>
      <c r="AJ24" s="63"/>
    </row>
    <row r="25" spans="1:36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62</v>
      </c>
      <c r="AJ25" s="3" t="s">
        <v>63</v>
      </c>
    </row>
    <row r="26" spans="1:36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5">
        <f ca="1">IF(Апрель[[#This Row],[№]]=1,SUM(Апрель[[#This Row],[1]:[30]])+SUM(OFFSET(Апрель[[#This Row],[1]:[30]],1,0))+SUM(OFFSET(Апрель[[#This Row],[1]:[30]],2,0)),"")</f>
        <v>0</v>
      </c>
      <c r="AJ26" s="5">
        <f ca="1">IF(Апрель[[#This Row],[УСЛУГ]]&lt;&gt;"",Апрель[[#This Row],[УСЛУГ]]*Апрель[[#This Row],[Объем]],"")</f>
        <v>0</v>
      </c>
    </row>
    <row r="27" spans="1:36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5" t="str">
        <f ca="1">IF(Апрель[[#This Row],[№]]=1,SUM(Апрель[[#This Row],[1]:[30]])+SUM(OFFSET(Апрель[[#This Row],[1]:[30]],1,0))+SUM(OFFSET(Апрель[[#This Row],[1]:[30]],2,0)),"")</f>
        <v/>
      </c>
      <c r="AJ27" s="5" t="str">
        <f ca="1">IF(Апрель[[#This Row],[УСЛУГ]]&lt;&gt;"",Апрель[[#This Row],[УСЛУГ]]*Апрель[[#This Row],[Объем]],"")</f>
        <v/>
      </c>
    </row>
    <row r="28" spans="1:36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5" t="str">
        <f ca="1">IF(Апрель[[#This Row],[№]]=1,SUM(Апрель[[#This Row],[1]:[30]])+SUM(OFFSET(Апрель[[#This Row],[1]:[30]],1,0))+SUM(OFFSET(Апрель[[#This Row],[1]:[30]],2,0)),"")</f>
        <v/>
      </c>
      <c r="AJ28" s="5" t="str">
        <f ca="1">IF(Апрель[[#This Row],[УСЛУГ]]&lt;&gt;"",Апрель[[#This Row],[УСЛУГ]]*Апрель[[#This Row],[Объем]],"")</f>
        <v/>
      </c>
    </row>
  </sheetData>
  <mergeCells count="20">
    <mergeCell ref="A2:AJ2"/>
    <mergeCell ref="A3:AJ3"/>
    <mergeCell ref="J4:L4"/>
    <mergeCell ref="M4:U4"/>
    <mergeCell ref="M5:Q5"/>
    <mergeCell ref="AI7:AI11"/>
    <mergeCell ref="AJ7:AJ11"/>
    <mergeCell ref="E10:AH11"/>
    <mergeCell ref="A20:A24"/>
    <mergeCell ref="B20:C24"/>
    <mergeCell ref="D20:D24"/>
    <mergeCell ref="E20:AH21"/>
    <mergeCell ref="AI20:AI24"/>
    <mergeCell ref="AJ20:AJ24"/>
    <mergeCell ref="E23:AH24"/>
    <mergeCell ref="A7:A11"/>
    <mergeCell ref="B7:B11"/>
    <mergeCell ref="C7:C11"/>
    <mergeCell ref="D7:D11"/>
    <mergeCell ref="E7:AH8"/>
  </mergeCells>
  <conditionalFormatting sqref="E9:AH9">
    <cfRule type="expression" dxfId="979" priority="2">
      <formula>WEEKDAY(E9:AH9,2)&gt;5</formula>
    </cfRule>
  </conditionalFormatting>
  <conditionalFormatting sqref="E22:AH22">
    <cfRule type="expression" dxfId="978" priority="1">
      <formula>WEEKDAY(E22:AH22,2)&gt;5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2" fitToHeight="0" orientation="landscape" horizontalDpi="300" verticalDpi="300" r:id="rId1"/>
  <ignoredErrors>
    <ignoredError sqref="E13 AI17:AJ17 B13:B18 E16:E17 E14:E15" calculatedColumn="1"/>
  </ignoredErrors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  <pageSetUpPr fitToPage="1"/>
  </sheetPr>
  <dimension ref="A2:AF29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137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Настройки!G10</f>
        <v>45383</v>
      </c>
      <c r="C10" s="29">
        <f>Настройки!H10</f>
        <v>45384</v>
      </c>
      <c r="D10" s="29">
        <f>Настройки!I10</f>
        <v>45385</v>
      </c>
      <c r="E10" s="29">
        <f>Настройки!J10</f>
        <v>45386</v>
      </c>
      <c r="F10" s="29">
        <f>Настройки!K10</f>
        <v>45387</v>
      </c>
      <c r="G10" s="29">
        <f>Настройки!L10</f>
        <v>45388</v>
      </c>
      <c r="H10" s="29">
        <f>Настройки!M10</f>
        <v>45389</v>
      </c>
      <c r="I10" s="29">
        <f>Настройки!N10</f>
        <v>45390</v>
      </c>
      <c r="J10" s="29">
        <f>Настройки!O10</f>
        <v>45391</v>
      </c>
      <c r="K10" s="29">
        <f>Настройки!P10</f>
        <v>45392</v>
      </c>
      <c r="L10" s="29">
        <f>Настройки!Q10</f>
        <v>45393</v>
      </c>
      <c r="M10" s="29">
        <f>Настройки!R10</f>
        <v>45394</v>
      </c>
      <c r="N10" s="29">
        <f>Настройки!S10</f>
        <v>45395</v>
      </c>
      <c r="O10" s="29">
        <f>Настройки!T10</f>
        <v>45396</v>
      </c>
      <c r="P10" s="29">
        <f>Настройки!U10</f>
        <v>45397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IF(Настройки!J2&lt;&gt;"",TEXT(MIN(Настройки!G54:AJ54,Настройки!J2),"ч:мм")&amp;"-"&amp;TEXT(MAX(Настройки!G54:AJ54,Настройки!J2)+TIME(0,MAX(Апрель!E13:AH13),0),"ч:мм"),"")</f>
        <v>9:00-9:00</v>
      </c>
      <c r="B14" s="30" t="str">
        <f>IF(TEXT(IF(Настройки!G54="",TEXT(Настройки!$J2,"ч:мм"),TEXT(Настройки!G54,"ч:мм"))+TIME(0,Апрель!E13,0),"ч::мм")=TEXT(IF(Настройки!G54="",TEXT(Настройки!$J2,"ч:мм"),TEXT(Настройки!G54,"ч:мм")),"ч:мм"),"",TEXT(IF(Настройки!G54="",TEXT(Настройки!$J2,"ч:мм"),TEXT(Настройки!G54,"ч:мм")),"ч:мм")&amp;"-"&amp;TEXT(IF(Настройки!G54="",TEXT(Настройки!$J2,"ч:мм"),TEXT(Настройки!G54,"ч:мм"))+TIME(0,Апрель!E13,0),"ч::мм"))</f>
        <v/>
      </c>
      <c r="C14" s="30" t="str">
        <f>IF(TEXT(IF(Настройки!H54="",TEXT(Настройки!$J2,"ч:мм"),TEXT(Настройки!H54,"ч:мм"))+TIME(0,Апрель!F13,0),"ч::мм")=TEXT(IF(Настройки!H54="",TEXT(Настройки!$J2,"ч:мм"),TEXT(Настройки!H54,"ч:мм")),"ч:мм"),"",TEXT(IF(Настройки!H54="",TEXT(Настройки!$J2,"ч:мм"),TEXT(Настройки!H54,"ч:мм")),"ч:мм")&amp;"-"&amp;TEXT(IF(Настройки!H54="",TEXT(Настройки!$J2,"ч:мм"),TEXT(Настройки!H54,"ч:мм"))+TIME(0,Апрель!F13,0),"ч::мм"))</f>
        <v/>
      </c>
      <c r="D14" s="30" t="str">
        <f>IF(TEXT(IF(Настройки!I54="",TEXT(Настройки!$J2,"ч:мм"),TEXT(Настройки!I54,"ч:мм"))+TIME(0,Апрель!G13,0),"ч::мм")=TEXT(IF(Настройки!I54="",TEXT(Настройки!$J2,"ч:мм"),TEXT(Настройки!I54,"ч:мм")),"ч:мм"),"",TEXT(IF(Настройки!I54="",TEXT(Настройки!$J2,"ч:мм"),TEXT(Настройки!I54,"ч:мм")),"ч:мм")&amp;"-"&amp;TEXT(IF(Настройки!I54="",TEXT(Настройки!$J2,"ч:мм"),TEXT(Настройки!I54,"ч:мм"))+TIME(0,Апрель!G13,0),"ч::мм"))</f>
        <v/>
      </c>
      <c r="E14" s="30" t="str">
        <f>IF(TEXT(IF(Настройки!J54="",TEXT(Настройки!$J2,"ч:мм"),TEXT(Настройки!J54,"ч:мм"))+TIME(0,Апрель!H13,0),"ч::мм")=TEXT(IF(Настройки!J54="",TEXT(Настройки!$J2,"ч:мм"),TEXT(Настройки!J54,"ч:мм")),"ч:мм"),"",TEXT(IF(Настройки!J54="",TEXT(Настройки!$J2,"ч:мм"),TEXT(Настройки!J54,"ч:мм")),"ч:мм")&amp;"-"&amp;TEXT(IF(Настройки!J54="",TEXT(Настройки!$J2,"ч:мм"),TEXT(Настройки!J54,"ч:мм"))+TIME(0,Апрель!H13,0),"ч::мм"))</f>
        <v/>
      </c>
      <c r="F14" s="30" t="str">
        <f>IF(TEXT(IF(Настройки!K54="",TEXT(Настройки!$J2,"ч:мм"),TEXT(Настройки!K54,"ч:мм"))+TIME(0,Апрель!I13,0),"ч::мм")=TEXT(IF(Настройки!K54="",TEXT(Настройки!$J2,"ч:мм"),TEXT(Настройки!K54,"ч:мм")),"ч:мм"),"",TEXT(IF(Настройки!K54="",TEXT(Настройки!$J2,"ч:мм"),TEXT(Настройки!K54,"ч:мм")),"ч:мм")&amp;"-"&amp;TEXT(IF(Настройки!K54="",TEXT(Настройки!$J2,"ч:мм"),TEXT(Настройки!K54,"ч:мм"))+TIME(0,Апрель!I13,0),"ч::мм"))</f>
        <v/>
      </c>
      <c r="G14" s="30" t="str">
        <f>IF(TEXT(IF(Настройки!L54="",TEXT(Настройки!$J2,"ч:мм"),TEXT(Настройки!L54,"ч:мм"))+TIME(0,Апрель!J13,0),"ч::мм")=TEXT(IF(Настройки!L54="",TEXT(Настройки!$J2,"ч:мм"),TEXT(Настройки!L54,"ч:мм")),"ч:мм"),"",TEXT(IF(Настройки!L54="",TEXT(Настройки!$J2,"ч:мм"),TEXT(Настройки!L54,"ч:мм")),"ч:мм")&amp;"-"&amp;TEXT(IF(Настройки!L54="",TEXT(Настройки!$J2,"ч:мм"),TEXT(Настройки!L54,"ч:мм"))+TIME(0,Апрель!J13,0),"ч::мм"))</f>
        <v/>
      </c>
      <c r="H14" s="30" t="str">
        <f>IF(TEXT(IF(Настройки!M54="",TEXT(Настройки!$J2,"ч:мм"),TEXT(Настройки!M54,"ч:мм"))+TIME(0,Апрель!K13,0),"ч::мм")=TEXT(IF(Настройки!M54="",TEXT(Настройки!$J2,"ч:мм"),TEXT(Настройки!M54,"ч:мм")),"ч:мм"),"",TEXT(IF(Настройки!M54="",TEXT(Настройки!$J2,"ч:мм"),TEXT(Настройки!M54,"ч:мм")),"ч:мм")&amp;"-"&amp;TEXT(IF(Настройки!M54="",TEXT(Настройки!$J2,"ч:мм"),TEXT(Настройки!M54,"ч:мм"))+TIME(0,Апрель!K13,0),"ч::мм"))</f>
        <v/>
      </c>
      <c r="I14" s="30" t="str">
        <f>IF(TEXT(IF(Настройки!N54="",TEXT(Настройки!$J2,"ч:мм"),TEXT(Настройки!N54,"ч:мм"))+TIME(0,Апрель!L13,0),"ч::мм")=TEXT(IF(Настройки!N54="",TEXT(Настройки!$J2,"ч:мм"),TEXT(Настройки!N54,"ч:мм")),"ч:мм"),"",TEXT(IF(Настройки!N54="",TEXT(Настройки!$J2,"ч:мм"),TEXT(Настройки!N54,"ч:мм")),"ч:мм")&amp;"-"&amp;TEXT(IF(Настройки!N54="",TEXT(Настройки!$J2,"ч:мм"),TEXT(Настройки!N54,"ч:мм"))+TIME(0,Апрель!L13,0),"ч::мм"))</f>
        <v/>
      </c>
      <c r="J14" s="30" t="str">
        <f>IF(TEXT(IF(Настройки!O54="",TEXT(Настройки!$J2,"ч:мм"),TEXT(Настройки!O54,"ч:мм"))+TIME(0,Апрель!M13,0),"ч::мм")=TEXT(IF(Настройки!O54="",TEXT(Настройки!$J2,"ч:мм"),TEXT(Настройки!O54,"ч:мм")),"ч:мм"),"",TEXT(IF(Настройки!O54="",TEXT(Настройки!$J2,"ч:мм"),TEXT(Настройки!O54,"ч:мм")),"ч:мм")&amp;"-"&amp;TEXT(IF(Настройки!O54="",TEXT(Настройки!$J2,"ч:мм"),TEXT(Настройки!O54,"ч:мм"))+TIME(0,Апрель!M13,0),"ч::мм"))</f>
        <v/>
      </c>
      <c r="K14" s="30" t="str">
        <f>IF(TEXT(IF(Настройки!P54="",TEXT(Настройки!$J2,"ч:мм"),TEXT(Настройки!P54,"ч:мм"))+TIME(0,Апрель!N13,0),"ч::мм")=TEXT(IF(Настройки!P54="",TEXT(Настройки!$J2,"ч:мм"),TEXT(Настройки!P54,"ч:мм")),"ч:мм"),"",TEXT(IF(Настройки!P54="",TEXT(Настройки!$J2,"ч:мм"),TEXT(Настройки!P54,"ч:мм")),"ч:мм")&amp;"-"&amp;TEXT(IF(Настройки!P54="",TEXT(Настройки!$J2,"ч:мм"),TEXT(Настройки!P54,"ч:мм"))+TIME(0,Апрель!N13,0),"ч::мм"))</f>
        <v/>
      </c>
      <c r="L14" s="30" t="str">
        <f>IF(TEXT(IF(Настройки!Q54="",TEXT(Настройки!$J2,"ч:мм"),TEXT(Настройки!Q54,"ч:мм"))+TIME(0,Апрель!O13,0),"ч::мм")=TEXT(IF(Настройки!Q54="",TEXT(Настройки!$J2,"ч:мм"),TEXT(Настройки!Q54,"ч:мм")),"ч:мм"),"",TEXT(IF(Настройки!Q54="",TEXT(Настройки!$J2,"ч:мм"),TEXT(Настройки!Q54,"ч:мм")),"ч:мм")&amp;"-"&amp;TEXT(IF(Настройки!Q54="",TEXT(Настройки!$J2,"ч:мм"),TEXT(Настройки!Q54,"ч:мм"))+TIME(0,Апрель!O13,0),"ч::мм"))</f>
        <v/>
      </c>
      <c r="M14" s="30" t="str">
        <f>IF(TEXT(IF(Настройки!R54="",TEXT(Настройки!$J2,"ч:мм"),TEXT(Настройки!R54,"ч:мм"))+TIME(0,Апрель!P13,0),"ч::мм")=TEXT(IF(Настройки!R54="",TEXT(Настройки!$J2,"ч:мм"),TEXT(Настройки!R54,"ч:мм")),"ч:мм"),"",TEXT(IF(Настройки!R54="",TEXT(Настройки!$J2,"ч:мм"),TEXT(Настройки!R54,"ч:мм")),"ч:мм")&amp;"-"&amp;TEXT(IF(Настройки!R54="",TEXT(Настройки!$J2,"ч:мм"),TEXT(Настройки!R54,"ч:мм"))+TIME(0,Апрель!P13,0),"ч::мм"))</f>
        <v/>
      </c>
      <c r="N14" s="30" t="str">
        <f>IF(TEXT(IF(Настройки!S54="",TEXT(Настройки!$J2,"ч:мм"),TEXT(Настройки!S54,"ч:мм"))+TIME(0,Апрель!Q13,0),"ч::мм")=TEXT(IF(Настройки!S54="",TEXT(Настройки!$J2,"ч:мм"),TEXT(Настройки!S54,"ч:мм")),"ч:мм"),"",TEXT(IF(Настройки!S54="",TEXT(Настройки!$J2,"ч:мм"),TEXT(Настройки!S54,"ч:мм")),"ч:мм")&amp;"-"&amp;TEXT(IF(Настройки!S54="",TEXT(Настройки!$J2,"ч:мм"),TEXT(Настройки!S54,"ч:мм"))+TIME(0,Апрель!Q13,0),"ч::мм"))</f>
        <v/>
      </c>
      <c r="O14" s="30" t="str">
        <f>IF(TEXT(IF(Настройки!T54="",TEXT(Настройки!$J2,"ч:мм"),TEXT(Настройки!T54,"ч:мм"))+TIME(0,Апрель!R13,0),"ч::мм")=TEXT(IF(Настройки!T54="",TEXT(Настройки!$J2,"ч:мм"),TEXT(Настройки!T54,"ч:мм")),"ч:мм"),"",TEXT(IF(Настройки!T54="",TEXT(Настройки!$J2,"ч:мм"),TEXT(Настройки!T54,"ч:мм")),"ч:мм")&amp;"-"&amp;TEXT(IF(Настройки!T54="",TEXT(Настройки!$J2,"ч:мм"),TEXT(Настройки!T54,"ч:мм"))+TIME(0,Апрель!R13,0),"ч::мм"))</f>
        <v/>
      </c>
      <c r="P14" s="30" t="str">
        <f>IF(TEXT(IF(Настройки!U54="",TEXT(Настройки!$J2,"ч:мм"),TEXT(Настройки!U54,"ч:мм"))+TIME(0,Апрель!S13,0),"ч::мм")=TEXT(IF(Настройки!U54="",TEXT(Настройки!$J2,"ч:мм"),TEXT(Настройки!U54,"ч:мм")),"ч:мм"),"",TEXT(IF(Настройки!U54="",TEXT(Настройки!$J2,"ч:мм"),TEXT(Настройки!U54,"ч:мм")),"ч:мм")&amp;"-"&amp;TEXT(IF(Настройки!U54="",TEXT(Настройки!$J2,"ч:мм"),TEXT(Настройки!U54,"ч:мм"))+TIME(0,Апрель!S13,0),"ч::мм"))</f>
        <v/>
      </c>
      <c r="R14" s="30"/>
    </row>
    <row r="15" spans="1:32" x14ac:dyDescent="0.25">
      <c r="A15" s="32" t="str">
        <f ca="1">IF(Настройки!J3&lt;&gt;"",TEXT(MIN(Настройки!G55:AJ55,Настройки!J3),"ч:мм")&amp;"-"&amp;TEXT(MAX(Настройки!G55:AJ55,Настройки!J3)+TIME(0,MAX(Апрель!E14:AH14),0),"ч:мм"),"")</f>
        <v>13:00-13:00</v>
      </c>
      <c r="B15" s="30" t="str">
        <f ca="1">IF(TEXT(IF(Настройки!G55="",TEXT(Настройки!$J3,"ч:мм"),TEXT(Настройки!G55,"ч:мм"))+TIME(0,Апрель!E14,0),"ч::мм")=TEXT(IF(Настройки!G55="",TEXT(Настройки!$J3,"ч:мм"),TEXT(Настройки!G55,"ч:мм")),"ч:мм"),"",TEXT(IF(Настройки!G55="",TEXT(Настройки!$J3,"ч:мм"),TEXT(Настройки!G55,"ч:мм")),"ч:мм")&amp;"-"&amp;TEXT(IF(Настройки!G55="",TEXT(Настройки!$J3,"ч:мм"),TEXT(Настройки!G55,"ч:мм"))+TIME(0,Апрель!E14,0),"ч::мм"))</f>
        <v/>
      </c>
      <c r="C15" s="30" t="str">
        <f ca="1">IF(TEXT(IF(Настройки!H55="",TEXT(Настройки!$J3,"ч:мм"),TEXT(Настройки!H55,"ч:мм"))+TIME(0,Апрель!F14,0),"ч::мм")=TEXT(IF(Настройки!H55="",TEXT(Настройки!$J3,"ч:мм"),TEXT(Настройки!H55,"ч:мм")),"ч:мм"),"",TEXT(IF(Настройки!H55="",TEXT(Настройки!$J3,"ч:мм"),TEXT(Настройки!H55,"ч:мм")),"ч:мм")&amp;"-"&amp;TEXT(IF(Настройки!H55="",TEXT(Настройки!$J3,"ч:мм"),TEXT(Настройки!H55,"ч:мм"))+TIME(0,Апрель!F14,0),"ч::мм"))</f>
        <v/>
      </c>
      <c r="D15" s="30" t="str">
        <f ca="1">IF(TEXT(IF(Настройки!I55="",TEXT(Настройки!$J3,"ч:мм"),TEXT(Настройки!I55,"ч:мм"))+TIME(0,Апрель!G14,0),"ч::мм")=TEXT(IF(Настройки!I55="",TEXT(Настройки!$J3,"ч:мм"),TEXT(Настройки!I55,"ч:мм")),"ч:мм"),"",TEXT(IF(Настройки!I55="",TEXT(Настройки!$J3,"ч:мм"),TEXT(Настройки!I55,"ч:мм")),"ч:мм")&amp;"-"&amp;TEXT(IF(Настройки!I55="",TEXT(Настройки!$J3,"ч:мм"),TEXT(Настройки!I55,"ч:мм"))+TIME(0,Апрель!G14,0),"ч::мм"))</f>
        <v/>
      </c>
      <c r="E15" s="30" t="str">
        <f ca="1">IF(TEXT(IF(Настройки!J55="",TEXT(Настройки!$J3,"ч:мм"),TEXT(Настройки!J55,"ч:мм"))+TIME(0,Апрель!H14,0),"ч::мм")=TEXT(IF(Настройки!J55="",TEXT(Настройки!$J3,"ч:мм"),TEXT(Настройки!J55,"ч:мм")),"ч:мм"),"",TEXT(IF(Настройки!J55="",TEXT(Настройки!$J3,"ч:мм"),TEXT(Настройки!J55,"ч:мм")),"ч:мм")&amp;"-"&amp;TEXT(IF(Настройки!J55="",TEXT(Настройки!$J3,"ч:мм"),TEXT(Настройки!J55,"ч:мм"))+TIME(0,Апрель!H14,0),"ч::мм"))</f>
        <v/>
      </c>
      <c r="F15" s="30" t="str">
        <f ca="1">IF(TEXT(IF(Настройки!K55="",TEXT(Настройки!$J3,"ч:мм"),TEXT(Настройки!K55,"ч:мм"))+TIME(0,Апрель!I14,0),"ч::мм")=TEXT(IF(Настройки!K55="",TEXT(Настройки!$J3,"ч:мм"),TEXT(Настройки!K55,"ч:мм")),"ч:мм"),"",TEXT(IF(Настройки!K55="",TEXT(Настройки!$J3,"ч:мм"),TEXT(Настройки!K55,"ч:мм")),"ч:мм")&amp;"-"&amp;TEXT(IF(Настройки!K55="",TEXT(Настройки!$J3,"ч:мм"),TEXT(Настройки!K55,"ч:мм"))+TIME(0,Апрель!I14,0),"ч::мм"))</f>
        <v/>
      </c>
      <c r="G15" s="30" t="str">
        <f ca="1">IF(TEXT(IF(Настройки!L55="",TEXT(Настройки!$J3,"ч:мм"),TEXT(Настройки!L55,"ч:мм"))+TIME(0,Апрель!J14,0),"ч::мм")=TEXT(IF(Настройки!L55="",TEXT(Настройки!$J3,"ч:мм"),TEXT(Настройки!L55,"ч:мм")),"ч:мм"),"",TEXT(IF(Настройки!L55="",TEXT(Настройки!$J3,"ч:мм"),TEXT(Настройки!L55,"ч:мм")),"ч:мм")&amp;"-"&amp;TEXT(IF(Настройки!L55="",TEXT(Настройки!$J3,"ч:мм"),TEXT(Настройки!L55,"ч:мм"))+TIME(0,Апрель!J14,0),"ч::мм"))</f>
        <v/>
      </c>
      <c r="H15" s="30" t="str">
        <f ca="1">IF(TEXT(IF(Настройки!M55="",TEXT(Настройки!$J3,"ч:мм"),TEXT(Настройки!M55,"ч:мм"))+TIME(0,Апрель!K14,0),"ч::мм")=TEXT(IF(Настройки!M55="",TEXT(Настройки!$J3,"ч:мм"),TEXT(Настройки!M55,"ч:мм")),"ч:мм"),"",TEXT(IF(Настройки!M55="",TEXT(Настройки!$J3,"ч:мм"),TEXT(Настройки!M55,"ч:мм")),"ч:мм")&amp;"-"&amp;TEXT(IF(Настройки!M55="",TEXT(Настройки!$J3,"ч:мм"),TEXT(Настройки!M55,"ч:мм"))+TIME(0,Апрель!K14,0),"ч::мм"))</f>
        <v/>
      </c>
      <c r="I15" s="30" t="str">
        <f ca="1">IF(TEXT(IF(Настройки!N55="",TEXT(Настройки!$J3,"ч:мм"),TEXT(Настройки!N55,"ч:мм"))+TIME(0,Апрель!L14,0),"ч::мм")=TEXT(IF(Настройки!N55="",TEXT(Настройки!$J3,"ч:мм"),TEXT(Настройки!N55,"ч:мм")),"ч:мм"),"",TEXT(IF(Настройки!N55="",TEXT(Настройки!$J3,"ч:мм"),TEXT(Настройки!N55,"ч:мм")),"ч:мм")&amp;"-"&amp;TEXT(IF(Настройки!N55="",TEXT(Настройки!$J3,"ч:мм"),TEXT(Настройки!N55,"ч:мм"))+TIME(0,Апрель!L14,0),"ч::мм"))</f>
        <v/>
      </c>
      <c r="J15" s="30" t="str">
        <f ca="1">IF(TEXT(IF(Настройки!O55="",TEXT(Настройки!$J3,"ч:мм"),TEXT(Настройки!O55,"ч:мм"))+TIME(0,Апрель!M14,0),"ч::мм")=TEXT(IF(Настройки!O55="",TEXT(Настройки!$J3,"ч:мм"),TEXT(Настройки!O55,"ч:мм")),"ч:мм"),"",TEXT(IF(Настройки!O55="",TEXT(Настройки!$J3,"ч:мм"),TEXT(Настройки!O55,"ч:мм")),"ч:мм")&amp;"-"&amp;TEXT(IF(Настройки!O55="",TEXT(Настройки!$J3,"ч:мм"),TEXT(Настройки!O55,"ч:мм"))+TIME(0,Апрель!M14,0),"ч::мм"))</f>
        <v/>
      </c>
      <c r="K15" s="30" t="str">
        <f ca="1">IF(TEXT(IF(Настройки!P55="",TEXT(Настройки!$J3,"ч:мм"),TEXT(Настройки!P55,"ч:мм"))+TIME(0,Апрель!N14,0),"ч::мм")=TEXT(IF(Настройки!P55="",TEXT(Настройки!$J3,"ч:мм"),TEXT(Настройки!P55,"ч:мм")),"ч:мм"),"",TEXT(IF(Настройки!P55="",TEXT(Настройки!$J3,"ч:мм"),TEXT(Настройки!P55,"ч:мм")),"ч:мм")&amp;"-"&amp;TEXT(IF(Настройки!P55="",TEXT(Настройки!$J3,"ч:мм"),TEXT(Настройки!P55,"ч:мм"))+TIME(0,Апрель!N14,0),"ч::мм"))</f>
        <v/>
      </c>
      <c r="L15" s="30" t="str">
        <f ca="1">IF(TEXT(IF(Настройки!Q55="",TEXT(Настройки!$J3,"ч:мм"),TEXT(Настройки!Q55,"ч:мм"))+TIME(0,Апрель!O14,0),"ч::мм")=TEXT(IF(Настройки!Q55="",TEXT(Настройки!$J3,"ч:мм"),TEXT(Настройки!Q55,"ч:мм")),"ч:мм"),"",TEXT(IF(Настройки!Q55="",TEXT(Настройки!$J3,"ч:мм"),TEXT(Настройки!Q55,"ч:мм")),"ч:мм")&amp;"-"&amp;TEXT(IF(Настройки!Q55="",TEXT(Настройки!$J3,"ч:мм"),TEXT(Настройки!Q55,"ч:мм"))+TIME(0,Апрель!O14,0),"ч::мм"))</f>
        <v/>
      </c>
      <c r="M15" s="30" t="str">
        <f ca="1">IF(TEXT(IF(Настройки!R55="",TEXT(Настройки!$J3,"ч:мм"),TEXT(Настройки!R55,"ч:мм"))+TIME(0,Апрель!P14,0),"ч::мм")=TEXT(IF(Настройки!R55="",TEXT(Настройки!$J3,"ч:мм"),TEXT(Настройки!R55,"ч:мм")),"ч:мм"),"",TEXT(IF(Настройки!R55="",TEXT(Настройки!$J3,"ч:мм"),TEXT(Настройки!R55,"ч:мм")),"ч:мм")&amp;"-"&amp;TEXT(IF(Настройки!R55="",TEXT(Настройки!$J3,"ч:мм"),TEXT(Настройки!R55,"ч:мм"))+TIME(0,Апрель!P14,0),"ч::мм"))</f>
        <v/>
      </c>
      <c r="N15" s="30" t="str">
        <f ca="1">IF(TEXT(IF(Настройки!S55="",TEXT(Настройки!$J3,"ч:мм"),TEXT(Настройки!S55,"ч:мм"))+TIME(0,Апрель!Q14,0),"ч::мм")=TEXT(IF(Настройки!S55="",TEXT(Настройки!$J3,"ч:мм"),TEXT(Настройки!S55,"ч:мм")),"ч:мм"),"",TEXT(IF(Настройки!S55="",TEXT(Настройки!$J3,"ч:мм"),TEXT(Настройки!S55,"ч:мм")),"ч:мм")&amp;"-"&amp;TEXT(IF(Настройки!S55="",TEXT(Настройки!$J3,"ч:мм"),TEXT(Настройки!S55,"ч:мм"))+TIME(0,Апрель!Q14,0),"ч::мм"))</f>
        <v/>
      </c>
      <c r="O15" s="30" t="str">
        <f ca="1">IF(TEXT(IF(Настройки!T55="",TEXT(Настройки!$J3,"ч:мм"),TEXT(Настройки!T55,"ч:мм"))+TIME(0,Апрель!R14,0),"ч::мм")=TEXT(IF(Настройки!T55="",TEXT(Настройки!$J3,"ч:мм"),TEXT(Настройки!T55,"ч:мм")),"ч:мм"),"",TEXT(IF(Настройки!T55="",TEXT(Настройки!$J3,"ч:мм"),TEXT(Настройки!T55,"ч:мм")),"ч:мм")&amp;"-"&amp;TEXT(IF(Настройки!T55="",TEXT(Настройки!$J3,"ч:мм"),TEXT(Настройки!T55,"ч:мм"))+TIME(0,Апрель!R14,0),"ч::мм"))</f>
        <v/>
      </c>
      <c r="P15" s="30" t="str">
        <f ca="1">IF(TEXT(IF(Настройки!U55="",TEXT(Настройки!$J3,"ч:мм"),TEXT(Настройки!U55,"ч:мм"))+TIME(0,Апрель!S14,0),"ч::мм")=TEXT(IF(Настройки!U55="",TEXT(Настройки!$J3,"ч:мм"),TEXT(Настройки!U55,"ч:мм")),"ч:мм"),"",TEXT(IF(Настройки!U55="",TEXT(Настройки!$J3,"ч:мм"),TEXT(Настройки!U55,"ч:мм")),"ч:мм")&amp;"-"&amp;TEXT(IF(Настройки!U55="",TEXT(Настройки!$J3,"ч:мм"),TEXT(Настройки!U55,"ч:мм"))+TIME(0,Апрель!S14,0),"ч::мм"))</f>
        <v/>
      </c>
      <c r="S15" s="30"/>
    </row>
    <row r="16" spans="1:32" x14ac:dyDescent="0.25">
      <c r="A16" s="32" t="str">
        <f ca="1">IF(Настройки!J4&lt;&gt;"",TEXT(MIN(Настройки!G56:AJ56,Настройки!J4),"ч:мм")&amp;"-"&amp;TEXT(MAX(Настройки!G56:AJ56,Настройки!J4)+TIME(0,MAX(Апрель!E15:AH15),0),"ч:мм"),"")</f>
        <v>16:00-16:00</v>
      </c>
      <c r="B16" s="30" t="str">
        <f ca="1">IF(TEXT(IF(Настройки!G56="",TEXT(Настройки!$J4,"ч:мм"),TEXT(Настройки!G56,"ч:мм"))+TIME(0,Апрель!E15,0),"ч::мм")=TEXT(IF(Настройки!G56="",TEXT(Настройки!$J4,"ч:мм"),TEXT(Настройки!G56,"ч:мм")),"ч:мм"),"",TEXT(IF(Настройки!G56="",TEXT(Настройки!$J4,"ч:мм"),TEXT(Настройки!G56,"ч:мм")),"ч:мм")&amp;"-"&amp;TEXT(IF(Настройки!G56="",TEXT(Настройки!$J4,"ч:мм"),TEXT(Настройки!G56,"ч:мм"))+TIME(0,Апрель!E15,0),"ч::мм"))</f>
        <v/>
      </c>
      <c r="C16" s="30" t="str">
        <f ca="1">IF(TEXT(IF(Настройки!H56="",TEXT(Настройки!$J4,"ч:мм"),TEXT(Настройки!H56,"ч:мм"))+TIME(0,Апрель!F15,0),"ч::мм")=TEXT(IF(Настройки!H56="",TEXT(Настройки!$J4,"ч:мм"),TEXT(Настройки!H56,"ч:мм")),"ч:мм"),"",TEXT(IF(Настройки!H56="",TEXT(Настройки!$J4,"ч:мм"),TEXT(Настройки!H56,"ч:мм")),"ч:мм")&amp;"-"&amp;TEXT(IF(Настройки!H56="",TEXT(Настройки!$J4,"ч:мм"),TEXT(Настройки!H56,"ч:мм"))+TIME(0,Апрель!F15,0),"ч::мм"))</f>
        <v/>
      </c>
      <c r="D16" s="30" t="str">
        <f ca="1">IF(TEXT(IF(Настройки!I56="",TEXT(Настройки!$J4,"ч:мм"),TEXT(Настройки!I56,"ч:мм"))+TIME(0,Апрель!G15,0),"ч::мм")=TEXT(IF(Настройки!I56="",TEXT(Настройки!$J4,"ч:мм"),TEXT(Настройки!I56,"ч:мм")),"ч:мм"),"",TEXT(IF(Настройки!I56="",TEXT(Настройки!$J4,"ч:мм"),TEXT(Настройки!I56,"ч:мм")),"ч:мм")&amp;"-"&amp;TEXT(IF(Настройки!I56="",TEXT(Настройки!$J4,"ч:мм"),TEXT(Настройки!I56,"ч:мм"))+TIME(0,Апрель!G15,0),"ч::мм"))</f>
        <v/>
      </c>
      <c r="E16" s="30" t="str">
        <f ca="1">IF(TEXT(IF(Настройки!J56="",TEXT(Настройки!$J4,"ч:мм"),TEXT(Настройки!J56,"ч:мм"))+TIME(0,Апрель!H15,0),"ч::мм")=TEXT(IF(Настройки!J56="",TEXT(Настройки!$J4,"ч:мм"),TEXT(Настройки!J56,"ч:мм")),"ч:мм"),"",TEXT(IF(Настройки!J56="",TEXT(Настройки!$J4,"ч:мм"),TEXT(Настройки!J56,"ч:мм")),"ч:мм")&amp;"-"&amp;TEXT(IF(Настройки!J56="",TEXT(Настройки!$J4,"ч:мм"),TEXT(Настройки!J56,"ч:мм"))+TIME(0,Апрель!H15,0),"ч::мм"))</f>
        <v/>
      </c>
      <c r="F16" s="30" t="str">
        <f ca="1">IF(TEXT(IF(Настройки!K56="",TEXT(Настройки!$J4,"ч:мм"),TEXT(Настройки!K56,"ч:мм"))+TIME(0,Апрель!I15,0),"ч::мм")=TEXT(IF(Настройки!K56="",TEXT(Настройки!$J4,"ч:мм"),TEXT(Настройки!K56,"ч:мм")),"ч:мм"),"",TEXT(IF(Настройки!K56="",TEXT(Настройки!$J4,"ч:мм"),TEXT(Настройки!K56,"ч:мм")),"ч:мм")&amp;"-"&amp;TEXT(IF(Настройки!K56="",TEXT(Настройки!$J4,"ч:мм"),TEXT(Настройки!K56,"ч:мм"))+TIME(0,Апрель!I15,0),"ч::мм"))</f>
        <v/>
      </c>
      <c r="G16" s="30" t="str">
        <f ca="1">IF(TEXT(IF(Настройки!L56="",TEXT(Настройки!$J4,"ч:мм"),TEXT(Настройки!L56,"ч:мм"))+TIME(0,Апрель!J15,0),"ч::мм")=TEXT(IF(Настройки!L56="",TEXT(Настройки!$J4,"ч:мм"),TEXT(Настройки!L56,"ч:мм")),"ч:мм"),"",TEXT(IF(Настройки!L56="",TEXT(Настройки!$J4,"ч:мм"),TEXT(Настройки!L56,"ч:мм")),"ч:мм")&amp;"-"&amp;TEXT(IF(Настройки!L56="",TEXT(Настройки!$J4,"ч:мм"),TEXT(Настройки!L56,"ч:мм"))+TIME(0,Апрель!J15,0),"ч::мм"))</f>
        <v/>
      </c>
      <c r="H16" s="30" t="str">
        <f ca="1">IF(TEXT(IF(Настройки!M56="",TEXT(Настройки!$J4,"ч:мм"),TEXT(Настройки!M56,"ч:мм"))+TIME(0,Апрель!K15,0),"ч::мм")=TEXT(IF(Настройки!M56="",TEXT(Настройки!$J4,"ч:мм"),TEXT(Настройки!M56,"ч:мм")),"ч:мм"),"",TEXT(IF(Настройки!M56="",TEXT(Настройки!$J4,"ч:мм"),TEXT(Настройки!M56,"ч:мм")),"ч:мм")&amp;"-"&amp;TEXT(IF(Настройки!M56="",TEXT(Настройки!$J4,"ч:мм"),TEXT(Настройки!M56,"ч:мм"))+TIME(0,Апрель!K15,0),"ч::мм"))</f>
        <v/>
      </c>
      <c r="I16" s="30" t="str">
        <f ca="1">IF(TEXT(IF(Настройки!N56="",TEXT(Настройки!$J4,"ч:мм"),TEXT(Настройки!N56,"ч:мм"))+TIME(0,Апрель!L15,0),"ч::мм")=TEXT(IF(Настройки!N56="",TEXT(Настройки!$J4,"ч:мм"),TEXT(Настройки!N56,"ч:мм")),"ч:мм"),"",TEXT(IF(Настройки!N56="",TEXT(Настройки!$J4,"ч:мм"),TEXT(Настройки!N56,"ч:мм")),"ч:мм")&amp;"-"&amp;TEXT(IF(Настройки!N56="",TEXT(Настройки!$J4,"ч:мм"),TEXT(Настройки!N56,"ч:мм"))+TIME(0,Апрель!L15,0),"ч::мм"))</f>
        <v/>
      </c>
      <c r="J16" s="30" t="str">
        <f ca="1">IF(TEXT(IF(Настройки!O56="",TEXT(Настройки!$J4,"ч:мм"),TEXT(Настройки!O56,"ч:мм"))+TIME(0,Апрель!M15,0),"ч::мм")=TEXT(IF(Настройки!O56="",TEXT(Настройки!$J4,"ч:мм"),TEXT(Настройки!O56,"ч:мм")),"ч:мм"),"",TEXT(IF(Настройки!O56="",TEXT(Настройки!$J4,"ч:мм"),TEXT(Настройки!O56,"ч:мм")),"ч:мм")&amp;"-"&amp;TEXT(IF(Настройки!O56="",TEXT(Настройки!$J4,"ч:мм"),TEXT(Настройки!O56,"ч:мм"))+TIME(0,Апрель!M15,0),"ч::мм"))</f>
        <v/>
      </c>
      <c r="K16" s="30" t="str">
        <f ca="1">IF(TEXT(IF(Настройки!P56="",TEXT(Настройки!$J4,"ч:мм"),TEXT(Настройки!P56,"ч:мм"))+TIME(0,Апрель!N15,0),"ч::мм")=TEXT(IF(Настройки!P56="",TEXT(Настройки!$J4,"ч:мм"),TEXT(Настройки!P56,"ч:мм")),"ч:мм"),"",TEXT(IF(Настройки!P56="",TEXT(Настройки!$J4,"ч:мм"),TEXT(Настройки!P56,"ч:мм")),"ч:мм")&amp;"-"&amp;TEXT(IF(Настройки!P56="",TEXT(Настройки!$J4,"ч:мм"),TEXT(Настройки!P56,"ч:мм"))+TIME(0,Апрель!N15,0),"ч::мм"))</f>
        <v/>
      </c>
      <c r="L16" s="30" t="str">
        <f ca="1">IF(TEXT(IF(Настройки!Q56="",TEXT(Настройки!$J4,"ч:мм"),TEXT(Настройки!Q56,"ч:мм"))+TIME(0,Апрель!O15,0),"ч::мм")=TEXT(IF(Настройки!Q56="",TEXT(Настройки!$J4,"ч:мм"),TEXT(Настройки!Q56,"ч:мм")),"ч:мм"),"",TEXT(IF(Настройки!Q56="",TEXT(Настройки!$J4,"ч:мм"),TEXT(Настройки!Q56,"ч:мм")),"ч:мм")&amp;"-"&amp;TEXT(IF(Настройки!Q56="",TEXT(Настройки!$J4,"ч:мм"),TEXT(Настройки!Q56,"ч:мм"))+TIME(0,Апрель!O15,0),"ч::мм"))</f>
        <v/>
      </c>
      <c r="M16" s="30" t="str">
        <f ca="1">IF(TEXT(IF(Настройки!R56="",TEXT(Настройки!$J4,"ч:мм"),TEXT(Настройки!R56,"ч:мм"))+TIME(0,Апрель!P15,0),"ч::мм")=TEXT(IF(Настройки!R56="",TEXT(Настройки!$J4,"ч:мм"),TEXT(Настройки!R56,"ч:мм")),"ч:мм"),"",TEXT(IF(Настройки!R56="",TEXT(Настройки!$J4,"ч:мм"),TEXT(Настройки!R56,"ч:мм")),"ч:мм")&amp;"-"&amp;TEXT(IF(Настройки!R56="",TEXT(Настройки!$J4,"ч:мм"),TEXT(Настройки!R56,"ч:мм"))+TIME(0,Апрель!P15,0),"ч::мм"))</f>
        <v/>
      </c>
      <c r="N16" s="30" t="str">
        <f ca="1">IF(TEXT(IF(Настройки!S56="",TEXT(Настройки!$J4,"ч:мм"),TEXT(Настройки!S56,"ч:мм"))+TIME(0,Апрель!Q15,0),"ч::мм")=TEXT(IF(Настройки!S56="",TEXT(Настройки!$J4,"ч:мм"),TEXT(Настройки!S56,"ч:мм")),"ч:мм"),"",TEXT(IF(Настройки!S56="",TEXT(Настройки!$J4,"ч:мм"),TEXT(Настройки!S56,"ч:мм")),"ч:мм")&amp;"-"&amp;TEXT(IF(Настройки!S56="",TEXT(Настройки!$J4,"ч:мм"),TEXT(Настройки!S56,"ч:мм"))+TIME(0,Апрель!Q15,0),"ч::мм"))</f>
        <v/>
      </c>
      <c r="O16" s="30" t="str">
        <f ca="1">IF(TEXT(IF(Настройки!T56="",TEXT(Настройки!$J4,"ч:мм"),TEXT(Настройки!T56,"ч:мм"))+TIME(0,Апрель!R15,0),"ч::мм")=TEXT(IF(Настройки!T56="",TEXT(Настройки!$J4,"ч:мм"),TEXT(Настройки!T56,"ч:мм")),"ч:мм"),"",TEXT(IF(Настройки!T56="",TEXT(Настройки!$J4,"ч:мм"),TEXT(Настройки!T56,"ч:мм")),"ч:мм")&amp;"-"&amp;TEXT(IF(Настройки!T56="",TEXT(Настройки!$J4,"ч:мм"),TEXT(Настройки!T56,"ч:мм"))+TIME(0,Апрель!R15,0),"ч::мм"))</f>
        <v/>
      </c>
      <c r="P16" s="30" t="str">
        <f ca="1">IF(TEXT(IF(Настройки!U56="",TEXT(Настройки!$J4,"ч:мм"),TEXT(Настройки!U56,"ч:мм"))+TIME(0,Апрель!S15,0),"ч::мм")=TEXT(IF(Настройки!U56="",TEXT(Настройки!$J4,"ч:мм"),TEXT(Настройки!U56,"ч:мм")),"ч:мм"),"",TEXT(IF(Настройки!U56="",TEXT(Настройки!$J4,"ч:мм"),TEXT(Настройки!U56,"ч:мм")),"ч:мм")&amp;"-"&amp;TEXT(IF(Настройки!U56="",TEXT(Настройки!$J4,"ч:мм"),TEXT(Настройки!U56,"ч:мм"))+TIME(0,Апрель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Настройки!V10</f>
        <v>45398</v>
      </c>
      <c r="C20" s="29">
        <f>Настройки!W10</f>
        <v>45399</v>
      </c>
      <c r="D20" s="29">
        <f>Настройки!X10</f>
        <v>45400</v>
      </c>
      <c r="E20" s="29">
        <f>Настройки!Y10</f>
        <v>45401</v>
      </c>
      <c r="F20" s="29">
        <f>Настройки!Z10</f>
        <v>45402</v>
      </c>
      <c r="G20" s="29">
        <f>Настройки!AA10</f>
        <v>45403</v>
      </c>
      <c r="H20" s="29">
        <f>Настройки!AB10</f>
        <v>45404</v>
      </c>
      <c r="I20" s="29">
        <f>Настройки!AC10</f>
        <v>45405</v>
      </c>
      <c r="J20" s="29">
        <f>Настройки!AD10</f>
        <v>45406</v>
      </c>
      <c r="K20" s="29">
        <f>Настройки!AE10</f>
        <v>45407</v>
      </c>
      <c r="L20" s="29">
        <f>Настройки!AF10</f>
        <v>45408</v>
      </c>
      <c r="M20" s="29">
        <f>Настройки!AG10</f>
        <v>45409</v>
      </c>
      <c r="N20" s="29">
        <f>Настройки!AH10</f>
        <v>45410</v>
      </c>
      <c r="O20" s="29">
        <f>Настройки!AI10</f>
        <v>45411</v>
      </c>
      <c r="P20" s="29">
        <f>Настройки!AJ10</f>
        <v>45412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54="",TEXT(Настройки!$J2,"ч:мм"),TEXT(Настройки!V54,"ч:мм"))+TIME(0,Апрель!T13,0),"ч::мм")=TEXT(IF(Настройки!V54="",TEXT(Настройки!$J2,"ч:мм"),TEXT(Настройки!V54,"ч:мм")),"ч:мм"),"",TEXT(IF(Настройки!V54="",TEXT(Настройки!$J2,"ч:мм"),TEXT(Настройки!V54,"ч:мм")),"ч:мм")&amp;"-"&amp;TEXT(IF(Настройки!V54="",TEXT(Настройки!$J2,"ч:мм"),TEXT(Настройки!V54,"ч:мм"))+TIME(0,Апрель!T13,0),"ч::мм"))</f>
        <v/>
      </c>
      <c r="C24" s="3" t="str">
        <f>IF(TEXT(IF(Настройки!W54="",TEXT(Настройки!$J2,"ч:мм"),TEXT(Настройки!W54,"ч:мм"))+TIME(0,Апрель!U13,0),"ч::мм")=TEXT(IF(Настройки!W54="",TEXT(Настройки!$J2,"ч:мм"),TEXT(Настройки!W54,"ч:мм")),"ч:мм"),"",TEXT(IF(Настройки!W54="",TEXT(Настройки!$J2,"ч:мм"),TEXT(Настройки!W54,"ч:мм")),"ч:мм")&amp;"-"&amp;TEXT(IF(Настройки!W54="",TEXT(Настройки!$J2,"ч:мм"),TEXT(Настройки!W54,"ч:мм"))+TIME(0,Апрель!U13,0),"ч::мм"))</f>
        <v/>
      </c>
      <c r="D24" s="3" t="str">
        <f>IF(TEXT(IF(Настройки!X54="",TEXT(Настройки!$J2,"ч:мм"),TEXT(Настройки!X54,"ч:мм"))+TIME(0,Апрель!V13,0),"ч::мм")=TEXT(IF(Настройки!X54="",TEXT(Настройки!$J2,"ч:мм"),TEXT(Настройки!X54,"ч:мм")),"ч:мм"),"",TEXT(IF(Настройки!X54="",TEXT(Настройки!$J2,"ч:мм"),TEXT(Настройки!X54,"ч:мм")),"ч:мм")&amp;"-"&amp;TEXT(IF(Настройки!X54="",TEXT(Настройки!$J2,"ч:мм"),TEXT(Настройки!X54,"ч:мм"))+TIME(0,Апрель!V13,0),"ч::мм"))</f>
        <v/>
      </c>
      <c r="E24" s="3" t="str">
        <f>IF(TEXT(IF(Настройки!Y54="",TEXT(Настройки!$J2,"ч:мм"),TEXT(Настройки!Y54,"ч:мм"))+TIME(0,Апрель!W13,0),"ч::мм")=TEXT(IF(Настройки!Y54="",TEXT(Настройки!$J2,"ч:мм"),TEXT(Настройки!Y54,"ч:мм")),"ч:мм"),"",TEXT(IF(Настройки!Y54="",TEXT(Настройки!$J2,"ч:мм"),TEXT(Настройки!Y54,"ч:мм")),"ч:мм")&amp;"-"&amp;TEXT(IF(Настройки!Y54="",TEXT(Настройки!$J2,"ч:мм"),TEXT(Настройки!Y54,"ч:мм"))+TIME(0,Апрель!W13,0),"ч::мм"))</f>
        <v/>
      </c>
      <c r="F24" s="3" t="str">
        <f>IF(TEXT(IF(Настройки!Z54="",TEXT(Настройки!$J2,"ч:мм"),TEXT(Настройки!Z54,"ч:мм"))+TIME(0,Апрель!X13,0),"ч::мм")=TEXT(IF(Настройки!Z54="",TEXT(Настройки!$J2,"ч:мм"),TEXT(Настройки!Z54,"ч:мм")),"ч:мм"),"",TEXT(IF(Настройки!Z54="",TEXT(Настройки!$J2,"ч:мм"),TEXT(Настройки!Z54,"ч:мм")),"ч:мм")&amp;"-"&amp;TEXT(IF(Настройки!Z54="",TEXT(Настройки!$J2,"ч:мм"),TEXT(Настройки!Z54,"ч:мм"))+TIME(0,Апрель!X13,0),"ч::мм"))</f>
        <v/>
      </c>
      <c r="G24" s="3" t="str">
        <f>IF(TEXT(IF(Настройки!AA54="",TEXT(Настройки!$J2,"ч:мм"),TEXT(Настройки!AA54,"ч:мм"))+TIME(0,Апрель!Y13,0),"ч::мм")=TEXT(IF(Настройки!AA54="",TEXT(Настройки!$J2,"ч:мм"),TEXT(Настройки!AA54,"ч:мм")),"ч:мм"),"",TEXT(IF(Настройки!AA54="",TEXT(Настройки!$J2,"ч:мм"),TEXT(Настройки!AA54,"ч:мм")),"ч:мм")&amp;"-"&amp;TEXT(IF(Настройки!AA54="",TEXT(Настройки!$J2,"ч:мм"),TEXT(Настройки!AA54,"ч:мм"))+TIME(0,Апрель!Y13,0),"ч::мм"))</f>
        <v/>
      </c>
      <c r="H24" s="3" t="str">
        <f>IF(TEXT(IF(Настройки!AB54="",TEXT(Настройки!$J2,"ч:мм"),TEXT(Настройки!AB54,"ч:мм"))+TIME(0,Апрель!Z13,0),"ч::мм")=TEXT(IF(Настройки!AB54="",TEXT(Настройки!$J2,"ч:мм"),TEXT(Настройки!AB54,"ч:мм")),"ч:мм"),"",TEXT(IF(Настройки!AB54="",TEXT(Настройки!$J2,"ч:мм"),TEXT(Настройки!AB54,"ч:мм")),"ч:мм")&amp;"-"&amp;TEXT(IF(Настройки!AB54="",TEXT(Настройки!$J2,"ч:мм"),TEXT(Настройки!AB54,"ч:мм"))+TIME(0,Апрель!Z13,0),"ч::мм"))</f>
        <v/>
      </c>
      <c r="I24" s="3" t="str">
        <f>IF(TEXT(IF(Настройки!AC54="",TEXT(Настройки!$J2,"ч:мм"),TEXT(Настройки!AC54,"ч:мм"))+TIME(0,Апрель!AA13,0),"ч::мм")=TEXT(IF(Настройки!AC54="",TEXT(Настройки!$J2,"ч:мм"),TEXT(Настройки!AC54,"ч:мм")),"ч:мм"),"",TEXT(IF(Настройки!AC54="",TEXT(Настройки!$J2,"ч:мм"),TEXT(Настройки!AC54,"ч:мм")),"ч:мм")&amp;"-"&amp;TEXT(IF(Настройки!AC54="",TEXT(Настройки!$J2,"ч:мм"),TEXT(Настройки!AC54,"ч:мм"))+TIME(0,Апрель!AA13,0),"ч::мм"))</f>
        <v/>
      </c>
      <c r="J24" s="3" t="str">
        <f>IF(TEXT(IF(Настройки!AD54="",TEXT(Настройки!$J2,"ч:мм"),TEXT(Настройки!AD54,"ч:мм"))+TIME(0,Апрель!AB13,0),"ч::мм")=TEXT(IF(Настройки!AD54="",TEXT(Настройки!$J2,"ч:мм"),TEXT(Настройки!AD54,"ч:мм")),"ч:мм"),"",TEXT(IF(Настройки!AD54="",TEXT(Настройки!$J2,"ч:мм"),TEXT(Настройки!AD54,"ч:мм")),"ч:мм")&amp;"-"&amp;TEXT(IF(Настройки!AD54="",TEXT(Настройки!$J2,"ч:мм"),TEXT(Настройки!AD54,"ч:мм"))+TIME(0,Апрель!AB13,0),"ч::мм"))</f>
        <v/>
      </c>
      <c r="K24" s="3" t="str">
        <f>IF(TEXT(IF(Настройки!AE54="",TEXT(Настройки!$J2,"ч:мм"),TEXT(Настройки!AE54,"ч:мм"))+TIME(0,Апрель!AC13,0),"ч::мм")=TEXT(IF(Настройки!AE54="",TEXT(Настройки!$J2,"ч:мм"),TEXT(Настройки!AE54,"ч:мм")),"ч:мм"),"",TEXT(IF(Настройки!AE54="",TEXT(Настройки!$J2,"ч:мм"),TEXT(Настройки!AE54,"ч:мм")),"ч:мм")&amp;"-"&amp;TEXT(IF(Настройки!AE54="",TEXT(Настройки!$J2,"ч:мм"),TEXT(Настройки!AE54,"ч:мм"))+TIME(0,Апрель!AC13,0),"ч::мм"))</f>
        <v/>
      </c>
      <c r="L24" s="3" t="str">
        <f>IF(TEXT(IF(Настройки!AF54="",TEXT(Настройки!$J2,"ч:мм"),TEXT(Настройки!AF54,"ч:мм"))+TIME(0,Апрель!AD13,0),"ч::мм")=TEXT(IF(Настройки!AF54="",TEXT(Настройки!$J2,"ч:мм"),TEXT(Настройки!AF54,"ч:мм")),"ч:мм"),"",TEXT(IF(Настройки!AF54="",TEXT(Настройки!$J2,"ч:мм"),TEXT(Настройки!AF54,"ч:мм")),"ч:мм")&amp;"-"&amp;TEXT(IF(Настройки!AF54="",TEXT(Настройки!$J2,"ч:мм"),TEXT(Настройки!AF54,"ч:мм"))+TIME(0,Апрель!AD13,0),"ч::мм"))</f>
        <v/>
      </c>
      <c r="M24" s="3" t="str">
        <f>IF(TEXT(IF(Настройки!AG54="",TEXT(Настройки!$J2,"ч:мм"),TEXT(Настройки!AG54,"ч:мм"))+TIME(0,Апрель!AE13,0),"ч::мм")=TEXT(IF(Настройки!AG54="",TEXT(Настройки!$J2,"ч:мм"),TEXT(Настройки!AG54,"ч:мм")),"ч:мм"),"",TEXT(IF(Настройки!AG54="",TEXT(Настройки!$J2,"ч:мм"),TEXT(Настройки!AG54,"ч:мм")),"ч:мм")&amp;"-"&amp;TEXT(IF(Настройки!AG54="",TEXT(Настройки!$J2,"ч:мм"),TEXT(Настройки!AG54,"ч:мм"))+TIME(0,Апрель!AE13,0),"ч::мм"))</f>
        <v/>
      </c>
      <c r="N24" s="3" t="str">
        <f>IF(TEXT(IF(Настройки!AH54="",TEXT(Настройки!$J2,"ч:мм"),TEXT(Настройки!AH54,"ч:мм"))+TIME(0,Апрель!AF13,0),"ч::мм")=TEXT(IF(Настройки!AH54="",TEXT(Настройки!$J2,"ч:мм"),TEXT(Настройки!AH54,"ч:мм")),"ч:мм"),"",TEXT(IF(Настройки!AH54="",TEXT(Настройки!$J2,"ч:мм"),TEXT(Настройки!AH54,"ч:мм")),"ч:мм")&amp;"-"&amp;TEXT(IF(Настройки!AH54="",TEXT(Настройки!$J2,"ч:мм"),TEXT(Настройки!AH54,"ч:мм"))+TIME(0,Апрель!AF13,0),"ч::мм"))</f>
        <v/>
      </c>
      <c r="O24" s="3" t="str">
        <f>IF(TEXT(IF(Настройки!AI54="",TEXT(Настройки!$J2,"ч:мм"),TEXT(Настройки!AI54,"ч:мм"))+TIME(0,Апрель!AG13,0),"ч::мм")=TEXT(IF(Настройки!AI54="",TEXT(Настройки!$J2,"ч:мм"),TEXT(Настройки!AI54,"ч:мм")),"ч:мм"),"",TEXT(IF(Настройки!AI54="",TEXT(Настройки!$J2,"ч:мм"),TEXT(Настройки!AI54,"ч:мм")),"ч:мм")&amp;"-"&amp;TEXT(IF(Настройки!AI54="",TEXT(Настройки!$J2,"ч:мм"),TEXT(Настройки!AI54,"ч:мм"))+TIME(0,Апрель!AG13,0),"ч::мм"))</f>
        <v/>
      </c>
      <c r="P24" s="3" t="str">
        <f>IF(TEXT(IF(Настройки!AJ54="",TEXT(Настройки!$J2,"ч:мм"),TEXT(Настройки!AJ54,"ч:мм"))+TIME(0,Апрель!AH13,0),"ч::мм")=TEXT(IF(Настройки!AJ54="",TEXT(Настройки!$J2,"ч:мм"),TEXT(Настройки!AJ54,"ч:мм")),"ч:мм"),"",TEXT(IF(Настройки!AJ54="",TEXT(Настройки!$J2,"ч:мм"),TEXT(Настройки!AJ54,"ч:мм")),"ч:мм")&amp;"-"&amp;TEXT(IF(Настройки!AJ54="",TEXT(Настройки!$J2,"ч:мм"),TEXT(Настройки!AJ54,"ч:мм"))+TIME(0,Апрель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55="",TEXT(Настройки!$J3,"ч:мм"),TEXT(Настройки!V55,"ч:мм"))+TIME(0,Апрель!T14,0),"ч::мм")=TEXT(IF(Настройки!V55="",TEXT(Настройки!$J3,"ч:мм"),TEXT(Настройки!V55,"ч:мм")),"ч:мм"),"",TEXT(IF(Настройки!V55="",TEXT(Настройки!$J3,"ч:мм"),TEXT(Настройки!V55,"ч:мм")),"ч:мм")&amp;"-"&amp;TEXT(IF(Настройки!V55="",TEXT(Настройки!$J3,"ч:мм"),TEXT(Настройки!V55,"ч:мм"))+TIME(0,Апрель!T14,0),"ч::мм"))</f>
        <v/>
      </c>
      <c r="C25" s="3" t="str">
        <f ca="1">IF(TEXT(IF(Настройки!W55="",TEXT(Настройки!$J3,"ч:мм"),TEXT(Настройки!W55,"ч:мм"))+TIME(0,Апрель!U14,0),"ч::мм")=TEXT(IF(Настройки!W55="",TEXT(Настройки!$J3,"ч:мм"),TEXT(Настройки!W55,"ч:мм")),"ч:мм"),"",TEXT(IF(Настройки!W55="",TEXT(Настройки!$J3,"ч:мм"),TEXT(Настройки!W55,"ч:мм")),"ч:мм")&amp;"-"&amp;TEXT(IF(Настройки!W55="",TEXT(Настройки!$J3,"ч:мм"),TEXT(Настройки!W55,"ч:мм"))+TIME(0,Апрель!U14,0),"ч::мм"))</f>
        <v/>
      </c>
      <c r="D25" s="3" t="str">
        <f ca="1">IF(TEXT(IF(Настройки!X55="",TEXT(Настройки!$J3,"ч:мм"),TEXT(Настройки!X55,"ч:мм"))+TIME(0,Апрель!V14,0),"ч::мм")=TEXT(IF(Настройки!X55="",TEXT(Настройки!$J3,"ч:мм"),TEXT(Настройки!X55,"ч:мм")),"ч:мм"),"",TEXT(IF(Настройки!X55="",TEXT(Настройки!$J3,"ч:мм"),TEXT(Настройки!X55,"ч:мм")),"ч:мм")&amp;"-"&amp;TEXT(IF(Настройки!X55="",TEXT(Настройки!$J3,"ч:мм"),TEXT(Настройки!X55,"ч:мм"))+TIME(0,Апрель!V14,0),"ч::мм"))</f>
        <v/>
      </c>
      <c r="E25" s="3" t="str">
        <f ca="1">IF(TEXT(IF(Настройки!Y55="",TEXT(Настройки!$J3,"ч:мм"),TEXT(Настройки!Y55,"ч:мм"))+TIME(0,Апрель!W14,0),"ч::мм")=TEXT(IF(Настройки!Y55="",TEXT(Настройки!$J3,"ч:мм"),TEXT(Настройки!Y55,"ч:мм")),"ч:мм"),"",TEXT(IF(Настройки!Y55="",TEXT(Настройки!$J3,"ч:мм"),TEXT(Настройки!Y55,"ч:мм")),"ч:мм")&amp;"-"&amp;TEXT(IF(Настройки!Y55="",TEXT(Настройки!$J3,"ч:мм"),TEXT(Настройки!Y55,"ч:мм"))+TIME(0,Апрель!W14,0),"ч::мм"))</f>
        <v/>
      </c>
      <c r="F25" s="3" t="str">
        <f ca="1">IF(TEXT(IF(Настройки!Z55="",TEXT(Настройки!$J3,"ч:мм"),TEXT(Настройки!Z55,"ч:мм"))+TIME(0,Апрель!X14,0),"ч::мм")=TEXT(IF(Настройки!Z55="",TEXT(Настройки!$J3,"ч:мм"),TEXT(Настройки!Z55,"ч:мм")),"ч:мм"),"",TEXT(IF(Настройки!Z55="",TEXT(Настройки!$J3,"ч:мм"),TEXT(Настройки!Z55,"ч:мм")),"ч:мм")&amp;"-"&amp;TEXT(IF(Настройки!Z55="",TEXT(Настройки!$J3,"ч:мм"),TEXT(Настройки!Z55,"ч:мм"))+TIME(0,Апрель!X14,0),"ч::мм"))</f>
        <v/>
      </c>
      <c r="G25" s="3" t="str">
        <f ca="1">IF(TEXT(IF(Настройки!AA55="",TEXT(Настройки!$J3,"ч:мм"),TEXT(Настройки!AA55,"ч:мм"))+TIME(0,Апрель!Y14,0),"ч::мм")=TEXT(IF(Настройки!AA55="",TEXT(Настройки!$J3,"ч:мм"),TEXT(Настройки!AA55,"ч:мм")),"ч:мм"),"",TEXT(IF(Настройки!AA55="",TEXT(Настройки!$J3,"ч:мм"),TEXT(Настройки!AA55,"ч:мм")),"ч:мм")&amp;"-"&amp;TEXT(IF(Настройки!AA55="",TEXT(Настройки!$J3,"ч:мм"),TEXT(Настройки!AA55,"ч:мм"))+TIME(0,Апрель!Y14,0),"ч::мм"))</f>
        <v/>
      </c>
      <c r="H25" s="3" t="str">
        <f ca="1">IF(TEXT(IF(Настройки!AB55="",TEXT(Настройки!$J3,"ч:мм"),TEXT(Настройки!AB55,"ч:мм"))+TIME(0,Апрель!Z14,0),"ч::мм")=TEXT(IF(Настройки!AB55="",TEXT(Настройки!$J3,"ч:мм"),TEXT(Настройки!AB55,"ч:мм")),"ч:мм"),"",TEXT(IF(Настройки!AB55="",TEXT(Настройки!$J3,"ч:мм"),TEXT(Настройки!AB55,"ч:мм")),"ч:мм")&amp;"-"&amp;TEXT(IF(Настройки!AB55="",TEXT(Настройки!$J3,"ч:мм"),TEXT(Настройки!AB55,"ч:мм"))+TIME(0,Апрель!Z14,0),"ч::мм"))</f>
        <v/>
      </c>
      <c r="I25" s="3" t="str">
        <f ca="1">IF(TEXT(IF(Настройки!AC55="",TEXT(Настройки!$J3,"ч:мм"),TEXT(Настройки!AC55,"ч:мм"))+TIME(0,Апрель!AA14,0),"ч::мм")=TEXT(IF(Настройки!AC55="",TEXT(Настройки!$J3,"ч:мм"),TEXT(Настройки!AC55,"ч:мм")),"ч:мм"),"",TEXT(IF(Настройки!AC55="",TEXT(Настройки!$J3,"ч:мм"),TEXT(Настройки!AC55,"ч:мм")),"ч:мм")&amp;"-"&amp;TEXT(IF(Настройки!AC55="",TEXT(Настройки!$J3,"ч:мм"),TEXT(Настройки!AC55,"ч:мм"))+TIME(0,Апрель!AA14,0),"ч::мм"))</f>
        <v/>
      </c>
      <c r="J25" s="3" t="str">
        <f ca="1">IF(TEXT(IF(Настройки!AD55="",TEXT(Настройки!$J3,"ч:мм"),TEXT(Настройки!AD55,"ч:мм"))+TIME(0,Апрель!AB14,0),"ч::мм")=TEXT(IF(Настройки!AD55="",TEXT(Настройки!$J3,"ч:мм"),TEXT(Настройки!AD55,"ч:мм")),"ч:мм"),"",TEXT(IF(Настройки!AD55="",TEXT(Настройки!$J3,"ч:мм"),TEXT(Настройки!AD55,"ч:мм")),"ч:мм")&amp;"-"&amp;TEXT(IF(Настройки!AD55="",TEXT(Настройки!$J3,"ч:мм"),TEXT(Настройки!AD55,"ч:мм"))+TIME(0,Апрель!AB14,0),"ч::мм"))</f>
        <v/>
      </c>
      <c r="K25" s="3" t="str">
        <f ca="1">IF(TEXT(IF(Настройки!AE55="",TEXT(Настройки!$J3,"ч:мм"),TEXT(Настройки!AE55,"ч:мм"))+TIME(0,Апрель!AC14,0),"ч::мм")=TEXT(IF(Настройки!AE55="",TEXT(Настройки!$J3,"ч:мм"),TEXT(Настройки!AE55,"ч:мм")),"ч:мм"),"",TEXT(IF(Настройки!AE55="",TEXT(Настройки!$J3,"ч:мм"),TEXT(Настройки!AE55,"ч:мм")),"ч:мм")&amp;"-"&amp;TEXT(IF(Настройки!AE55="",TEXT(Настройки!$J3,"ч:мм"),TEXT(Настройки!AE55,"ч:мм"))+TIME(0,Апрель!AC14,0),"ч::мм"))</f>
        <v/>
      </c>
      <c r="L25" s="3" t="str">
        <f ca="1">IF(TEXT(IF(Настройки!AF55="",TEXT(Настройки!$J3,"ч:мм"),TEXT(Настройки!AF55,"ч:мм"))+TIME(0,Апрель!AD14,0),"ч::мм")=TEXT(IF(Настройки!AF55="",TEXT(Настройки!$J3,"ч:мм"),TEXT(Настройки!AF55,"ч:мм")),"ч:мм"),"",TEXT(IF(Настройки!AF55="",TEXT(Настройки!$J3,"ч:мм"),TEXT(Настройки!AF55,"ч:мм")),"ч:мм")&amp;"-"&amp;TEXT(IF(Настройки!AF55="",TEXT(Настройки!$J3,"ч:мм"),TEXT(Настройки!AF55,"ч:мм"))+TIME(0,Апрель!AD14,0),"ч::мм"))</f>
        <v/>
      </c>
      <c r="M25" s="3" t="str">
        <f ca="1">IF(TEXT(IF(Настройки!AG55="",TEXT(Настройки!$J3,"ч:мм"),TEXT(Настройки!AG55,"ч:мм"))+TIME(0,Апрель!AE14,0),"ч::мм")=TEXT(IF(Настройки!AG55="",TEXT(Настройки!$J3,"ч:мм"),TEXT(Настройки!AG55,"ч:мм")),"ч:мм"),"",TEXT(IF(Настройки!AG55="",TEXT(Настройки!$J3,"ч:мм"),TEXT(Настройки!AG55,"ч:мм")),"ч:мм")&amp;"-"&amp;TEXT(IF(Настройки!AG55="",TEXT(Настройки!$J3,"ч:мм"),TEXT(Настройки!AG55,"ч:мм"))+TIME(0,Апрель!AE14,0),"ч::мм"))</f>
        <v/>
      </c>
      <c r="N25" s="3" t="str">
        <f ca="1">IF(TEXT(IF(Настройки!AH55="",TEXT(Настройки!$J3,"ч:мм"),TEXT(Настройки!AH55,"ч:мм"))+TIME(0,Апрель!AF14,0),"ч::мм")=TEXT(IF(Настройки!AH55="",TEXT(Настройки!$J3,"ч:мм"),TEXT(Настройки!AH55,"ч:мм")),"ч:мм"),"",TEXT(IF(Настройки!AH55="",TEXT(Настройки!$J3,"ч:мм"),TEXT(Настройки!AH55,"ч:мм")),"ч:мм")&amp;"-"&amp;TEXT(IF(Настройки!AH55="",TEXT(Настройки!$J3,"ч:мм"),TEXT(Настройки!AH55,"ч:мм"))+TIME(0,Апрель!AF14,0),"ч::мм"))</f>
        <v/>
      </c>
      <c r="O25" s="3" t="str">
        <f ca="1">IF(TEXT(IF(Настройки!AI55="",TEXT(Настройки!$J3,"ч:мм"),TEXT(Настройки!AI55,"ч:мм"))+TIME(0,Апрель!AG14,0),"ч::мм")=TEXT(IF(Настройки!AI55="",TEXT(Настройки!$J3,"ч:мм"),TEXT(Настройки!AI55,"ч:мм")),"ч:мм"),"",TEXT(IF(Настройки!AI55="",TEXT(Настройки!$J3,"ч:мм"),TEXT(Настройки!AI55,"ч:мм")),"ч:мм")&amp;"-"&amp;TEXT(IF(Настройки!AI55="",TEXT(Настройки!$J3,"ч:мм"),TEXT(Настройки!AI55,"ч:мм"))+TIME(0,Апрель!AG14,0),"ч::мм"))</f>
        <v/>
      </c>
      <c r="P25" s="3" t="str">
        <f ca="1">IF(TEXT(IF(Настройки!AJ55="",TEXT(Настройки!$J3,"ч:мм"),TEXT(Настройки!AJ55,"ч:мм"))+TIME(0,Апрель!AH14,0),"ч::мм")=TEXT(IF(Настройки!AJ55="",TEXT(Настройки!$J3,"ч:мм"),TEXT(Настройки!AJ55,"ч:мм")),"ч:мм"),"",TEXT(IF(Настройки!AJ55="",TEXT(Настройки!$J3,"ч:мм"),TEXT(Настройки!AJ55,"ч:мм")),"ч:мм")&amp;"-"&amp;TEXT(IF(Настройки!AJ55="",TEXT(Настройки!$J3,"ч:мм"),TEXT(Настройки!AJ55,"ч:мм"))+TIME(0,Апрель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56="",TEXT(Настройки!$J4,"ч:мм"),TEXT(Настройки!V56,"ч:мм"))+TIME(0,Апрель!T15,0),"ч::мм")=TEXT(IF(Настройки!V56="",TEXT(Настройки!$J4,"ч:мм"),TEXT(Настройки!V56,"ч:мм")),"ч:мм"),"",TEXT(IF(Настройки!V56="",TEXT(Настройки!$J4,"ч:мм"),TEXT(Настройки!V56,"ч:мм")),"ч:мм")&amp;"-"&amp;TEXT(IF(Настройки!V56="",TEXT(Настройки!$J4,"ч:мм"),TEXT(Настройки!V56,"ч:мм"))+TIME(0,Апрель!T15,0),"ч::мм"))</f>
        <v/>
      </c>
      <c r="C26" s="3" t="str">
        <f ca="1">IF(TEXT(IF(Настройки!W56="",TEXT(Настройки!$J4,"ч:мм"),TEXT(Настройки!W56,"ч:мм"))+TIME(0,Апрель!U15,0),"ч::мм")=TEXT(IF(Настройки!W56="",TEXT(Настройки!$J4,"ч:мм"),TEXT(Настройки!W56,"ч:мм")),"ч:мм"),"",TEXT(IF(Настройки!W56="",TEXT(Настройки!$J4,"ч:мм"),TEXT(Настройки!W56,"ч:мм")),"ч:мм")&amp;"-"&amp;TEXT(IF(Настройки!W56="",TEXT(Настройки!$J4,"ч:мм"),TEXT(Настройки!W56,"ч:мм"))+TIME(0,Апрель!U15,0),"ч::мм"))</f>
        <v/>
      </c>
      <c r="D26" s="3" t="str">
        <f ca="1">IF(TEXT(IF(Настройки!X56="",TEXT(Настройки!$J4,"ч:мм"),TEXT(Настройки!X56,"ч:мм"))+TIME(0,Апрель!V15,0),"ч::мм")=TEXT(IF(Настройки!X56="",TEXT(Настройки!$J4,"ч:мм"),TEXT(Настройки!X56,"ч:мм")),"ч:мм"),"",TEXT(IF(Настройки!X56="",TEXT(Настройки!$J4,"ч:мм"),TEXT(Настройки!X56,"ч:мм")),"ч:мм")&amp;"-"&amp;TEXT(IF(Настройки!X56="",TEXT(Настройки!$J4,"ч:мм"),TEXT(Настройки!X56,"ч:мм"))+TIME(0,Апрель!V15,0),"ч::мм"))</f>
        <v/>
      </c>
      <c r="E26" s="3" t="str">
        <f ca="1">IF(TEXT(IF(Настройки!Y56="",TEXT(Настройки!$J4,"ч:мм"),TEXT(Настройки!Y56,"ч:мм"))+TIME(0,Апрель!W15,0),"ч::мм")=TEXT(IF(Настройки!Y56="",TEXT(Настройки!$J4,"ч:мм"),TEXT(Настройки!Y56,"ч:мм")),"ч:мм"),"",TEXT(IF(Настройки!Y56="",TEXT(Настройки!$J4,"ч:мм"),TEXT(Настройки!Y56,"ч:мм")),"ч:мм")&amp;"-"&amp;TEXT(IF(Настройки!Y56="",TEXT(Настройки!$J4,"ч:мм"),TEXT(Настройки!Y56,"ч:мм"))+TIME(0,Апрель!W15,0),"ч::мм"))</f>
        <v/>
      </c>
      <c r="F26" s="3" t="str">
        <f ca="1">IF(TEXT(IF(Настройки!Z56="",TEXT(Настройки!$J4,"ч:мм"),TEXT(Настройки!Z56,"ч:мм"))+TIME(0,Апрель!X15,0),"ч::мм")=TEXT(IF(Настройки!Z56="",TEXT(Настройки!$J4,"ч:мм"),TEXT(Настройки!Z56,"ч:мм")),"ч:мм"),"",TEXT(IF(Настройки!Z56="",TEXT(Настройки!$J4,"ч:мм"),TEXT(Настройки!Z56,"ч:мм")),"ч:мм")&amp;"-"&amp;TEXT(IF(Настройки!Z56="",TEXT(Настройки!$J4,"ч:мм"),TEXT(Настройки!Z56,"ч:мм"))+TIME(0,Апрель!X15,0),"ч::мм"))</f>
        <v/>
      </c>
      <c r="G26" s="3" t="str">
        <f ca="1">IF(TEXT(IF(Настройки!AA56="",TEXT(Настройки!$J4,"ч:мм"),TEXT(Настройки!AA56,"ч:мм"))+TIME(0,Апрель!Y15,0),"ч::мм")=TEXT(IF(Настройки!AA56="",TEXT(Настройки!$J4,"ч:мм"),TEXT(Настройки!AA56,"ч:мм")),"ч:мм"),"",TEXT(IF(Настройки!AA56="",TEXT(Настройки!$J4,"ч:мм"),TEXT(Настройки!AA56,"ч:мм")),"ч:мм")&amp;"-"&amp;TEXT(IF(Настройки!AA56="",TEXT(Настройки!$J4,"ч:мм"),TEXT(Настройки!AA56,"ч:мм"))+TIME(0,Апрель!Y15,0),"ч::мм"))</f>
        <v/>
      </c>
      <c r="H26" s="3" t="str">
        <f ca="1">IF(TEXT(IF(Настройки!AB56="",TEXT(Настройки!$J4,"ч:мм"),TEXT(Настройки!AB56,"ч:мм"))+TIME(0,Апрель!Z15,0),"ч::мм")=TEXT(IF(Настройки!AB56="",TEXT(Настройки!$J4,"ч:мм"),TEXT(Настройки!AB56,"ч:мм")),"ч:мм"),"",TEXT(IF(Настройки!AB56="",TEXT(Настройки!$J4,"ч:мм"),TEXT(Настройки!AB56,"ч:мм")),"ч:мм")&amp;"-"&amp;TEXT(IF(Настройки!AB56="",TEXT(Настройки!$J4,"ч:мм"),TEXT(Настройки!AB56,"ч:мм"))+TIME(0,Апрель!Z15,0),"ч::мм"))</f>
        <v/>
      </c>
      <c r="I26" s="3" t="str">
        <f ca="1">IF(TEXT(IF(Настройки!AC56="",TEXT(Настройки!$J4,"ч:мм"),TEXT(Настройки!AC56,"ч:мм"))+TIME(0,Апрель!AA15,0),"ч::мм")=TEXT(IF(Настройки!AC56="",TEXT(Настройки!$J4,"ч:мм"),TEXT(Настройки!AC56,"ч:мм")),"ч:мм"),"",TEXT(IF(Настройки!AC56="",TEXT(Настройки!$J4,"ч:мм"),TEXT(Настройки!AC56,"ч:мм")),"ч:мм")&amp;"-"&amp;TEXT(IF(Настройки!AC56="",TEXT(Настройки!$J4,"ч:мм"),TEXT(Настройки!AC56,"ч:мм"))+TIME(0,Апрель!AA15,0),"ч::мм"))</f>
        <v/>
      </c>
      <c r="J26" s="3" t="str">
        <f ca="1">IF(TEXT(IF(Настройки!AD56="",TEXT(Настройки!$J4,"ч:мм"),TEXT(Настройки!AD56,"ч:мм"))+TIME(0,Апрель!AB15,0),"ч::мм")=TEXT(IF(Настройки!AD56="",TEXT(Настройки!$J4,"ч:мм"),TEXT(Настройки!AD56,"ч:мм")),"ч:мм"),"",TEXT(IF(Настройки!AD56="",TEXT(Настройки!$J4,"ч:мм"),TEXT(Настройки!AD56,"ч:мм")),"ч:мм")&amp;"-"&amp;TEXT(IF(Настройки!AD56="",TEXT(Настройки!$J4,"ч:мм"),TEXT(Настройки!AD56,"ч:мм"))+TIME(0,Апрель!AB15,0),"ч::мм"))</f>
        <v/>
      </c>
      <c r="K26" s="3" t="str">
        <f ca="1">IF(TEXT(IF(Настройки!AE56="",TEXT(Настройки!$J4,"ч:мм"),TEXT(Настройки!AE56,"ч:мм"))+TIME(0,Апрель!AC15,0),"ч::мм")=TEXT(IF(Настройки!AE56="",TEXT(Настройки!$J4,"ч:мм"),TEXT(Настройки!AE56,"ч:мм")),"ч:мм"),"",TEXT(IF(Настройки!AE56="",TEXT(Настройки!$J4,"ч:мм"),TEXT(Настройки!AE56,"ч:мм")),"ч:мм")&amp;"-"&amp;TEXT(IF(Настройки!AE56="",TEXT(Настройки!$J4,"ч:мм"),TEXT(Настройки!AE56,"ч:мм"))+TIME(0,Апрель!AC15,0),"ч::мм"))</f>
        <v/>
      </c>
      <c r="L26" s="3" t="str">
        <f ca="1">IF(TEXT(IF(Настройки!AF56="",TEXT(Настройки!$J4,"ч:мм"),TEXT(Настройки!AF56,"ч:мм"))+TIME(0,Апрель!AD15,0),"ч::мм")=TEXT(IF(Настройки!AF56="",TEXT(Настройки!$J4,"ч:мм"),TEXT(Настройки!AF56,"ч:мм")),"ч:мм"),"",TEXT(IF(Настройки!AF56="",TEXT(Настройки!$J4,"ч:мм"),TEXT(Настройки!AF56,"ч:мм")),"ч:мм")&amp;"-"&amp;TEXT(IF(Настройки!AF56="",TEXT(Настройки!$J4,"ч:мм"),TEXT(Настройки!AF56,"ч:мм"))+TIME(0,Апрель!AD15,0),"ч::мм"))</f>
        <v/>
      </c>
      <c r="M26" s="3" t="str">
        <f ca="1">IF(TEXT(IF(Настройки!AG56="",TEXT(Настройки!$J4,"ч:мм"),TEXT(Настройки!AG56,"ч:мм"))+TIME(0,Апрель!AE15,0),"ч::мм")=TEXT(IF(Настройки!AG56="",TEXT(Настройки!$J4,"ч:мм"),TEXT(Настройки!AG56,"ч:мм")),"ч:мм"),"",TEXT(IF(Настройки!AG56="",TEXT(Настройки!$J4,"ч:мм"),TEXT(Настройки!AG56,"ч:мм")),"ч:мм")&amp;"-"&amp;TEXT(IF(Настройки!AG56="",TEXT(Настройки!$J4,"ч:мм"),TEXT(Настройки!AG56,"ч:мм"))+TIME(0,Апрель!AE15,0),"ч::мм"))</f>
        <v/>
      </c>
      <c r="N26" s="3" t="str">
        <f ca="1">IF(TEXT(IF(Настройки!AH56="",TEXT(Настройки!$J4,"ч:мм"),TEXT(Настройки!AH56,"ч:мм"))+TIME(0,Апрель!AF15,0),"ч::мм")=TEXT(IF(Настройки!AH56="",TEXT(Настройки!$J4,"ч:мм"),TEXT(Настройки!AH56,"ч:мм")),"ч:мм"),"",TEXT(IF(Настройки!AH56="",TEXT(Настройки!$J4,"ч:мм"),TEXT(Настройки!AH56,"ч:мм")),"ч:мм")&amp;"-"&amp;TEXT(IF(Настройки!AH56="",TEXT(Настройки!$J4,"ч:мм"),TEXT(Настройки!AH56,"ч:мм"))+TIME(0,Апрель!AF15,0),"ч::мм"))</f>
        <v/>
      </c>
      <c r="O26" s="3" t="str">
        <f ca="1">IF(TEXT(IF(Настройки!AI56="",TEXT(Настройки!$J4,"ч:мм"),TEXT(Настройки!AI56,"ч:мм"))+TIME(0,Апрель!AG15,0),"ч::мм")=TEXT(IF(Настройки!AI56="",TEXT(Настройки!$J4,"ч:мм"),TEXT(Настройки!AI56,"ч:мм")),"ч:мм"),"",TEXT(IF(Настройки!AI56="",TEXT(Настройки!$J4,"ч:мм"),TEXT(Настройки!AI56,"ч:мм")),"ч:мм")&amp;"-"&amp;TEXT(IF(Настройки!AI56="",TEXT(Настройки!$J4,"ч:мм"),TEXT(Настройки!AI56,"ч:мм"))+TIME(0,Апрель!AG15,0),"ч::мм"))</f>
        <v/>
      </c>
      <c r="P26" s="3" t="str">
        <f ca="1">IF(TEXT(IF(Настройки!AJ56="",TEXT(Настройки!$J4,"ч:мм"),TEXT(Настройки!AJ56,"ч:мм"))+TIME(0,Апрель!AH15,0),"ч::мм")=TEXT(IF(Настройки!AJ56="",TEXT(Настройки!$J4,"ч:мм"),TEXT(Настройки!AJ56,"ч:мм")),"ч:мм"),"",TEXT(IF(Настройки!AJ56="",TEXT(Настройки!$J4,"ч:мм"),TEXT(Настройки!AJ56,"ч:мм")),"ч:мм")&amp;"-"&amp;TEXT(IF(Настройки!AJ56="",TEXT(Настройки!$J4,"ч:мм"),TEXT(Настройки!AJ56,"ч:мм"))+TIME(0,Апрель!AH15,0),"ч::мм"))</f>
        <v/>
      </c>
    </row>
    <row r="27" spans="1:18" x14ac:dyDescent="0.25">
      <c r="Q27" s="9"/>
      <c r="R27" s="9"/>
    </row>
    <row r="28" spans="1:18" s="9" customFormat="1" x14ac:dyDescent="0.25">
      <c r="A28" s="38"/>
    </row>
    <row r="29" spans="1:18" s="9" customFormat="1" x14ac:dyDescent="0.25"/>
  </sheetData>
  <mergeCells count="9">
    <mergeCell ref="A18:A22"/>
    <mergeCell ref="B18:P19"/>
    <mergeCell ref="B21:P22"/>
    <mergeCell ref="A2:P2"/>
    <mergeCell ref="F6:G6"/>
    <mergeCell ref="H6:I6"/>
    <mergeCell ref="A8:A12"/>
    <mergeCell ref="B8:P9"/>
    <mergeCell ref="B11:P12"/>
  </mergeCells>
  <conditionalFormatting sqref="B10:P10">
    <cfRule type="expression" dxfId="912" priority="3">
      <formula>WEEKDAY(B10:P10,2)&gt;5</formula>
    </cfRule>
  </conditionalFormatting>
  <conditionalFormatting sqref="B20:P20">
    <cfRule type="expression" dxfId="911" priority="2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4" tint="0.39997558519241921"/>
    <pageSetUpPr fitToPage="1"/>
  </sheetPr>
  <dimension ref="A2:AL28"/>
  <sheetViews>
    <sheetView zoomScale="70" zoomScaleNormal="70" workbookViewId="0">
      <selection activeCell="D1" sqref="D1"/>
    </sheetView>
  </sheetViews>
  <sheetFormatPr defaultRowHeight="15.75" x14ac:dyDescent="0.25"/>
  <cols>
    <col min="1" max="1" width="21.42578125" style="3" customWidth="1"/>
    <col min="2" max="2" width="18.7109375" style="3" bestFit="1" customWidth="1"/>
    <col min="3" max="3" width="14.7109375" style="3" bestFit="1" customWidth="1"/>
    <col min="4" max="4" width="9.28515625" style="3" customWidth="1"/>
    <col min="5" max="17" width="4.7109375" style="3" bestFit="1" customWidth="1"/>
    <col min="18" max="18" width="7.28515625" style="3" bestFit="1" customWidth="1"/>
    <col min="19" max="35" width="4.7109375" style="3" bestFit="1" customWidth="1"/>
    <col min="36" max="36" width="9.85546875" style="3" bestFit="1" customWidth="1"/>
    <col min="37" max="37" width="10.85546875" style="3" bestFit="1" customWidth="1"/>
    <col min="38" max="38" width="14" style="3" bestFit="1" customWidth="1"/>
    <col min="39" max="16384" width="9.140625" style="3"/>
  </cols>
  <sheetData>
    <row r="2" spans="1:38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8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8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8" ht="18.75" x14ac:dyDescent="0.25">
      <c r="L5" s="10" t="s">
        <v>69</v>
      </c>
      <c r="M5" s="61" t="s">
        <v>125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7" spans="1:38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9"/>
      <c r="AJ7" s="63" t="s">
        <v>64</v>
      </c>
      <c r="AK7" s="64" t="s">
        <v>64</v>
      </c>
    </row>
    <row r="8" spans="1:38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78"/>
      <c r="AJ8" s="63"/>
      <c r="AK8" s="65"/>
    </row>
    <row r="9" spans="1:38" x14ac:dyDescent="0.25">
      <c r="A9" s="73"/>
      <c r="B9" s="76"/>
      <c r="C9" s="76"/>
      <c r="D9" s="82"/>
      <c r="E9" s="17">
        <f>Настройки!G11</f>
        <v>45413</v>
      </c>
      <c r="F9" s="17">
        <f>Настройки!H11</f>
        <v>45414</v>
      </c>
      <c r="G9" s="17">
        <f>Настройки!I11</f>
        <v>45415</v>
      </c>
      <c r="H9" s="17">
        <f>Настройки!J11</f>
        <v>45416</v>
      </c>
      <c r="I9" s="17">
        <f>Настройки!K11</f>
        <v>45417</v>
      </c>
      <c r="J9" s="17">
        <f>Настройки!L11</f>
        <v>45418</v>
      </c>
      <c r="K9" s="17">
        <f>Настройки!M11</f>
        <v>45419</v>
      </c>
      <c r="L9" s="17">
        <f>Настройки!N11</f>
        <v>45420</v>
      </c>
      <c r="M9" s="17">
        <f>Настройки!O11</f>
        <v>45421</v>
      </c>
      <c r="N9" s="17">
        <f>Настройки!P11</f>
        <v>45422</v>
      </c>
      <c r="O9" s="17">
        <f>Настройки!Q11</f>
        <v>45423</v>
      </c>
      <c r="P9" s="17">
        <f>Настройки!R11</f>
        <v>45424</v>
      </c>
      <c r="Q9" s="17">
        <f>Настройки!S11</f>
        <v>45425</v>
      </c>
      <c r="R9" s="17">
        <f>Настройки!T11</f>
        <v>45426</v>
      </c>
      <c r="S9" s="17">
        <f>Настройки!U11</f>
        <v>45427</v>
      </c>
      <c r="T9" s="17">
        <f>Настройки!V11</f>
        <v>45428</v>
      </c>
      <c r="U9" s="17">
        <f>Настройки!W11</f>
        <v>45429</v>
      </c>
      <c r="V9" s="17">
        <f>Настройки!X11</f>
        <v>45430</v>
      </c>
      <c r="W9" s="17">
        <f>Настройки!Y11</f>
        <v>45431</v>
      </c>
      <c r="X9" s="17">
        <f>Настройки!Z11</f>
        <v>45432</v>
      </c>
      <c r="Y9" s="17">
        <f>Настройки!AA11</f>
        <v>45433</v>
      </c>
      <c r="Z9" s="17">
        <f>Настройки!AB11</f>
        <v>45434</v>
      </c>
      <c r="AA9" s="17">
        <f>Настройки!AC11</f>
        <v>45435</v>
      </c>
      <c r="AB9" s="17">
        <f>Настройки!AD11</f>
        <v>45436</v>
      </c>
      <c r="AC9" s="17">
        <f>Настройки!AE11</f>
        <v>45437</v>
      </c>
      <c r="AD9" s="17">
        <f>Настройки!AF11</f>
        <v>45438</v>
      </c>
      <c r="AE9" s="17">
        <f>Настройки!AG11</f>
        <v>45439</v>
      </c>
      <c r="AF9" s="17">
        <f>Настройки!AH11</f>
        <v>45440</v>
      </c>
      <c r="AG9" s="17">
        <f>Настройки!AI11</f>
        <v>45441</v>
      </c>
      <c r="AH9" s="17">
        <f>Настройки!AJ11</f>
        <v>45442</v>
      </c>
      <c r="AI9" s="17">
        <f>Настройки!AK11</f>
        <v>45443</v>
      </c>
      <c r="AJ9" s="63"/>
      <c r="AK9" s="65"/>
    </row>
    <row r="10" spans="1:38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9"/>
      <c r="AJ10" s="63"/>
      <c r="AK10" s="65"/>
    </row>
    <row r="11" spans="1:38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2"/>
      <c r="AJ11" s="63"/>
      <c r="AK11" s="66"/>
    </row>
    <row r="12" spans="1:38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SUMPRODUCT((Настройки!$G$25:$AK$25=1)*E16:AI16)</f>
        <v>0</v>
      </c>
      <c r="D13" s="5">
        <v>1</v>
      </c>
      <c r="E13" s="23">
        <f>SUMPRODUCT((Май[№]=1)*Май[1],Май[Объем])</f>
        <v>0</v>
      </c>
      <c r="F13" s="23">
        <f>SUMPRODUCT((Май[№]=1)*Май[2],Май[Объем])</f>
        <v>0</v>
      </c>
      <c r="G13" s="23">
        <f>SUMPRODUCT((Май[№]=1)*Май[3],Май[Объем])</f>
        <v>0</v>
      </c>
      <c r="H13" s="23">
        <f>SUMPRODUCT((Май[№]=1)*Май[4],Май[Объем])</f>
        <v>0</v>
      </c>
      <c r="I13" s="23">
        <f>SUMPRODUCT((Май[№]=1)*Май[5],Май[Объем])</f>
        <v>0</v>
      </c>
      <c r="J13" s="23">
        <f>SUMPRODUCT((Май[№]=1)*Май[6],Май[Объем])</f>
        <v>0</v>
      </c>
      <c r="K13" s="23">
        <f>SUMPRODUCT((Май[№]=1)*Май[7],Май[Объем])</f>
        <v>0</v>
      </c>
      <c r="L13" s="23">
        <f>SUMPRODUCT((Май[№]=1)*Май[8],Май[Объем])</f>
        <v>0</v>
      </c>
      <c r="M13" s="23">
        <f>SUMPRODUCT((Май[№]=1)*Май[9],Май[Объем])</f>
        <v>0</v>
      </c>
      <c r="N13" s="23">
        <f>SUMPRODUCT((Май[№]=1)*Май[10],Май[Объем])</f>
        <v>0</v>
      </c>
      <c r="O13" s="23">
        <f>SUMPRODUCT((Май[№]=1)*Май[11],Май[Объем])</f>
        <v>0</v>
      </c>
      <c r="P13" s="23">
        <f>SUMPRODUCT((Май[№]=1)*Май[12],Май[Объем])</f>
        <v>0</v>
      </c>
      <c r="Q13" s="23">
        <f>SUMPRODUCT((Май[№]=1)*Май[13],Май[Объем])</f>
        <v>0</v>
      </c>
      <c r="R13" s="23">
        <f>SUMPRODUCT((Май[№]=1)*Май[14],Май[Объем])</f>
        <v>0</v>
      </c>
      <c r="S13" s="23">
        <f>SUMPRODUCT((Май[№]=1)*Май[15],Май[Объем])</f>
        <v>0</v>
      </c>
      <c r="T13" s="23">
        <f>SUMPRODUCT((Май[№]=1)*Май[16],Май[Объем])</f>
        <v>0</v>
      </c>
      <c r="U13" s="23">
        <f>SUMPRODUCT((Май[№]=1)*Май[17],Май[Объем])</f>
        <v>0</v>
      </c>
      <c r="V13" s="23">
        <f>SUMPRODUCT((Май[№]=1)*Май[18],Май[Объем])</f>
        <v>0</v>
      </c>
      <c r="W13" s="23">
        <f>SUMPRODUCT((Май[№]=1)*Май[19],Май[Объем])</f>
        <v>0</v>
      </c>
      <c r="X13" s="23">
        <f>SUMPRODUCT((Май[№]=1)*Май[20],Май[Объем])</f>
        <v>0</v>
      </c>
      <c r="Y13" s="23">
        <f>SUMPRODUCT((Май[№]=1)*Май[21],Май[Объем])</f>
        <v>0</v>
      </c>
      <c r="Z13" s="23">
        <f>SUMPRODUCT((Май[№]=1)*Май[22],Май[Объем])</f>
        <v>0</v>
      </c>
      <c r="AA13" s="23">
        <f>SUMPRODUCT((Май[№]=1)*Май[23],Май[Объем])</f>
        <v>0</v>
      </c>
      <c r="AB13" s="23">
        <f>SUMPRODUCT((Май[№]=1)*Май[24],Май[Объем])</f>
        <v>0</v>
      </c>
      <c r="AC13" s="23">
        <f>SUMPRODUCT((Май[№]=1)*Май[25],Май[Объем])</f>
        <v>0</v>
      </c>
      <c r="AD13" s="23">
        <f>SUMPRODUCT((Май[№]=1)*Май[26],Май[Объем])</f>
        <v>0</v>
      </c>
      <c r="AE13" s="23">
        <f>SUMPRODUCT((Май[№]=1)*Май[27],Май[Объем])</f>
        <v>0</v>
      </c>
      <c r="AF13" s="23">
        <f>SUMPRODUCT((Май[№]=1)*Май[28],Май[Объем])</f>
        <v>0</v>
      </c>
      <c r="AG13" s="23">
        <f>SUMPRODUCT((Май[№]=1)*Май[29],Май[Объем])</f>
        <v>0</v>
      </c>
      <c r="AH13" s="23">
        <f>SUMPRODUCT((Май[№]=1)*Май[30],Май[Объем])</f>
        <v>0</v>
      </c>
      <c r="AI13" s="23">
        <f>SUMPRODUCT((Май[№]=1)*Май[31],Май[Объем])</f>
        <v>0</v>
      </c>
      <c r="AL13" s="4"/>
    </row>
    <row r="14" spans="1:38" x14ac:dyDescent="0.25">
      <c r="B14" s="3">
        <f ca="1">SUMPRODUCT((Настройки!$G$25:$AK$25=2)*E16:AI16)</f>
        <v>0</v>
      </c>
      <c r="D14" s="5">
        <v>2</v>
      </c>
      <c r="E14" s="23">
        <f ca="1">SUMPRODUCT((Май[№]=2)*Май[1],OFFSET(Май[Объем],-1,0))</f>
        <v>0</v>
      </c>
      <c r="F14" s="23">
        <f ca="1">SUMPRODUCT((Май[№]=2)*Май[2],OFFSET(Май[Объем],-1,0))</f>
        <v>0</v>
      </c>
      <c r="G14" s="23">
        <f ca="1">SUMPRODUCT((Май[№]=2)*Май[3],OFFSET(Май[Объем],-1,0))</f>
        <v>0</v>
      </c>
      <c r="H14" s="23">
        <f ca="1">SUMPRODUCT((Май[№]=2)*Май[4],OFFSET(Май[Объем],-1,0))</f>
        <v>0</v>
      </c>
      <c r="I14" s="23">
        <f ca="1">SUMPRODUCT((Май[№]=2)*Май[5],OFFSET(Май[Объем],-1,0))</f>
        <v>0</v>
      </c>
      <c r="J14" s="23">
        <f ca="1">SUMPRODUCT((Май[№]=2)*Май[6],OFFSET(Май[Объем],-1,0))</f>
        <v>0</v>
      </c>
      <c r="K14" s="23">
        <f ca="1">SUMPRODUCT((Май[№]=2)*Май[7],OFFSET(Май[Объем],-1,0))</f>
        <v>0</v>
      </c>
      <c r="L14" s="23">
        <f ca="1">SUMPRODUCT((Май[№]=2)*Май[8],OFFSET(Май[Объем],-1,0))</f>
        <v>0</v>
      </c>
      <c r="M14" s="23">
        <f ca="1">SUMPRODUCT((Май[№]=2)*Май[9],OFFSET(Май[Объем],-1,0))</f>
        <v>0</v>
      </c>
      <c r="N14" s="23">
        <f ca="1">SUMPRODUCT((Май[№]=2)*Май[10],OFFSET(Май[Объем],-1,0))</f>
        <v>0</v>
      </c>
      <c r="O14" s="23">
        <f ca="1">SUMPRODUCT((Май[№]=2)*Май[11],OFFSET(Май[Объем],-1,0))</f>
        <v>0</v>
      </c>
      <c r="P14" s="23">
        <f ca="1">SUMPRODUCT((Май[№]=2)*Май[12],OFFSET(Май[Объем],-1,0))</f>
        <v>0</v>
      </c>
      <c r="Q14" s="23">
        <f ca="1">SUMPRODUCT((Май[№]=2)*Май[13],OFFSET(Май[Объем],-1,0))</f>
        <v>0</v>
      </c>
      <c r="R14" s="23">
        <f ca="1">SUMPRODUCT((Май[№]=2)*Май[14],OFFSET(Май[Объем],-1,0))</f>
        <v>0</v>
      </c>
      <c r="S14" s="23">
        <f ca="1">SUMPRODUCT((Май[№]=2)*Май[15],OFFSET(Май[Объем],-1,0))</f>
        <v>0</v>
      </c>
      <c r="T14" s="23">
        <f ca="1">SUMPRODUCT((Май[№]=2)*Май[16],OFFSET(Май[Объем],-1,0))</f>
        <v>0</v>
      </c>
      <c r="U14" s="23">
        <f ca="1">SUMPRODUCT((Май[№]=2)*Май[17],OFFSET(Май[Объем],-1,0))</f>
        <v>0</v>
      </c>
      <c r="V14" s="23">
        <f ca="1">SUMPRODUCT((Май[№]=2)*Май[18],OFFSET(Май[Объем],-1,0))</f>
        <v>0</v>
      </c>
      <c r="W14" s="23">
        <f ca="1">SUMPRODUCT((Май[№]=2)*Май[19],OFFSET(Май[Объем],-1,0))</f>
        <v>0</v>
      </c>
      <c r="X14" s="23">
        <f ca="1">SUMPRODUCT((Май[№]=2)*Май[20],OFFSET(Май[Объем],-1,0))</f>
        <v>0</v>
      </c>
      <c r="Y14" s="23">
        <f ca="1">SUMPRODUCT((Май[№]=2)*Май[21],OFFSET(Май[Объем],-1,0))</f>
        <v>0</v>
      </c>
      <c r="Z14" s="23">
        <f ca="1">SUMPRODUCT((Май[№]=2)*Май[22],OFFSET(Май[Объем],-1,0))</f>
        <v>0</v>
      </c>
      <c r="AA14" s="23">
        <f ca="1">SUMPRODUCT((Май[№]=2)*Май[23],OFFSET(Май[Объем],-1,0))</f>
        <v>0</v>
      </c>
      <c r="AB14" s="23">
        <f ca="1">SUMPRODUCT((Май[№]=2)*Май[24],OFFSET(Май[Объем],-1,0))</f>
        <v>0</v>
      </c>
      <c r="AC14" s="23">
        <f ca="1">SUMPRODUCT((Май[№]=2)*Май[25],OFFSET(Май[Объем],-1,0))</f>
        <v>0</v>
      </c>
      <c r="AD14" s="23">
        <f ca="1">SUMPRODUCT((Май[№]=2)*Май[26],OFFSET(Май[Объем],-1,0))</f>
        <v>0</v>
      </c>
      <c r="AE14" s="23">
        <f ca="1">SUMPRODUCT((Май[№]=2)*Май[27],OFFSET(Май[Объем],-1,0))</f>
        <v>0</v>
      </c>
      <c r="AF14" s="23">
        <f ca="1">SUMPRODUCT((Май[№]=2)*Май[28],OFFSET(Май[Объем],-1,0))</f>
        <v>0</v>
      </c>
      <c r="AG14" s="23">
        <f ca="1">SUMPRODUCT((Май[№]=2)*Май[29],OFFSET(Май[Объем],-1,0))</f>
        <v>0</v>
      </c>
      <c r="AH14" s="23">
        <f ca="1">SUMPRODUCT((Май[№]=2)*Май[30],OFFSET(Май[Объем],-1,0))</f>
        <v>0</v>
      </c>
      <c r="AI14" s="23">
        <f ca="1">SUMPRODUCT((Май[№]=2)*Май[31],OFFSET(Май[Объем],-1,0))</f>
        <v>0</v>
      </c>
      <c r="AL14" s="4"/>
    </row>
    <row r="15" spans="1:38" x14ac:dyDescent="0.25">
      <c r="B15" s="3">
        <f ca="1">SUMPRODUCT((Настройки!$G$25:$AK$25=3)*E16:AI16)</f>
        <v>0</v>
      </c>
      <c r="D15" s="5">
        <v>3</v>
      </c>
      <c r="E15" s="23">
        <f ca="1">SUMPRODUCT((Май[№]=3)*Май[1],OFFSET(Май[Объем],-2,0))</f>
        <v>0</v>
      </c>
      <c r="F15" s="23">
        <f ca="1">SUMPRODUCT((Май[№]=3)*Май[2],OFFSET(Май[Объем],-2,0))</f>
        <v>0</v>
      </c>
      <c r="G15" s="23">
        <f ca="1">SUMPRODUCT((Май[№]=3)*Май[3],OFFSET(Май[Объем],-2,0))</f>
        <v>0</v>
      </c>
      <c r="H15" s="23">
        <f ca="1">SUMPRODUCT((Май[№]=3)*Май[4],OFFSET(Май[Объем],-2,0))</f>
        <v>0</v>
      </c>
      <c r="I15" s="23">
        <f ca="1">SUMPRODUCT((Май[№]=3)*Май[5],OFFSET(Май[Объем],-2,0))</f>
        <v>0</v>
      </c>
      <c r="J15" s="23">
        <f ca="1">SUMPRODUCT((Май[№]=3)*Май[6],OFFSET(Май[Объем],-2,0))</f>
        <v>0</v>
      </c>
      <c r="K15" s="23">
        <f ca="1">SUMPRODUCT((Май[№]=3)*Май[7],OFFSET(Май[Объем],-2,0))</f>
        <v>0</v>
      </c>
      <c r="L15" s="23">
        <f ca="1">SUMPRODUCT((Май[№]=3)*Май[8],OFFSET(Май[Объем],-2,0))</f>
        <v>0</v>
      </c>
      <c r="M15" s="23">
        <f ca="1">SUMPRODUCT((Май[№]=3)*Май[9],OFFSET(Май[Объем],-2,0))</f>
        <v>0</v>
      </c>
      <c r="N15" s="23">
        <f ca="1">SUMPRODUCT((Май[№]=3)*Май[10],OFFSET(Май[Объем],-2,0))</f>
        <v>0</v>
      </c>
      <c r="O15" s="23">
        <f ca="1">SUMPRODUCT((Май[№]=3)*Май[11],OFFSET(Май[Объем],-2,0))</f>
        <v>0</v>
      </c>
      <c r="P15" s="23">
        <f ca="1">SUMPRODUCT((Май[№]=3)*Май[12],OFFSET(Май[Объем],-2,0))</f>
        <v>0</v>
      </c>
      <c r="Q15" s="23">
        <f ca="1">SUMPRODUCT((Май[№]=3)*Май[13],OFFSET(Май[Объем],-2,0))</f>
        <v>0</v>
      </c>
      <c r="R15" s="23">
        <f ca="1">SUMPRODUCT((Май[№]=3)*Май[14],OFFSET(Май[Объем],-2,0))</f>
        <v>0</v>
      </c>
      <c r="S15" s="23">
        <f ca="1">SUMPRODUCT((Май[№]=3)*Май[15],OFFSET(Май[Объем],-2,0))</f>
        <v>0</v>
      </c>
      <c r="T15" s="23">
        <f ca="1">SUMPRODUCT((Май[№]=3)*Май[16],OFFSET(Май[Объем],-2,0))</f>
        <v>0</v>
      </c>
      <c r="U15" s="23">
        <f ca="1">SUMPRODUCT((Май[№]=3)*Май[17],OFFSET(Май[Объем],-2,0))</f>
        <v>0</v>
      </c>
      <c r="V15" s="23">
        <f ca="1">SUMPRODUCT((Май[№]=3)*Май[18],OFFSET(Май[Объем],-2,0))</f>
        <v>0</v>
      </c>
      <c r="W15" s="23">
        <f ca="1">SUMPRODUCT((Май[№]=3)*Май[19],OFFSET(Май[Объем],-2,0))</f>
        <v>0</v>
      </c>
      <c r="X15" s="23">
        <f ca="1">SUMPRODUCT((Май[№]=3)*Май[20],OFFSET(Май[Объем],-2,0))</f>
        <v>0</v>
      </c>
      <c r="Y15" s="23">
        <f ca="1">SUMPRODUCT((Май[№]=3)*Май[21],OFFSET(Май[Объем],-2,0))</f>
        <v>0</v>
      </c>
      <c r="Z15" s="23">
        <f ca="1">SUMPRODUCT((Май[№]=3)*Май[22],OFFSET(Май[Объем],-2,0))</f>
        <v>0</v>
      </c>
      <c r="AA15" s="23">
        <f ca="1">SUMPRODUCT((Май[№]=3)*Май[23],OFFSET(Май[Объем],-2,0))</f>
        <v>0</v>
      </c>
      <c r="AB15" s="23">
        <f ca="1">SUMPRODUCT((Май[№]=3)*Май[24],OFFSET(Май[Объем],-2,0))</f>
        <v>0</v>
      </c>
      <c r="AC15" s="23">
        <f ca="1">SUMPRODUCT((Май[№]=3)*Май[25],OFFSET(Май[Объем],-2,0))</f>
        <v>0</v>
      </c>
      <c r="AD15" s="23">
        <f ca="1">SUMPRODUCT((Май[№]=3)*Май[26],OFFSET(Май[Объем],-2,0))</f>
        <v>0</v>
      </c>
      <c r="AE15" s="23">
        <f ca="1">SUMPRODUCT((Май[№]=3)*Май[27],OFFSET(Май[Объем],-2,0))</f>
        <v>0</v>
      </c>
      <c r="AF15" s="23">
        <f ca="1">SUMPRODUCT((Май[№]=3)*Май[28],OFFSET(Май[Объем],-2,0))</f>
        <v>0</v>
      </c>
      <c r="AG15" s="23">
        <f ca="1">SUMPRODUCT((Май[№]=3)*Май[29],OFFSET(Май[Объем],-2,0))</f>
        <v>0</v>
      </c>
      <c r="AH15" s="23">
        <f ca="1">SUMPRODUCT((Май[№]=3)*Май[30],OFFSET(Май[Объем],-2,0))</f>
        <v>0</v>
      </c>
      <c r="AI15" s="23">
        <f ca="1">SUMPRODUCT((Май[№]=3)*Май[31],OFFSET(Май[Объем],-2,0))</f>
        <v>0</v>
      </c>
      <c r="AK15" s="9"/>
    </row>
    <row r="16" spans="1:38" x14ac:dyDescent="0.25">
      <c r="B16" s="3">
        <f ca="1">SUMPRODUCT((Настройки!$G$25:$AK$25=4)*E16:AI16)</f>
        <v>0</v>
      </c>
      <c r="D16" s="5"/>
      <c r="E16" s="2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I16" s="23">
        <f ca="1">SUM(AI13:AI15)</f>
        <v>0</v>
      </c>
      <c r="AK16" s="9"/>
    </row>
    <row r="17" spans="1:37" x14ac:dyDescent="0.25">
      <c r="B17" s="3">
        <f ca="1">SUMPRODUCT((Настройки!$G$25:$AK$25=5)*E16:AI16)</f>
        <v>0</v>
      </c>
      <c r="C17" s="5">
        <f ca="1">МайИтоги[[#This Row],[№]]*60</f>
        <v>0</v>
      </c>
      <c r="D17" s="7">
        <f ca="1">SUM(МайИтоги[[#This Row],[1]:[31]])</f>
        <v>0</v>
      </c>
      <c r="E17" s="24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24">
        <f ca="1">AI16/60</f>
        <v>0</v>
      </c>
      <c r="AJ17" s="5">
        <f ca="1">SUM(Май[УСЛУГ])</f>
        <v>0</v>
      </c>
      <c r="AK17" s="15">
        <f ca="1">SUM(Май[МИНУТ])</f>
        <v>0</v>
      </c>
    </row>
    <row r="18" spans="1:37" x14ac:dyDescent="0.25">
      <c r="B18" s="13">
        <f ca="1">SUMPRODUCT((Настройки!$G$25:$AK$25=6)*E16:AI16)</f>
        <v>0</v>
      </c>
      <c r="C18" s="13"/>
      <c r="D18" s="7"/>
      <c r="E18" s="46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46"/>
      <c r="AJ18" s="13"/>
      <c r="AK18" s="45"/>
    </row>
    <row r="20" spans="1:37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9"/>
      <c r="AJ20" s="63" t="s">
        <v>64</v>
      </c>
      <c r="AK20" s="64" t="s">
        <v>64</v>
      </c>
    </row>
    <row r="21" spans="1:37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78"/>
      <c r="AJ21" s="63"/>
      <c r="AK21" s="65"/>
    </row>
    <row r="22" spans="1:37" x14ac:dyDescent="0.25">
      <c r="A22" s="73"/>
      <c r="B22" s="73"/>
      <c r="C22" s="74"/>
      <c r="D22" s="76"/>
      <c r="E22" s="20">
        <f>Настройки!G11</f>
        <v>45413</v>
      </c>
      <c r="F22" s="20">
        <f>Настройки!H11</f>
        <v>45414</v>
      </c>
      <c r="G22" s="20">
        <f>Настройки!I11</f>
        <v>45415</v>
      </c>
      <c r="H22" s="20">
        <f>Настройки!J11</f>
        <v>45416</v>
      </c>
      <c r="I22" s="20">
        <f>Настройки!K11</f>
        <v>45417</v>
      </c>
      <c r="J22" s="20">
        <f>Настройки!L11</f>
        <v>45418</v>
      </c>
      <c r="K22" s="20">
        <f>Настройки!M11</f>
        <v>45419</v>
      </c>
      <c r="L22" s="20">
        <f>Настройки!N11</f>
        <v>45420</v>
      </c>
      <c r="M22" s="20">
        <f>Настройки!O11</f>
        <v>45421</v>
      </c>
      <c r="N22" s="20">
        <f>Настройки!P11</f>
        <v>45422</v>
      </c>
      <c r="O22" s="20">
        <f>Настройки!Q11</f>
        <v>45423</v>
      </c>
      <c r="P22" s="20">
        <f>Настройки!R11</f>
        <v>45424</v>
      </c>
      <c r="Q22" s="20">
        <f>Настройки!S11</f>
        <v>45425</v>
      </c>
      <c r="R22" s="20">
        <f>Настройки!T11</f>
        <v>45426</v>
      </c>
      <c r="S22" s="20">
        <f>Настройки!U11</f>
        <v>45427</v>
      </c>
      <c r="T22" s="20">
        <f>Настройки!V11</f>
        <v>45428</v>
      </c>
      <c r="U22" s="20">
        <f>Настройки!W11</f>
        <v>45429</v>
      </c>
      <c r="V22" s="20">
        <f>Настройки!X11</f>
        <v>45430</v>
      </c>
      <c r="W22" s="20">
        <f>Настройки!Y11</f>
        <v>45431</v>
      </c>
      <c r="X22" s="20">
        <f>Настройки!Z11</f>
        <v>45432</v>
      </c>
      <c r="Y22" s="20">
        <f>Настройки!AA11</f>
        <v>45433</v>
      </c>
      <c r="Z22" s="20">
        <f>Настройки!AB11</f>
        <v>45434</v>
      </c>
      <c r="AA22" s="20">
        <f>Настройки!AC11</f>
        <v>45435</v>
      </c>
      <c r="AB22" s="20">
        <f>Настройки!AD11</f>
        <v>45436</v>
      </c>
      <c r="AC22" s="20">
        <f>Настройки!AE11</f>
        <v>45437</v>
      </c>
      <c r="AD22" s="20">
        <f>Настройки!AF11</f>
        <v>45438</v>
      </c>
      <c r="AE22" s="20">
        <f>Настройки!AG11</f>
        <v>45439</v>
      </c>
      <c r="AF22" s="20">
        <f>Настройки!AH11</f>
        <v>45440</v>
      </c>
      <c r="AG22" s="20">
        <f>Настройки!AI11</f>
        <v>45441</v>
      </c>
      <c r="AH22" s="20">
        <f>Настройки!AJ11</f>
        <v>45442</v>
      </c>
      <c r="AI22" s="20">
        <f>Настройки!AK11</f>
        <v>45443</v>
      </c>
      <c r="AJ22" s="63"/>
      <c r="AK22" s="65"/>
    </row>
    <row r="23" spans="1:37" x14ac:dyDescent="0.25">
      <c r="A23" s="73"/>
      <c r="B23" s="73"/>
      <c r="C23" s="74"/>
      <c r="D23" s="76"/>
      <c r="E23" s="73" t="s">
        <v>54</v>
      </c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9"/>
      <c r="AJ23" s="63"/>
      <c r="AK23" s="65"/>
    </row>
    <row r="24" spans="1:37" x14ac:dyDescent="0.25">
      <c r="A24" s="73"/>
      <c r="B24" s="73"/>
      <c r="C24" s="74"/>
      <c r="D24" s="76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9"/>
      <c r="AJ24" s="63"/>
      <c r="AK24" s="66"/>
    </row>
    <row r="25" spans="1:37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IF(Май[[#This Row],[№]]=1,SUM(Май[[#This Row],[1]:[31]])+SUM(OFFSET(Май[[#This Row],[1]:[31]],1,0))+SUM(OFFSET(Май[[#This Row],[1]:[31]],2,0)),"")</f>
        <v>0</v>
      </c>
      <c r="AK26" s="5">
        <f ca="1">IF(Май[[#This Row],[УСЛУГ]]&lt;&gt;"",Май[[#This Row],[УСЛУГ]]*Май[[#This Row],[Объем]],"")</f>
        <v>0</v>
      </c>
    </row>
    <row r="27" spans="1:37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IF(Май[[#This Row],[№]]=1,SUM(Май[[#This Row],[1]:[31]])+SUM(OFFSET(Май[[#This Row],[1]:[31]],1,0))+SUM(OFFSET(Май[[#This Row],[1]:[31]],2,0)),"")</f>
        <v/>
      </c>
      <c r="AK27" s="5" t="str">
        <f ca="1">IF(Май[[#This Row],[УСЛУГ]]&lt;&gt;"",Май[[#This Row],[УСЛУГ]]*Май[[#This Row],[Объем]],"")</f>
        <v/>
      </c>
    </row>
    <row r="28" spans="1:37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IF(Май[[#This Row],[№]]=1,SUM(Май[[#This Row],[1]:[31]])+SUM(OFFSET(Май[[#This Row],[1]:[31]],1,0))+SUM(OFFSET(Май[[#This Row],[1]:[31]],2,0)),"")</f>
        <v/>
      </c>
      <c r="AK28" s="5" t="str">
        <f ca="1">IF(Май[[#This Row],[УСЛУГ]]&lt;&gt;"",Май[[#This Row],[УСЛУГ]]*Май[[#This Row],[Объем]],"")</f>
        <v/>
      </c>
    </row>
  </sheetData>
  <mergeCells count="20">
    <mergeCell ref="A2:AJ2"/>
    <mergeCell ref="A3:AJ3"/>
    <mergeCell ref="J4:L4"/>
    <mergeCell ref="M4:U4"/>
    <mergeCell ref="M5:Q5"/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</mergeCells>
  <conditionalFormatting sqref="E9:AI9">
    <cfRule type="expression" dxfId="874" priority="2">
      <formula>WEEKDAY(E9:AI9,2)&gt;5</formula>
    </cfRule>
  </conditionalFormatting>
  <conditionalFormatting sqref="E22:AI22">
    <cfRule type="expression" dxfId="873" priority="1">
      <formula>WEEKDAY(E22:AI22,2)&gt;5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AI13:AK13 B13:B18 E16:E17 AI16:AK17 AJ14:AK14 AJ15:AK15 E14:AI15" calculatedColumn="1"/>
  </ignoredErrors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7" tint="0.39997558519241921"/>
    <pageSetUpPr fitToPage="1"/>
  </sheetPr>
  <dimension ref="A2:AF36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125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Настройки!G11</f>
        <v>45413</v>
      </c>
      <c r="C10" s="29">
        <f>Настройки!H11</f>
        <v>45414</v>
      </c>
      <c r="D10" s="29">
        <f>Настройки!I11</f>
        <v>45415</v>
      </c>
      <c r="E10" s="29">
        <f>Настройки!J11</f>
        <v>45416</v>
      </c>
      <c r="F10" s="29">
        <f>Настройки!K11</f>
        <v>45417</v>
      </c>
      <c r="G10" s="29">
        <f>Настройки!L11</f>
        <v>45418</v>
      </c>
      <c r="H10" s="29">
        <f>Настройки!M11</f>
        <v>45419</v>
      </c>
      <c r="I10" s="29">
        <f>Настройки!N11</f>
        <v>45420</v>
      </c>
      <c r="J10" s="29">
        <f>Настройки!O11</f>
        <v>45421</v>
      </c>
      <c r="K10" s="29">
        <f>Настройки!P11</f>
        <v>45422</v>
      </c>
      <c r="L10" s="29">
        <f>Настройки!Q11</f>
        <v>45423</v>
      </c>
      <c r="M10" s="29">
        <f>Настройки!R11</f>
        <v>45424</v>
      </c>
      <c r="N10" s="29">
        <f>Настройки!S11</f>
        <v>45425</v>
      </c>
      <c r="O10" s="29">
        <f>Настройки!T11</f>
        <v>45426</v>
      </c>
      <c r="P10" s="29">
        <f>Настройки!U11</f>
        <v>45427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IF(Настройки!J2&lt;&gt;"",TEXT(MIN(Настройки!G60:AK60,Настройки!J2),"ч:мм")&amp;"-"&amp;TEXT(MAX(Настройки!G60:AK60,Настройки!J2)+TIME(0,MAX(Май!E13:AI13),0),"ч:мм"),"")</f>
        <v>9:00-9:00</v>
      </c>
      <c r="B14" s="30" t="str">
        <f>IF(TEXT(IF(Настройки!G60="",TEXT(Настройки!$J2,"ч:мм"),TEXT(Настройки!G60,"ч:мм"))+TIME(0,Май!E13,0),"ч::мм")=TEXT(IF(Настройки!G60="",TEXT(Настройки!$J2,"ч:мм"),TEXT(Настройки!G60,"ч:мм")),"ч:мм"),"",TEXT(IF(Настройки!G60="",TEXT(Настройки!$J2,"ч:мм"),TEXT(Настройки!G60,"ч:мм")),"ч:мм")&amp;"-"&amp;TEXT(IF(Настройки!G60="",TEXT(Настройки!$J2,"ч:мм"),TEXT(Настройки!G60,"ч:мм"))+TIME(0,Май!E13,0),"ч::мм"))</f>
        <v/>
      </c>
      <c r="C14" s="30" t="str">
        <f>IF(TEXT(IF(Настройки!H60="",TEXT(Настройки!$J2,"ч:мм"),TEXT(Настройки!H60,"ч:мм"))+TIME(0,Май!F13,0),"ч::мм")=TEXT(IF(Настройки!H60="",TEXT(Настройки!$J2,"ч:мм"),TEXT(Настройки!H60,"ч:мм")),"ч:мм"),"",TEXT(IF(Настройки!H60="",TEXT(Настройки!$J2,"ч:мм"),TEXT(Настройки!H60,"ч:мм")),"ч:мм")&amp;"-"&amp;TEXT(IF(Настройки!H60="",TEXT(Настройки!$J2,"ч:мм"),TEXT(Настройки!H60,"ч:мм"))+TIME(0,Май!F13,0),"ч::мм"))</f>
        <v/>
      </c>
      <c r="D14" s="30" t="str">
        <f>IF(TEXT(IF(Настройки!I60="",TEXT(Настройки!$J2,"ч:мм"),TEXT(Настройки!I60,"ч:мм"))+TIME(0,Май!G13,0),"ч::мм")=TEXT(IF(Настройки!I60="",TEXT(Настройки!$J2,"ч:мм"),TEXT(Настройки!I60,"ч:мм")),"ч:мм"),"",TEXT(IF(Настройки!I60="",TEXT(Настройки!$J2,"ч:мм"),TEXT(Настройки!I60,"ч:мм")),"ч:мм")&amp;"-"&amp;TEXT(IF(Настройки!I60="",TEXT(Настройки!$J2,"ч:мм"),TEXT(Настройки!I60,"ч:мм"))+TIME(0,Май!G13,0),"ч::мм"))</f>
        <v/>
      </c>
      <c r="E14" s="30" t="str">
        <f>IF(TEXT(IF(Настройки!J60="",TEXT(Настройки!$J2,"ч:мм"),TEXT(Настройки!J60,"ч:мм"))+TIME(0,Май!H13,0),"ч::мм")=TEXT(IF(Настройки!J60="",TEXT(Настройки!$J2,"ч:мм"),TEXT(Настройки!J60,"ч:мм")),"ч:мм"),"",TEXT(IF(Настройки!J60="",TEXT(Настройки!$J2,"ч:мм"),TEXT(Настройки!J60,"ч:мм")),"ч:мм")&amp;"-"&amp;TEXT(IF(Настройки!J60="",TEXT(Настройки!$J2,"ч:мм"),TEXT(Настройки!J60,"ч:мм"))+TIME(0,Май!H13,0),"ч::мм"))</f>
        <v/>
      </c>
      <c r="F14" s="30" t="str">
        <f>IF(TEXT(IF(Настройки!K60="",TEXT(Настройки!$J2,"ч:мм"),TEXT(Настройки!K60,"ч:мм"))+TIME(0,Май!I13,0),"ч::мм")=TEXT(IF(Настройки!K60="",TEXT(Настройки!$J2,"ч:мм"),TEXT(Настройки!K60,"ч:мм")),"ч:мм"),"",TEXT(IF(Настройки!K60="",TEXT(Настройки!$J2,"ч:мм"),TEXT(Настройки!K60,"ч:мм")),"ч:мм")&amp;"-"&amp;TEXT(IF(Настройки!K60="",TEXT(Настройки!$J2,"ч:мм"),TEXT(Настройки!K60,"ч:мм"))+TIME(0,Май!I13,0),"ч::мм"))</f>
        <v/>
      </c>
      <c r="G14" s="30" t="str">
        <f>IF(TEXT(IF(Настройки!L60="",TEXT(Настройки!$J2,"ч:мм"),TEXT(Настройки!L60,"ч:мм"))+TIME(0,Май!J13,0),"ч::мм")=TEXT(IF(Настройки!L60="",TEXT(Настройки!$J2,"ч:мм"),TEXT(Настройки!L60,"ч:мм")),"ч:мм"),"",TEXT(IF(Настройки!L60="",TEXT(Настройки!$J2,"ч:мм"),TEXT(Настройки!L60,"ч:мм")),"ч:мм")&amp;"-"&amp;TEXT(IF(Настройки!L60="",TEXT(Настройки!$J2,"ч:мм"),TEXT(Настройки!L60,"ч:мм"))+TIME(0,Май!J13,0),"ч::мм"))</f>
        <v/>
      </c>
      <c r="H14" s="30" t="str">
        <f>IF(TEXT(IF(Настройки!M60="",TEXT(Настройки!$J2,"ч:мм"),TEXT(Настройки!M60,"ч:мм"))+TIME(0,Май!K13,0),"ч::мм")=TEXT(IF(Настройки!M60="",TEXT(Настройки!$J2,"ч:мм"),TEXT(Настройки!M60,"ч:мм")),"ч:мм"),"",TEXT(IF(Настройки!M60="",TEXT(Настройки!$J2,"ч:мм"),TEXT(Настройки!M60,"ч:мм")),"ч:мм")&amp;"-"&amp;TEXT(IF(Настройки!M60="",TEXT(Настройки!$J2,"ч:мм"),TEXT(Настройки!M60,"ч:мм"))+TIME(0,Май!K13,0),"ч::мм"))</f>
        <v/>
      </c>
      <c r="I14" s="30" t="str">
        <f>IF(TEXT(IF(Настройки!N60="",TEXT(Настройки!$J2,"ч:мм"),TEXT(Настройки!N60,"ч:мм"))+TIME(0,Май!L13,0),"ч::мм")=TEXT(IF(Настройки!N60="",TEXT(Настройки!$J2,"ч:мм"),TEXT(Настройки!N60,"ч:мм")),"ч:мм"),"",TEXT(IF(Настройки!N60="",TEXT(Настройки!$J2,"ч:мм"),TEXT(Настройки!N60,"ч:мм")),"ч:мм")&amp;"-"&amp;TEXT(IF(Настройки!N60="",TEXT(Настройки!$J2,"ч:мм"),TEXT(Настройки!N60,"ч:мм"))+TIME(0,Май!L13,0),"ч::мм"))</f>
        <v/>
      </c>
      <c r="J14" s="30" t="str">
        <f>IF(TEXT(IF(Настройки!O60="",TEXT(Настройки!$J2,"ч:мм"),TEXT(Настройки!O60,"ч:мм"))+TIME(0,Май!M13,0),"ч::мм")=TEXT(IF(Настройки!O60="",TEXT(Настройки!$J2,"ч:мм"),TEXT(Настройки!O60,"ч:мм")),"ч:мм"),"",TEXT(IF(Настройки!O60="",TEXT(Настройки!$J2,"ч:мм"),TEXT(Настройки!O60,"ч:мм")),"ч:мм")&amp;"-"&amp;TEXT(IF(Настройки!O60="",TEXT(Настройки!$J2,"ч:мм"),TEXT(Настройки!O60,"ч:мм"))+TIME(0,Май!M13,0),"ч::мм"))</f>
        <v/>
      </c>
      <c r="K14" s="30" t="str">
        <f>IF(TEXT(IF(Настройки!P60="",TEXT(Настройки!$J2,"ч:мм"),TEXT(Настройки!P60,"ч:мм"))+TIME(0,Май!N13,0),"ч::мм")=TEXT(IF(Настройки!P60="",TEXT(Настройки!$J2,"ч:мм"),TEXT(Настройки!P60,"ч:мм")),"ч:мм"),"",TEXT(IF(Настройки!P60="",TEXT(Настройки!$J2,"ч:мм"),TEXT(Настройки!P60,"ч:мм")),"ч:мм")&amp;"-"&amp;TEXT(IF(Настройки!P60="",TEXT(Настройки!$J2,"ч:мм"),TEXT(Настройки!P60,"ч:мм"))+TIME(0,Май!N13,0),"ч::мм"))</f>
        <v/>
      </c>
      <c r="L14" s="30" t="str">
        <f>IF(TEXT(IF(Настройки!Q60="",TEXT(Настройки!$J2,"ч:мм"),TEXT(Настройки!Q60,"ч:мм"))+TIME(0,Май!O13,0),"ч::мм")=TEXT(IF(Настройки!Q60="",TEXT(Настройки!$J2,"ч:мм"),TEXT(Настройки!Q60,"ч:мм")),"ч:мм"),"",TEXT(IF(Настройки!Q60="",TEXT(Настройки!$J2,"ч:мм"),TEXT(Настройки!Q60,"ч:мм")),"ч:мм")&amp;"-"&amp;TEXT(IF(Настройки!Q60="",TEXT(Настройки!$J2,"ч:мм"),TEXT(Настройки!Q60,"ч:мм"))+TIME(0,Май!O13,0),"ч::мм"))</f>
        <v/>
      </c>
      <c r="M14" s="30" t="str">
        <f>IF(TEXT(IF(Настройки!R60="",TEXT(Настройки!$J2,"ч:мм"),TEXT(Настройки!R60,"ч:мм"))+TIME(0,Май!P13,0),"ч::мм")=TEXT(IF(Настройки!R60="",TEXT(Настройки!$J2,"ч:мм"),TEXT(Настройки!R60,"ч:мм")),"ч:мм"),"",TEXT(IF(Настройки!R60="",TEXT(Настройки!$J2,"ч:мм"),TEXT(Настройки!R60,"ч:мм")),"ч:мм")&amp;"-"&amp;TEXT(IF(Настройки!R60="",TEXT(Настройки!$J2,"ч:мм"),TEXT(Настройки!R60,"ч:мм"))+TIME(0,Май!P13,0),"ч::мм"))</f>
        <v/>
      </c>
      <c r="N14" s="30" t="str">
        <f>IF(TEXT(IF(Настройки!S60="",TEXT(Настройки!$J2,"ч:мм"),TEXT(Настройки!S60,"ч:мм"))+TIME(0,Май!Q13,0),"ч::мм")=TEXT(IF(Настройки!S60="",TEXT(Настройки!$J2,"ч:мм"),TEXT(Настройки!S60,"ч:мм")),"ч:мм"),"",TEXT(IF(Настройки!S60="",TEXT(Настройки!$J2,"ч:мм"),TEXT(Настройки!S60,"ч:мм")),"ч:мм")&amp;"-"&amp;TEXT(IF(Настройки!S60="",TEXT(Настройки!$J2,"ч:мм"),TEXT(Настройки!S60,"ч:мм"))+TIME(0,Май!Q13,0),"ч::мм"))</f>
        <v/>
      </c>
      <c r="O14" s="30" t="str">
        <f>IF(TEXT(IF(Настройки!T60="",TEXT(Настройки!$J2,"ч:мм"),TEXT(Настройки!T60,"ч:мм"))+TIME(0,Май!R13,0),"ч::мм")=TEXT(IF(Настройки!T60="",TEXT(Настройки!$J2,"ч:мм"),TEXT(Настройки!T60,"ч:мм")),"ч:мм"),"",TEXT(IF(Настройки!T60="",TEXT(Настройки!$J2,"ч:мм"),TEXT(Настройки!T60,"ч:мм")),"ч:мм")&amp;"-"&amp;TEXT(IF(Настройки!T60="",TEXT(Настройки!$J2,"ч:мм"),TEXT(Настройки!T60,"ч:мм"))+TIME(0,Май!R13,0),"ч::мм"))</f>
        <v/>
      </c>
      <c r="P14" s="30" t="str">
        <f>IF(TEXT(IF(Настройки!U60="",TEXT(Настройки!$J2,"ч:мм"),TEXT(Настройки!U60,"ч:мм"))+TIME(0,Май!S13,0),"ч::мм")=TEXT(IF(Настройки!U60="",TEXT(Настройки!$J2,"ч:мм"),TEXT(Настройки!U60,"ч:мм")),"ч:мм"),"",TEXT(IF(Настройки!U60="",TEXT(Настройки!$J2,"ч:мм"),TEXT(Настройки!U60,"ч:мм")),"ч:мм")&amp;"-"&amp;TEXT(IF(Настройки!U60="",TEXT(Настройки!$J2,"ч:мм"),TEXT(Настройки!U60,"ч:мм"))+TIME(0,Май!S13,0),"ч::мм"))</f>
        <v/>
      </c>
      <c r="R14" s="30"/>
    </row>
    <row r="15" spans="1:32" x14ac:dyDescent="0.25">
      <c r="A15" s="32" t="str">
        <f ca="1">IF(Настройки!J3&lt;&gt;"",TEXT(MIN(Настройки!G61:AK61,Настройки!J3),"ч:мм")&amp;"-"&amp;TEXT(MAX(Настройки!G61:AK61,Настройки!J3)+TIME(0,MAX(Май!E14:AI14),0),"ч:мм"),"")</f>
        <v>13:00-13:00</v>
      </c>
      <c r="B15" s="30" t="str">
        <f ca="1">IF(TEXT(IF(Настройки!G61="",TEXT(Настройки!$J3,"ч:мм"),TEXT(Настройки!G61,"ч:мм"))+TIME(0,Май!E14,0),"ч::мм")=TEXT(IF(Настройки!G61="",TEXT(Настройки!$J3,"ч:мм"),TEXT(Настройки!G61,"ч:мм")),"ч:мм"),"",TEXT(IF(Настройки!G61="",TEXT(Настройки!$J3,"ч:мм"),TEXT(Настройки!G61,"ч:мм")),"ч:мм")&amp;"-"&amp;TEXT(IF(Настройки!G61="",TEXT(Настройки!$J3,"ч:мм"),TEXT(Настройки!G61,"ч:мм"))+TIME(0,Май!E14,0),"ч::мм"))</f>
        <v/>
      </c>
      <c r="C15" s="30" t="str">
        <f ca="1">IF(TEXT(IF(Настройки!H61="",TEXT(Настройки!$J3,"ч:мм"),TEXT(Настройки!H61,"ч:мм"))+TIME(0,Май!F14,0),"ч::мм")=TEXT(IF(Настройки!H61="",TEXT(Настройки!$J3,"ч:мм"),TEXT(Настройки!H61,"ч:мм")),"ч:мм"),"",TEXT(IF(Настройки!H61="",TEXT(Настройки!$J3,"ч:мм"),TEXT(Настройки!H61,"ч:мм")),"ч:мм")&amp;"-"&amp;TEXT(IF(Настройки!H61="",TEXT(Настройки!$J3,"ч:мм"),TEXT(Настройки!H61,"ч:мм"))+TIME(0,Май!F14,0),"ч::мм"))</f>
        <v/>
      </c>
      <c r="D15" s="30" t="str">
        <f ca="1">IF(TEXT(IF(Настройки!I61="",TEXT(Настройки!$J3,"ч:мм"),TEXT(Настройки!I61,"ч:мм"))+TIME(0,Май!G14,0),"ч::мм")=TEXT(IF(Настройки!I61="",TEXT(Настройки!$J3,"ч:мм"),TEXT(Настройки!I61,"ч:мм")),"ч:мм"),"",TEXT(IF(Настройки!I61="",TEXT(Настройки!$J3,"ч:мм"),TEXT(Настройки!I61,"ч:мм")),"ч:мм")&amp;"-"&amp;TEXT(IF(Настройки!I61="",TEXT(Настройки!$J3,"ч:мм"),TEXT(Настройки!I61,"ч:мм"))+TIME(0,Май!G14,0),"ч::мм"))</f>
        <v/>
      </c>
      <c r="E15" s="30" t="str">
        <f ca="1">IF(TEXT(IF(Настройки!J61="",TEXT(Настройки!$J3,"ч:мм"),TEXT(Настройки!J61,"ч:мм"))+TIME(0,Май!H14,0),"ч::мм")=TEXT(IF(Настройки!J61="",TEXT(Настройки!$J3,"ч:мм"),TEXT(Настройки!J61,"ч:мм")),"ч:мм"),"",TEXT(IF(Настройки!J61="",TEXT(Настройки!$J3,"ч:мм"),TEXT(Настройки!J61,"ч:мм")),"ч:мм")&amp;"-"&amp;TEXT(IF(Настройки!J61="",TEXT(Настройки!$J3,"ч:мм"),TEXT(Настройки!J61,"ч:мм"))+TIME(0,Май!H14,0),"ч::мм"))</f>
        <v/>
      </c>
      <c r="F15" s="30" t="str">
        <f ca="1">IF(TEXT(IF(Настройки!K61="",TEXT(Настройки!$J3,"ч:мм"),TEXT(Настройки!K61,"ч:мм"))+TIME(0,Май!I14,0),"ч::мм")=TEXT(IF(Настройки!K61="",TEXT(Настройки!$J3,"ч:мм"),TEXT(Настройки!K61,"ч:мм")),"ч:мм"),"",TEXT(IF(Настройки!K61="",TEXT(Настройки!$J3,"ч:мм"),TEXT(Настройки!K61,"ч:мм")),"ч:мм")&amp;"-"&amp;TEXT(IF(Настройки!K61="",TEXT(Настройки!$J3,"ч:мм"),TEXT(Настройки!K61,"ч:мм"))+TIME(0,Май!I14,0),"ч::мм"))</f>
        <v/>
      </c>
      <c r="G15" s="30" t="str">
        <f ca="1">IF(TEXT(IF(Настройки!L61="",TEXT(Настройки!$J3,"ч:мм"),TEXT(Настройки!L61,"ч:мм"))+TIME(0,Май!J14,0),"ч::мм")=TEXT(IF(Настройки!L61="",TEXT(Настройки!$J3,"ч:мм"),TEXT(Настройки!L61,"ч:мм")),"ч:мм"),"",TEXT(IF(Настройки!L61="",TEXT(Настройки!$J3,"ч:мм"),TEXT(Настройки!L61,"ч:мм")),"ч:мм")&amp;"-"&amp;TEXT(IF(Настройки!L61="",TEXT(Настройки!$J3,"ч:мм"),TEXT(Настройки!L61,"ч:мм"))+TIME(0,Май!J14,0),"ч::мм"))</f>
        <v/>
      </c>
      <c r="H15" s="30" t="str">
        <f ca="1">IF(TEXT(IF(Настройки!M61="",TEXT(Настройки!$J3,"ч:мм"),TEXT(Настройки!M61,"ч:мм"))+TIME(0,Май!K14,0),"ч::мм")=TEXT(IF(Настройки!M61="",TEXT(Настройки!$J3,"ч:мм"),TEXT(Настройки!M61,"ч:мм")),"ч:мм"),"",TEXT(IF(Настройки!M61="",TEXT(Настройки!$J3,"ч:мм"),TEXT(Настройки!M61,"ч:мм")),"ч:мм")&amp;"-"&amp;TEXT(IF(Настройки!M61="",TEXT(Настройки!$J3,"ч:мм"),TEXT(Настройки!M61,"ч:мм"))+TIME(0,Май!K14,0),"ч::мм"))</f>
        <v/>
      </c>
      <c r="I15" s="30" t="str">
        <f ca="1">IF(TEXT(IF(Настройки!N61="",TEXT(Настройки!$J3,"ч:мм"),TEXT(Настройки!N61,"ч:мм"))+TIME(0,Май!L14,0),"ч::мм")=TEXT(IF(Настройки!N61="",TEXT(Настройки!$J3,"ч:мм"),TEXT(Настройки!N61,"ч:мм")),"ч:мм"),"",TEXT(IF(Настройки!N61="",TEXT(Настройки!$J3,"ч:мм"),TEXT(Настройки!N61,"ч:мм")),"ч:мм")&amp;"-"&amp;TEXT(IF(Настройки!N61="",TEXT(Настройки!$J3,"ч:мм"),TEXT(Настройки!N61,"ч:мм"))+TIME(0,Май!L14,0),"ч::мм"))</f>
        <v/>
      </c>
      <c r="J15" s="30" t="str">
        <f ca="1">IF(TEXT(IF(Настройки!O61="",TEXT(Настройки!$J3,"ч:мм"),TEXT(Настройки!O61,"ч:мм"))+TIME(0,Май!M14,0),"ч::мм")=TEXT(IF(Настройки!O61="",TEXT(Настройки!$J3,"ч:мм"),TEXT(Настройки!O61,"ч:мм")),"ч:мм"),"",TEXT(IF(Настройки!O61="",TEXT(Настройки!$J3,"ч:мм"),TEXT(Настройки!O61,"ч:мм")),"ч:мм")&amp;"-"&amp;TEXT(IF(Настройки!O61="",TEXT(Настройки!$J3,"ч:мм"),TEXT(Настройки!O61,"ч:мм"))+TIME(0,Май!M14,0),"ч::мм"))</f>
        <v/>
      </c>
      <c r="K15" s="30" t="str">
        <f ca="1">IF(TEXT(IF(Настройки!P61="",TEXT(Настройки!$J3,"ч:мм"),TEXT(Настройки!P61,"ч:мм"))+TIME(0,Май!N14,0),"ч::мм")=TEXT(IF(Настройки!P61="",TEXT(Настройки!$J3,"ч:мм"),TEXT(Настройки!P61,"ч:мм")),"ч:мм"),"",TEXT(IF(Настройки!P61="",TEXT(Настройки!$J3,"ч:мм"),TEXT(Настройки!P61,"ч:мм")),"ч:мм")&amp;"-"&amp;TEXT(IF(Настройки!P61="",TEXT(Настройки!$J3,"ч:мм"),TEXT(Настройки!P61,"ч:мм"))+TIME(0,Май!N14,0),"ч::мм"))</f>
        <v/>
      </c>
      <c r="L15" s="30" t="str">
        <f ca="1">IF(TEXT(IF(Настройки!Q61="",TEXT(Настройки!$J3,"ч:мм"),TEXT(Настройки!Q61,"ч:мм"))+TIME(0,Май!O14,0),"ч::мм")=TEXT(IF(Настройки!Q61="",TEXT(Настройки!$J3,"ч:мм"),TEXT(Настройки!Q61,"ч:мм")),"ч:мм"),"",TEXT(IF(Настройки!Q61="",TEXT(Настройки!$J3,"ч:мм"),TEXT(Настройки!Q61,"ч:мм")),"ч:мм")&amp;"-"&amp;TEXT(IF(Настройки!Q61="",TEXT(Настройки!$J3,"ч:мм"),TEXT(Настройки!Q61,"ч:мм"))+TIME(0,Май!O14,0),"ч::мм"))</f>
        <v/>
      </c>
      <c r="M15" s="30" t="str">
        <f ca="1">IF(TEXT(IF(Настройки!R61="",TEXT(Настройки!$J3,"ч:мм"),TEXT(Настройки!R61,"ч:мм"))+TIME(0,Май!P14,0),"ч::мм")=TEXT(IF(Настройки!R61="",TEXT(Настройки!$J3,"ч:мм"),TEXT(Настройки!R61,"ч:мм")),"ч:мм"),"",TEXT(IF(Настройки!R61="",TEXT(Настройки!$J3,"ч:мм"),TEXT(Настройки!R61,"ч:мм")),"ч:мм")&amp;"-"&amp;TEXT(IF(Настройки!R61="",TEXT(Настройки!$J3,"ч:мм"),TEXT(Настройки!R61,"ч:мм"))+TIME(0,Май!P14,0),"ч::мм"))</f>
        <v/>
      </c>
      <c r="N15" s="30" t="str">
        <f ca="1">IF(TEXT(IF(Настройки!S61="",TEXT(Настройки!$J3,"ч:мм"),TEXT(Настройки!S61,"ч:мм"))+TIME(0,Май!Q14,0),"ч::мм")=TEXT(IF(Настройки!S61="",TEXT(Настройки!$J3,"ч:мм"),TEXT(Настройки!S61,"ч:мм")),"ч:мм"),"",TEXT(IF(Настройки!S61="",TEXT(Настройки!$J3,"ч:мм"),TEXT(Настройки!S61,"ч:мм")),"ч:мм")&amp;"-"&amp;TEXT(IF(Настройки!S61="",TEXT(Настройки!$J3,"ч:мм"),TEXT(Настройки!S61,"ч:мм"))+TIME(0,Май!Q14,0),"ч::мм"))</f>
        <v/>
      </c>
      <c r="O15" s="30" t="str">
        <f ca="1">IF(TEXT(IF(Настройки!T61="",TEXT(Настройки!$J3,"ч:мм"),TEXT(Настройки!T61,"ч:мм"))+TIME(0,Май!R14,0),"ч::мм")=TEXT(IF(Настройки!T61="",TEXT(Настройки!$J3,"ч:мм"),TEXT(Настройки!T61,"ч:мм")),"ч:мм"),"",TEXT(IF(Настройки!T61="",TEXT(Настройки!$J3,"ч:мм"),TEXT(Настройки!T61,"ч:мм")),"ч:мм")&amp;"-"&amp;TEXT(IF(Настройки!T61="",TEXT(Настройки!$J3,"ч:мм"),TEXT(Настройки!T61,"ч:мм"))+TIME(0,Май!R14,0),"ч::мм"))</f>
        <v/>
      </c>
      <c r="P15" s="30" t="str">
        <f ca="1">IF(TEXT(IF(Настройки!U61="",TEXT(Настройки!$J3,"ч:мм"),TEXT(Настройки!U61,"ч:мм"))+TIME(0,Май!S14,0),"ч::мм")=TEXT(IF(Настройки!U61="",TEXT(Настройки!$J3,"ч:мм"),TEXT(Настройки!U61,"ч:мм")),"ч:мм"),"",TEXT(IF(Настройки!U61="",TEXT(Настройки!$J3,"ч:мм"),TEXT(Настройки!U61,"ч:мм")),"ч:мм")&amp;"-"&amp;TEXT(IF(Настройки!U61="",TEXT(Настройки!$J3,"ч:мм"),TEXT(Настройки!U61,"ч:мм"))+TIME(0,Май!S14,0),"ч::мм"))</f>
        <v/>
      </c>
      <c r="S15" s="30"/>
    </row>
    <row r="16" spans="1:32" x14ac:dyDescent="0.25">
      <c r="A16" s="32" t="str">
        <f ca="1">IF(Настройки!J4&lt;&gt;"",TEXT(MIN(Настройки!G62:AK62,Настройки!J4),"ч:мм")&amp;"-"&amp;TEXT(MAX(Настройки!G62:AK62,Настройки!J4)+TIME(0,MAX(Май!E15:AI15),0),"ч:мм"),"")</f>
        <v>16:00-16:00</v>
      </c>
      <c r="B16" s="30" t="str">
        <f ca="1">IF(TEXT(IF(Настройки!G62="",TEXT(Настройки!$J4,"ч:мм"),TEXT(Настройки!G62,"ч:мм"))+TIME(0,Май!E15,0),"ч::мм")=TEXT(IF(Настройки!G62="",TEXT(Настройки!$J4,"ч:мм"),TEXT(Настройки!G62,"ч:мм")),"ч:мм"),"",TEXT(IF(Настройки!G62="",TEXT(Настройки!$J4,"ч:мм"),TEXT(Настройки!G62,"ч:мм")),"ч:мм")&amp;"-"&amp;TEXT(IF(Настройки!G62="",TEXT(Настройки!$J4,"ч:мм"),TEXT(Настройки!G62,"ч:мм"))+TIME(0,Май!E15,0),"ч::мм"))</f>
        <v/>
      </c>
      <c r="C16" s="30" t="str">
        <f ca="1">IF(TEXT(IF(Настройки!H62="",TEXT(Настройки!$J4,"ч:мм"),TEXT(Настройки!H62,"ч:мм"))+TIME(0,Май!F15,0),"ч::мм")=TEXT(IF(Настройки!H62="",TEXT(Настройки!$J4,"ч:мм"),TEXT(Настройки!H62,"ч:мм")),"ч:мм"),"",TEXT(IF(Настройки!H62="",TEXT(Настройки!$J4,"ч:мм"),TEXT(Настройки!H62,"ч:мм")),"ч:мм")&amp;"-"&amp;TEXT(IF(Настройки!H62="",TEXT(Настройки!$J4,"ч:мм"),TEXT(Настройки!H62,"ч:мм"))+TIME(0,Май!F15,0),"ч::мм"))</f>
        <v/>
      </c>
      <c r="D16" s="30" t="str">
        <f ca="1">IF(TEXT(IF(Настройки!I62="",TEXT(Настройки!$J4,"ч:мм"),TEXT(Настройки!I62,"ч:мм"))+TIME(0,Май!G15,0),"ч::мм")=TEXT(IF(Настройки!I62="",TEXT(Настройки!$J4,"ч:мм"),TEXT(Настройки!I62,"ч:мм")),"ч:мм"),"",TEXT(IF(Настройки!I62="",TEXT(Настройки!$J4,"ч:мм"),TEXT(Настройки!I62,"ч:мм")),"ч:мм")&amp;"-"&amp;TEXT(IF(Настройки!I62="",TEXT(Настройки!$J4,"ч:мм"),TEXT(Настройки!I62,"ч:мм"))+TIME(0,Май!G15,0),"ч::мм"))</f>
        <v/>
      </c>
      <c r="E16" s="30" t="str">
        <f ca="1">IF(TEXT(IF(Настройки!J62="",TEXT(Настройки!$J4,"ч:мм"),TEXT(Настройки!J62,"ч:мм"))+TIME(0,Май!H15,0),"ч::мм")=TEXT(IF(Настройки!J62="",TEXT(Настройки!$J4,"ч:мм"),TEXT(Настройки!J62,"ч:мм")),"ч:мм"),"",TEXT(IF(Настройки!J62="",TEXT(Настройки!$J4,"ч:мм"),TEXT(Настройки!J62,"ч:мм")),"ч:мм")&amp;"-"&amp;TEXT(IF(Настройки!J62="",TEXT(Настройки!$J4,"ч:мм"),TEXT(Настройки!J62,"ч:мм"))+TIME(0,Май!H15,0),"ч::мм"))</f>
        <v/>
      </c>
      <c r="F16" s="30" t="str">
        <f ca="1">IF(TEXT(IF(Настройки!K62="",TEXT(Настройки!$J4,"ч:мм"),TEXT(Настройки!K62,"ч:мм"))+TIME(0,Май!I15,0),"ч::мм")=TEXT(IF(Настройки!K62="",TEXT(Настройки!$J4,"ч:мм"),TEXT(Настройки!K62,"ч:мм")),"ч:мм"),"",TEXT(IF(Настройки!K62="",TEXT(Настройки!$J4,"ч:мм"),TEXT(Настройки!K62,"ч:мм")),"ч:мм")&amp;"-"&amp;TEXT(IF(Настройки!K62="",TEXT(Настройки!$J4,"ч:мм"),TEXT(Настройки!K62,"ч:мм"))+TIME(0,Май!I15,0),"ч::мм"))</f>
        <v/>
      </c>
      <c r="G16" s="30" t="str">
        <f ca="1">IF(TEXT(IF(Настройки!L62="",TEXT(Настройки!$J4,"ч:мм"),TEXT(Настройки!L62,"ч:мм"))+TIME(0,Май!J15,0),"ч::мм")=TEXT(IF(Настройки!L62="",TEXT(Настройки!$J4,"ч:мм"),TEXT(Настройки!L62,"ч:мм")),"ч:мм"),"",TEXT(IF(Настройки!L62="",TEXT(Настройки!$J4,"ч:мм"),TEXT(Настройки!L62,"ч:мм")),"ч:мм")&amp;"-"&amp;TEXT(IF(Настройки!L62="",TEXT(Настройки!$J4,"ч:мм"),TEXT(Настройки!L62,"ч:мм"))+TIME(0,Май!J15,0),"ч::мм"))</f>
        <v/>
      </c>
      <c r="H16" s="30" t="str">
        <f ca="1">IF(TEXT(IF(Настройки!M62="",TEXT(Настройки!$J4,"ч:мм"),TEXT(Настройки!M62,"ч:мм"))+TIME(0,Май!K15,0),"ч::мм")=TEXT(IF(Настройки!M62="",TEXT(Настройки!$J4,"ч:мм"),TEXT(Настройки!M62,"ч:мм")),"ч:мм"),"",TEXT(IF(Настройки!M62="",TEXT(Настройки!$J4,"ч:мм"),TEXT(Настройки!M62,"ч:мм")),"ч:мм")&amp;"-"&amp;TEXT(IF(Настройки!M62="",TEXT(Настройки!$J4,"ч:мм"),TEXT(Настройки!M62,"ч:мм"))+TIME(0,Май!K15,0),"ч::мм"))</f>
        <v/>
      </c>
      <c r="I16" s="30" t="str">
        <f ca="1">IF(TEXT(IF(Настройки!N62="",TEXT(Настройки!$J4,"ч:мм"),TEXT(Настройки!N62,"ч:мм"))+TIME(0,Май!L15,0),"ч::мм")=TEXT(IF(Настройки!N62="",TEXT(Настройки!$J4,"ч:мм"),TEXT(Настройки!N62,"ч:мм")),"ч:мм"),"",TEXT(IF(Настройки!N62="",TEXT(Настройки!$J4,"ч:мм"),TEXT(Настройки!N62,"ч:мм")),"ч:мм")&amp;"-"&amp;TEXT(IF(Настройки!N62="",TEXT(Настройки!$J4,"ч:мм"),TEXT(Настройки!N62,"ч:мм"))+TIME(0,Май!L15,0),"ч::мм"))</f>
        <v/>
      </c>
      <c r="J16" s="30" t="str">
        <f ca="1">IF(TEXT(IF(Настройки!O62="",TEXT(Настройки!$J4,"ч:мм"),TEXT(Настройки!O62,"ч:мм"))+TIME(0,Май!M15,0),"ч::мм")=TEXT(IF(Настройки!O62="",TEXT(Настройки!$J4,"ч:мм"),TEXT(Настройки!O62,"ч:мм")),"ч:мм"),"",TEXT(IF(Настройки!O62="",TEXT(Настройки!$J4,"ч:мм"),TEXT(Настройки!O62,"ч:мм")),"ч:мм")&amp;"-"&amp;TEXT(IF(Настройки!O62="",TEXT(Настройки!$J4,"ч:мм"),TEXT(Настройки!O62,"ч:мм"))+TIME(0,Май!M15,0),"ч::мм"))</f>
        <v/>
      </c>
      <c r="K16" s="30" t="str">
        <f ca="1">IF(TEXT(IF(Настройки!P62="",TEXT(Настройки!$J4,"ч:мм"),TEXT(Настройки!P62,"ч:мм"))+TIME(0,Май!N15,0),"ч::мм")=TEXT(IF(Настройки!P62="",TEXT(Настройки!$J4,"ч:мм"),TEXT(Настройки!P62,"ч:мм")),"ч:мм"),"",TEXT(IF(Настройки!P62="",TEXT(Настройки!$J4,"ч:мм"),TEXT(Настройки!P62,"ч:мм")),"ч:мм")&amp;"-"&amp;TEXT(IF(Настройки!P62="",TEXT(Настройки!$J4,"ч:мм"),TEXT(Настройки!P62,"ч:мм"))+TIME(0,Май!N15,0),"ч::мм"))</f>
        <v/>
      </c>
      <c r="L16" s="30" t="str">
        <f ca="1">IF(TEXT(IF(Настройки!Q62="",TEXT(Настройки!$J4,"ч:мм"),TEXT(Настройки!Q62,"ч:мм"))+TIME(0,Май!O15,0),"ч::мм")=TEXT(IF(Настройки!Q62="",TEXT(Настройки!$J4,"ч:мм"),TEXT(Настройки!Q62,"ч:мм")),"ч:мм"),"",TEXT(IF(Настройки!Q62="",TEXT(Настройки!$J4,"ч:мм"),TEXT(Настройки!Q62,"ч:мм")),"ч:мм")&amp;"-"&amp;TEXT(IF(Настройки!Q62="",TEXT(Настройки!$J4,"ч:мм"),TEXT(Настройки!Q62,"ч:мм"))+TIME(0,Май!O15,0),"ч::мм"))</f>
        <v/>
      </c>
      <c r="M16" s="30" t="str">
        <f ca="1">IF(TEXT(IF(Настройки!R62="",TEXT(Настройки!$J4,"ч:мм"),TEXT(Настройки!R62,"ч:мм"))+TIME(0,Май!P15,0),"ч::мм")=TEXT(IF(Настройки!R62="",TEXT(Настройки!$J4,"ч:мм"),TEXT(Настройки!R62,"ч:мм")),"ч:мм"),"",TEXT(IF(Настройки!R62="",TEXT(Настройки!$J4,"ч:мм"),TEXT(Настройки!R62,"ч:мм")),"ч:мм")&amp;"-"&amp;TEXT(IF(Настройки!R62="",TEXT(Настройки!$J4,"ч:мм"),TEXT(Настройки!R62,"ч:мм"))+TIME(0,Май!P15,0),"ч::мм"))</f>
        <v/>
      </c>
      <c r="N16" s="30" t="str">
        <f ca="1">IF(TEXT(IF(Настройки!S62="",TEXT(Настройки!$J4,"ч:мм"),TEXT(Настройки!S62,"ч:мм"))+TIME(0,Май!Q15,0),"ч::мм")=TEXT(IF(Настройки!S62="",TEXT(Настройки!$J4,"ч:мм"),TEXT(Настройки!S62,"ч:мм")),"ч:мм"),"",TEXT(IF(Настройки!S62="",TEXT(Настройки!$J4,"ч:мм"),TEXT(Настройки!S62,"ч:мм")),"ч:мм")&amp;"-"&amp;TEXT(IF(Настройки!S62="",TEXT(Настройки!$J4,"ч:мм"),TEXT(Настройки!S62,"ч:мм"))+TIME(0,Май!Q15,0),"ч::мм"))</f>
        <v/>
      </c>
      <c r="O16" s="30" t="str">
        <f ca="1">IF(TEXT(IF(Настройки!T62="",TEXT(Настройки!$J4,"ч:мм"),TEXT(Настройки!T62,"ч:мм"))+TIME(0,Май!R15,0),"ч::мм")=TEXT(IF(Настройки!T62="",TEXT(Настройки!$J4,"ч:мм"),TEXT(Настройки!T62,"ч:мм")),"ч:мм"),"",TEXT(IF(Настройки!T62="",TEXT(Настройки!$J4,"ч:мм"),TEXT(Настройки!T62,"ч:мм")),"ч:мм")&amp;"-"&amp;TEXT(IF(Настройки!T62="",TEXT(Настройки!$J4,"ч:мм"),TEXT(Настройки!T62,"ч:мм"))+TIME(0,Май!R15,0),"ч::мм"))</f>
        <v/>
      </c>
      <c r="P16" s="30" t="str">
        <f ca="1">IF(TEXT(IF(Настройки!U62="",TEXT(Настройки!$J4,"ч:мм"),TEXT(Настройки!U62,"ч:мм"))+TIME(0,Май!S15,0),"ч::мм")=TEXT(IF(Настройки!U62="",TEXT(Настройки!$J4,"ч:мм"),TEXT(Настройки!U62,"ч:мм")),"ч:мм"),"",TEXT(IF(Настройки!U62="",TEXT(Настройки!$J4,"ч:мм"),TEXT(Настройки!U62,"ч:мм")),"ч:мм")&amp;"-"&amp;TEXT(IF(Настройки!U62="",TEXT(Настройки!$J4,"ч:мм"),TEXT(Настройки!U62,"ч:мм"))+TIME(0,Май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Настройки!V11</f>
        <v>45428</v>
      </c>
      <c r="C20" s="29">
        <f>Настройки!W11</f>
        <v>45429</v>
      </c>
      <c r="D20" s="29">
        <f>Настройки!X11</f>
        <v>45430</v>
      </c>
      <c r="E20" s="29">
        <f>Настройки!Y11</f>
        <v>45431</v>
      </c>
      <c r="F20" s="29">
        <f>Настройки!Z11</f>
        <v>45432</v>
      </c>
      <c r="G20" s="29">
        <f>Настройки!AA11</f>
        <v>45433</v>
      </c>
      <c r="H20" s="29">
        <f>Настройки!AB11</f>
        <v>45434</v>
      </c>
      <c r="I20" s="29">
        <f>Настройки!AC11</f>
        <v>45435</v>
      </c>
      <c r="J20" s="29">
        <f>Настройки!AD11</f>
        <v>45436</v>
      </c>
      <c r="K20" s="29">
        <f>Настройки!AE11</f>
        <v>45437</v>
      </c>
      <c r="L20" s="29">
        <f>Настройки!AF11</f>
        <v>45438</v>
      </c>
      <c r="M20" s="29">
        <f>Настройки!AG11</f>
        <v>45439</v>
      </c>
      <c r="N20" s="29">
        <f>Настройки!AH11</f>
        <v>45440</v>
      </c>
      <c r="O20" s="29">
        <f>Настройки!AI11</f>
        <v>45441</v>
      </c>
      <c r="P20" s="29">
        <f>Настройки!AJ11</f>
        <v>45442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60="",TEXT(Настройки!$J2,"ч:мм"),TEXT(Настройки!V60,"ч:мм"))+TIME(0,Май!T13,0),"ч::мм")=TEXT(IF(Настройки!V60="",TEXT(Настройки!$J2,"ч:мм"),TEXT(Настройки!V60,"ч:мм")),"ч:мм"),"",TEXT(IF(Настройки!V60="",TEXT(Настройки!$J2,"ч:мм"),TEXT(Настройки!V60,"ч:мм")),"ч:мм")&amp;"-"&amp;TEXT(IF(Настройки!V60="",TEXT(Настройки!$J2,"ч:мм"),TEXT(Настройки!V60,"ч:мм"))+TIME(0,Май!T13,0),"ч::мм"))</f>
        <v/>
      </c>
      <c r="C24" s="3" t="str">
        <f>IF(TEXT(IF(Настройки!W60="",TEXT(Настройки!$J2,"ч:мм"),TEXT(Настройки!W60,"ч:мм"))+TIME(0,Май!U13,0),"ч::мм")=TEXT(IF(Настройки!W60="",TEXT(Настройки!$J2,"ч:мм"),TEXT(Настройки!W60,"ч:мм")),"ч:мм"),"",TEXT(IF(Настройки!W60="",TEXT(Настройки!$J2,"ч:мм"),TEXT(Настройки!W60,"ч:мм")),"ч:мм")&amp;"-"&amp;TEXT(IF(Настройки!W60="",TEXT(Настройки!$J2,"ч:мм"),TEXT(Настройки!W60,"ч:мм"))+TIME(0,Май!U13,0),"ч::мм"))</f>
        <v/>
      </c>
      <c r="D24" s="3" t="str">
        <f>IF(TEXT(IF(Настройки!X60="",TEXT(Настройки!$J2,"ч:мм"),TEXT(Настройки!X60,"ч:мм"))+TIME(0,Май!V13,0),"ч::мм")=TEXT(IF(Настройки!X60="",TEXT(Настройки!$J2,"ч:мм"),TEXT(Настройки!X60,"ч:мм")),"ч:мм"),"",TEXT(IF(Настройки!X60="",TEXT(Настройки!$J2,"ч:мм"),TEXT(Настройки!X60,"ч:мм")),"ч:мм")&amp;"-"&amp;TEXT(IF(Настройки!X60="",TEXT(Настройки!$J2,"ч:мм"),TEXT(Настройки!X60,"ч:мм"))+TIME(0,Май!V13,0),"ч::мм"))</f>
        <v/>
      </c>
      <c r="E24" s="3" t="str">
        <f>IF(TEXT(IF(Настройки!Y60="",TEXT(Настройки!$J2,"ч:мм"),TEXT(Настройки!Y60,"ч:мм"))+TIME(0,Май!W13,0),"ч::мм")=TEXT(IF(Настройки!Y60="",TEXT(Настройки!$J2,"ч:мм"),TEXT(Настройки!Y60,"ч:мм")),"ч:мм"),"",TEXT(IF(Настройки!Y60="",TEXT(Настройки!$J2,"ч:мм"),TEXT(Настройки!Y60,"ч:мм")),"ч:мм")&amp;"-"&amp;TEXT(IF(Настройки!Y60="",TEXT(Настройки!$J2,"ч:мм"),TEXT(Настройки!Y60,"ч:мм"))+TIME(0,Май!W13,0),"ч::мм"))</f>
        <v/>
      </c>
      <c r="F24" s="3" t="str">
        <f>IF(TEXT(IF(Настройки!Z60="",TEXT(Настройки!$J2,"ч:мм"),TEXT(Настройки!Z60,"ч:мм"))+TIME(0,Май!X13,0),"ч::мм")=TEXT(IF(Настройки!Z60="",TEXT(Настройки!$J2,"ч:мм"),TEXT(Настройки!Z60,"ч:мм")),"ч:мм"),"",TEXT(IF(Настройки!Z60="",TEXT(Настройки!$J2,"ч:мм"),TEXT(Настройки!Z60,"ч:мм")),"ч:мм")&amp;"-"&amp;TEXT(IF(Настройки!Z60="",TEXT(Настройки!$J2,"ч:мм"),TEXT(Настройки!Z60,"ч:мм"))+TIME(0,Май!X13,0),"ч::мм"))</f>
        <v/>
      </c>
      <c r="G24" s="3" t="str">
        <f>IF(TEXT(IF(Настройки!AA60="",TEXT(Настройки!$J2,"ч:мм"),TEXT(Настройки!AA60,"ч:мм"))+TIME(0,Май!Y13,0),"ч::мм")=TEXT(IF(Настройки!AA60="",TEXT(Настройки!$J2,"ч:мм"),TEXT(Настройки!AA60,"ч:мм")),"ч:мм"),"",TEXT(IF(Настройки!AA60="",TEXT(Настройки!$J2,"ч:мм"),TEXT(Настройки!AA60,"ч:мм")),"ч:мм")&amp;"-"&amp;TEXT(IF(Настройки!AA60="",TEXT(Настройки!$J2,"ч:мм"),TEXT(Настройки!AA60,"ч:мм"))+TIME(0,Май!Y13,0),"ч::мм"))</f>
        <v/>
      </c>
      <c r="H24" s="3" t="str">
        <f>IF(TEXT(IF(Настройки!AB60="",TEXT(Настройки!$J2,"ч:мм"),TEXT(Настройки!AB60,"ч:мм"))+TIME(0,Май!Z13,0),"ч::мм")=TEXT(IF(Настройки!AB60="",TEXT(Настройки!$J2,"ч:мм"),TEXT(Настройки!AB60,"ч:мм")),"ч:мм"),"",TEXT(IF(Настройки!AB60="",TEXT(Настройки!$J2,"ч:мм"),TEXT(Настройки!AB60,"ч:мм")),"ч:мм")&amp;"-"&amp;TEXT(IF(Настройки!AB60="",TEXT(Настройки!$J2,"ч:мм"),TEXT(Настройки!AB60,"ч:мм"))+TIME(0,Май!Z13,0),"ч::мм"))</f>
        <v/>
      </c>
      <c r="I24" s="3" t="str">
        <f>IF(TEXT(IF(Настройки!AC60="",TEXT(Настройки!$J2,"ч:мм"),TEXT(Настройки!AC60,"ч:мм"))+TIME(0,Май!AA13,0),"ч::мм")=TEXT(IF(Настройки!AC60="",TEXT(Настройки!$J2,"ч:мм"),TEXT(Настройки!AC60,"ч:мм")),"ч:мм"),"",TEXT(IF(Настройки!AC60="",TEXT(Настройки!$J2,"ч:мм"),TEXT(Настройки!AC60,"ч:мм")),"ч:мм")&amp;"-"&amp;TEXT(IF(Настройки!AC60="",TEXT(Настройки!$J2,"ч:мм"),TEXT(Настройки!AC60,"ч:мм"))+TIME(0,Май!AA13,0),"ч::мм"))</f>
        <v/>
      </c>
      <c r="J24" s="3" t="str">
        <f>IF(TEXT(IF(Настройки!AD60="",TEXT(Настройки!$J2,"ч:мм"),TEXT(Настройки!AD60,"ч:мм"))+TIME(0,Май!AB13,0),"ч::мм")=TEXT(IF(Настройки!AD60="",TEXT(Настройки!$J2,"ч:мм"),TEXT(Настройки!AD60,"ч:мм")),"ч:мм"),"",TEXT(IF(Настройки!AD60="",TEXT(Настройки!$J2,"ч:мм"),TEXT(Настройки!AD60,"ч:мм")),"ч:мм")&amp;"-"&amp;TEXT(IF(Настройки!AD60="",TEXT(Настройки!$J2,"ч:мм"),TEXT(Настройки!AD60,"ч:мм"))+TIME(0,Май!AB13,0),"ч::мм"))</f>
        <v/>
      </c>
      <c r="K24" s="3" t="str">
        <f>IF(TEXT(IF(Настройки!AE60="",TEXT(Настройки!$J2,"ч:мм"),TEXT(Настройки!AE60,"ч:мм"))+TIME(0,Май!AC13,0),"ч::мм")=TEXT(IF(Настройки!AE60="",TEXT(Настройки!$J2,"ч:мм"),TEXT(Настройки!AE60,"ч:мм")),"ч:мм"),"",TEXT(IF(Настройки!AE60="",TEXT(Настройки!$J2,"ч:мм"),TEXT(Настройки!AE60,"ч:мм")),"ч:мм")&amp;"-"&amp;TEXT(IF(Настройки!AE60="",TEXT(Настройки!$J2,"ч:мм"),TEXT(Настройки!AE60,"ч:мм"))+TIME(0,Май!AC13,0),"ч::мм"))</f>
        <v/>
      </c>
      <c r="L24" s="3" t="str">
        <f>IF(TEXT(IF(Настройки!AF60="",TEXT(Настройки!$J2,"ч:мм"),TEXT(Настройки!AF60,"ч:мм"))+TIME(0,Май!AD13,0),"ч::мм")=TEXT(IF(Настройки!AF60="",TEXT(Настройки!$J2,"ч:мм"),TEXT(Настройки!AF60,"ч:мм")),"ч:мм"),"",TEXT(IF(Настройки!AF60="",TEXT(Настройки!$J2,"ч:мм"),TEXT(Настройки!AF60,"ч:мм")),"ч:мм")&amp;"-"&amp;TEXT(IF(Настройки!AF60="",TEXT(Настройки!$J2,"ч:мм"),TEXT(Настройки!AF60,"ч:мм"))+TIME(0,Май!AD13,0),"ч::мм"))</f>
        <v/>
      </c>
      <c r="M24" s="3" t="str">
        <f>IF(TEXT(IF(Настройки!AG60="",TEXT(Настройки!$J2,"ч:мм"),TEXT(Настройки!AG60,"ч:мм"))+TIME(0,Май!AE13,0),"ч::мм")=TEXT(IF(Настройки!AG60="",TEXT(Настройки!$J2,"ч:мм"),TEXT(Настройки!AG60,"ч:мм")),"ч:мм"),"",TEXT(IF(Настройки!AG60="",TEXT(Настройки!$J2,"ч:мм"),TEXT(Настройки!AG60,"ч:мм")),"ч:мм")&amp;"-"&amp;TEXT(IF(Настройки!AG60="",TEXT(Настройки!$J2,"ч:мм"),TEXT(Настройки!AG60,"ч:мм"))+TIME(0,Май!AE13,0),"ч::мм"))</f>
        <v/>
      </c>
      <c r="N24" s="3" t="str">
        <f>IF(TEXT(IF(Настройки!AH60="",TEXT(Настройки!$J2,"ч:мм"),TEXT(Настройки!AH60,"ч:мм"))+TIME(0,Май!AF13,0),"ч::мм")=TEXT(IF(Настройки!AH60="",TEXT(Настройки!$J2,"ч:мм"),TEXT(Настройки!AH60,"ч:мм")),"ч:мм"),"",TEXT(IF(Настройки!AH60="",TEXT(Настройки!$J2,"ч:мм"),TEXT(Настройки!AH60,"ч:мм")),"ч:мм")&amp;"-"&amp;TEXT(IF(Настройки!AH60="",TEXT(Настройки!$J2,"ч:мм"),TEXT(Настройки!AH60,"ч:мм"))+TIME(0,Май!AF13,0),"ч::мм"))</f>
        <v/>
      </c>
      <c r="O24" s="3" t="str">
        <f>IF(TEXT(IF(Настройки!AI60="",TEXT(Настройки!$J2,"ч:мм"),TEXT(Настройки!AI60,"ч:мм"))+TIME(0,Май!AG13,0),"ч::мм")=TEXT(IF(Настройки!AI60="",TEXT(Настройки!$J2,"ч:мм"),TEXT(Настройки!AI60,"ч:мм")),"ч:мм"),"",TEXT(IF(Настройки!AI60="",TEXT(Настройки!$J2,"ч:мм"),TEXT(Настройки!AI60,"ч:мм")),"ч:мм")&amp;"-"&amp;TEXT(IF(Настройки!AI60="",TEXT(Настройки!$J2,"ч:мм"),TEXT(Настройки!AI60,"ч:мм"))+TIME(0,Май!AG13,0),"ч::мм"))</f>
        <v/>
      </c>
      <c r="P24" s="3" t="str">
        <f>IF(TEXT(IF(Настройки!AJ60="",TEXT(Настройки!$J2,"ч:мм"),TEXT(Настройки!AJ60,"ч:мм"))+TIME(0,Май!AH13,0),"ч::мм")=TEXT(IF(Настройки!AJ60="",TEXT(Настройки!$J2,"ч:мм"),TEXT(Настройки!AJ60,"ч:мм")),"ч:мм"),"",TEXT(IF(Настройки!AJ60="",TEXT(Настройки!$J2,"ч:мм"),TEXT(Настройки!AJ60,"ч:мм")),"ч:мм")&amp;"-"&amp;TEXT(IF(Настройки!AJ60="",TEXT(Настройки!$J2,"ч:мм"),TEXT(Настройки!AJ60,"ч:мм"))+TIME(0,Май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61="",TEXT(Настройки!$J3,"ч:мм"),TEXT(Настройки!V61,"ч:мм"))+TIME(0,Май!T14,0),"ч::мм")=TEXT(IF(Настройки!V61="",TEXT(Настройки!$J3,"ч:мм"),TEXT(Настройки!V61,"ч:мм")),"ч:мм"),"",TEXT(IF(Настройки!V61="",TEXT(Настройки!$J3,"ч:мм"),TEXT(Настройки!V61,"ч:мм")),"ч:мм")&amp;"-"&amp;TEXT(IF(Настройки!V61="",TEXT(Настройки!$J3,"ч:мм"),TEXT(Настройки!V61,"ч:мм"))+TIME(0,Май!T14,0),"ч::мм"))</f>
        <v/>
      </c>
      <c r="C25" s="3" t="str">
        <f ca="1">IF(TEXT(IF(Настройки!W61="",TEXT(Настройки!$J3,"ч:мм"),TEXT(Настройки!W61,"ч:мм"))+TIME(0,Май!U14,0),"ч::мм")=TEXT(IF(Настройки!W61="",TEXT(Настройки!$J3,"ч:мм"),TEXT(Настройки!W61,"ч:мм")),"ч:мм"),"",TEXT(IF(Настройки!W61="",TEXT(Настройки!$J3,"ч:мм"),TEXT(Настройки!W61,"ч:мм")),"ч:мм")&amp;"-"&amp;TEXT(IF(Настройки!W61="",TEXT(Настройки!$J3,"ч:мм"),TEXT(Настройки!W61,"ч:мм"))+TIME(0,Май!U14,0),"ч::мм"))</f>
        <v/>
      </c>
      <c r="D25" s="3" t="str">
        <f ca="1">IF(TEXT(IF(Настройки!X61="",TEXT(Настройки!$J3,"ч:мм"),TEXT(Настройки!X61,"ч:мм"))+TIME(0,Май!V14,0),"ч::мм")=TEXT(IF(Настройки!X61="",TEXT(Настройки!$J3,"ч:мм"),TEXT(Настройки!X61,"ч:мм")),"ч:мм"),"",TEXT(IF(Настройки!X61="",TEXT(Настройки!$J3,"ч:мм"),TEXT(Настройки!X61,"ч:мм")),"ч:мм")&amp;"-"&amp;TEXT(IF(Настройки!X61="",TEXT(Настройки!$J3,"ч:мм"),TEXT(Настройки!X61,"ч:мм"))+TIME(0,Май!V14,0),"ч::мм"))</f>
        <v/>
      </c>
      <c r="E25" s="3" t="str">
        <f ca="1">IF(TEXT(IF(Настройки!Y61="",TEXT(Настройки!$J3,"ч:мм"),TEXT(Настройки!Y61,"ч:мм"))+TIME(0,Май!W14,0),"ч::мм")=TEXT(IF(Настройки!Y61="",TEXT(Настройки!$J3,"ч:мм"),TEXT(Настройки!Y61,"ч:мм")),"ч:мм"),"",TEXT(IF(Настройки!Y61="",TEXT(Настройки!$J3,"ч:мм"),TEXT(Настройки!Y61,"ч:мм")),"ч:мм")&amp;"-"&amp;TEXT(IF(Настройки!Y61="",TEXT(Настройки!$J3,"ч:мм"),TEXT(Настройки!Y61,"ч:мм"))+TIME(0,Май!W14,0),"ч::мм"))</f>
        <v/>
      </c>
      <c r="F25" s="3" t="str">
        <f ca="1">IF(TEXT(IF(Настройки!Z61="",TEXT(Настройки!$J3,"ч:мм"),TEXT(Настройки!Z61,"ч:мм"))+TIME(0,Май!X14,0),"ч::мм")=TEXT(IF(Настройки!Z61="",TEXT(Настройки!$J3,"ч:мм"),TEXT(Настройки!Z61,"ч:мм")),"ч:мм"),"",TEXT(IF(Настройки!Z61="",TEXT(Настройки!$J3,"ч:мм"),TEXT(Настройки!Z61,"ч:мм")),"ч:мм")&amp;"-"&amp;TEXT(IF(Настройки!Z61="",TEXT(Настройки!$J3,"ч:мм"),TEXT(Настройки!Z61,"ч:мм"))+TIME(0,Май!X14,0),"ч::мм"))</f>
        <v/>
      </c>
      <c r="G25" s="3" t="str">
        <f ca="1">IF(TEXT(IF(Настройки!AA61="",TEXT(Настройки!$J3,"ч:мм"),TEXT(Настройки!AA61,"ч:мм"))+TIME(0,Май!Y14,0),"ч::мм")=TEXT(IF(Настройки!AA61="",TEXT(Настройки!$J3,"ч:мм"),TEXT(Настройки!AA61,"ч:мм")),"ч:мм"),"",TEXT(IF(Настройки!AA61="",TEXT(Настройки!$J3,"ч:мм"),TEXT(Настройки!AA61,"ч:мм")),"ч:мм")&amp;"-"&amp;TEXT(IF(Настройки!AA61="",TEXT(Настройки!$J3,"ч:мм"),TEXT(Настройки!AA61,"ч:мм"))+TIME(0,Май!Y14,0),"ч::мм"))</f>
        <v/>
      </c>
      <c r="H25" s="3" t="str">
        <f ca="1">IF(TEXT(IF(Настройки!AB61="",TEXT(Настройки!$J3,"ч:мм"),TEXT(Настройки!AB61,"ч:мм"))+TIME(0,Май!Z14,0),"ч::мм")=TEXT(IF(Настройки!AB61="",TEXT(Настройки!$J3,"ч:мм"),TEXT(Настройки!AB61,"ч:мм")),"ч:мм"),"",TEXT(IF(Настройки!AB61="",TEXT(Настройки!$J3,"ч:мм"),TEXT(Настройки!AB61,"ч:мм")),"ч:мм")&amp;"-"&amp;TEXT(IF(Настройки!AB61="",TEXT(Настройки!$J3,"ч:мм"),TEXT(Настройки!AB61,"ч:мм"))+TIME(0,Май!Z14,0),"ч::мм"))</f>
        <v/>
      </c>
      <c r="I25" s="3" t="str">
        <f ca="1">IF(TEXT(IF(Настройки!AC61="",TEXT(Настройки!$J3,"ч:мм"),TEXT(Настройки!AC61,"ч:мм"))+TIME(0,Май!AA14,0),"ч::мм")=TEXT(IF(Настройки!AC61="",TEXT(Настройки!$J3,"ч:мм"),TEXT(Настройки!AC61,"ч:мм")),"ч:мм"),"",TEXT(IF(Настройки!AC61="",TEXT(Настройки!$J3,"ч:мм"),TEXT(Настройки!AC61,"ч:мм")),"ч:мм")&amp;"-"&amp;TEXT(IF(Настройки!AC61="",TEXT(Настройки!$J3,"ч:мм"),TEXT(Настройки!AC61,"ч:мм"))+TIME(0,Май!AA14,0),"ч::мм"))</f>
        <v/>
      </c>
      <c r="J25" s="3" t="str">
        <f ca="1">IF(TEXT(IF(Настройки!AD61="",TEXT(Настройки!$J3,"ч:мм"),TEXT(Настройки!AD61,"ч:мм"))+TIME(0,Май!AB14,0),"ч::мм")=TEXT(IF(Настройки!AD61="",TEXT(Настройки!$J3,"ч:мм"),TEXT(Настройки!AD61,"ч:мм")),"ч:мм"),"",TEXT(IF(Настройки!AD61="",TEXT(Настройки!$J3,"ч:мм"),TEXT(Настройки!AD61,"ч:мм")),"ч:мм")&amp;"-"&amp;TEXT(IF(Настройки!AD61="",TEXT(Настройки!$J3,"ч:мм"),TEXT(Настройки!AD61,"ч:мм"))+TIME(0,Май!AB14,0),"ч::мм"))</f>
        <v/>
      </c>
      <c r="K25" s="3" t="str">
        <f ca="1">IF(TEXT(IF(Настройки!AE61="",TEXT(Настройки!$J3,"ч:мм"),TEXT(Настройки!AE61,"ч:мм"))+TIME(0,Май!AC14,0),"ч::мм")=TEXT(IF(Настройки!AE61="",TEXT(Настройки!$J3,"ч:мм"),TEXT(Настройки!AE61,"ч:мм")),"ч:мм"),"",TEXT(IF(Настройки!AE61="",TEXT(Настройки!$J3,"ч:мм"),TEXT(Настройки!AE61,"ч:мм")),"ч:мм")&amp;"-"&amp;TEXT(IF(Настройки!AE61="",TEXT(Настройки!$J3,"ч:мм"),TEXT(Настройки!AE61,"ч:мм"))+TIME(0,Май!AC14,0),"ч::мм"))</f>
        <v/>
      </c>
      <c r="L25" s="3" t="str">
        <f ca="1">IF(TEXT(IF(Настройки!AF61="",TEXT(Настройки!$J3,"ч:мм"),TEXT(Настройки!AF61,"ч:мм"))+TIME(0,Май!AD14,0),"ч::мм")=TEXT(IF(Настройки!AF61="",TEXT(Настройки!$J3,"ч:мм"),TEXT(Настройки!AF61,"ч:мм")),"ч:мм"),"",TEXT(IF(Настройки!AF61="",TEXT(Настройки!$J3,"ч:мм"),TEXT(Настройки!AF61,"ч:мм")),"ч:мм")&amp;"-"&amp;TEXT(IF(Настройки!AF61="",TEXT(Настройки!$J3,"ч:мм"),TEXT(Настройки!AF61,"ч:мм"))+TIME(0,Май!AD14,0),"ч::мм"))</f>
        <v/>
      </c>
      <c r="M25" s="3" t="str">
        <f ca="1">IF(TEXT(IF(Настройки!AG61="",TEXT(Настройки!$J3,"ч:мм"),TEXT(Настройки!AG61,"ч:мм"))+TIME(0,Май!AE14,0),"ч::мм")=TEXT(IF(Настройки!AG61="",TEXT(Настройки!$J3,"ч:мм"),TEXT(Настройки!AG61,"ч:мм")),"ч:мм"),"",TEXT(IF(Настройки!AG61="",TEXT(Настройки!$J3,"ч:мм"),TEXT(Настройки!AG61,"ч:мм")),"ч:мм")&amp;"-"&amp;TEXT(IF(Настройки!AG61="",TEXT(Настройки!$J3,"ч:мм"),TEXT(Настройки!AG61,"ч:мм"))+TIME(0,Май!AE14,0),"ч::мм"))</f>
        <v/>
      </c>
      <c r="N25" s="3" t="str">
        <f ca="1">IF(TEXT(IF(Настройки!AH61="",TEXT(Настройки!$J3,"ч:мм"),TEXT(Настройки!AH61,"ч:мм"))+TIME(0,Май!AF14,0),"ч::мм")=TEXT(IF(Настройки!AH61="",TEXT(Настройки!$J3,"ч:мм"),TEXT(Настройки!AH61,"ч:мм")),"ч:мм"),"",TEXT(IF(Настройки!AH61="",TEXT(Настройки!$J3,"ч:мм"),TEXT(Настройки!AH61,"ч:мм")),"ч:мм")&amp;"-"&amp;TEXT(IF(Настройки!AH61="",TEXT(Настройки!$J3,"ч:мм"),TEXT(Настройки!AH61,"ч:мм"))+TIME(0,Май!AF14,0),"ч::мм"))</f>
        <v/>
      </c>
      <c r="O25" s="3" t="str">
        <f ca="1">IF(TEXT(IF(Настройки!AI61="",TEXT(Настройки!$J3,"ч:мм"),TEXT(Настройки!AI61,"ч:мм"))+TIME(0,Май!AG14,0),"ч::мм")=TEXT(IF(Настройки!AI61="",TEXT(Настройки!$J3,"ч:мм"),TEXT(Настройки!AI61,"ч:мм")),"ч:мм"),"",TEXT(IF(Настройки!AI61="",TEXT(Настройки!$J3,"ч:мм"),TEXT(Настройки!AI61,"ч:мм")),"ч:мм")&amp;"-"&amp;TEXT(IF(Настройки!AI61="",TEXT(Настройки!$J3,"ч:мм"),TEXT(Настройки!AI61,"ч:мм"))+TIME(0,Май!AG14,0),"ч::мм"))</f>
        <v/>
      </c>
      <c r="P25" s="3" t="str">
        <f ca="1">IF(TEXT(IF(Настройки!AJ61="",TEXT(Настройки!$J3,"ч:мм"),TEXT(Настройки!AJ61,"ч:мм"))+TIME(0,Май!AH14,0),"ч::мм")=TEXT(IF(Настройки!AJ61="",TEXT(Настройки!$J3,"ч:мм"),TEXT(Настройки!AJ61,"ч:мм")),"ч:мм"),"",TEXT(IF(Настройки!AJ61="",TEXT(Настройки!$J3,"ч:мм"),TEXT(Настройки!AJ61,"ч:мм")),"ч:мм")&amp;"-"&amp;TEXT(IF(Настройки!AJ61="",TEXT(Настройки!$J3,"ч:мм"),TEXT(Настройки!AJ61,"ч:мм"))+TIME(0,Май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62="",TEXT(Настройки!$J4,"ч:мм"),TEXT(Настройки!V62,"ч:мм"))+TIME(0,Май!T15,0),"ч::мм")=TEXT(IF(Настройки!V62="",TEXT(Настройки!$J4,"ч:мм"),TEXT(Настройки!V62,"ч:мм")),"ч:мм"),"",TEXT(IF(Настройки!V62="",TEXT(Настройки!$J4,"ч:мм"),TEXT(Настройки!V62,"ч:мм")),"ч:мм")&amp;"-"&amp;TEXT(IF(Настройки!V62="",TEXT(Настройки!$J4,"ч:мм"),TEXT(Настройки!V62,"ч:мм"))+TIME(0,Май!T15,0),"ч::мм"))</f>
        <v/>
      </c>
      <c r="C26" s="3" t="str">
        <f ca="1">IF(TEXT(IF(Настройки!W62="",TEXT(Настройки!$J4,"ч:мм"),TEXT(Настройки!W62,"ч:мм"))+TIME(0,Май!U15,0),"ч::мм")=TEXT(IF(Настройки!W62="",TEXT(Настройки!$J4,"ч:мм"),TEXT(Настройки!W62,"ч:мм")),"ч:мм"),"",TEXT(IF(Настройки!W62="",TEXT(Настройки!$J4,"ч:мм"),TEXT(Настройки!W62,"ч:мм")),"ч:мм")&amp;"-"&amp;TEXT(IF(Настройки!W62="",TEXT(Настройки!$J4,"ч:мм"),TEXT(Настройки!W62,"ч:мм"))+TIME(0,Май!U15,0),"ч::мм"))</f>
        <v/>
      </c>
      <c r="D26" s="3" t="str">
        <f ca="1">IF(TEXT(IF(Настройки!X62="",TEXT(Настройки!$J4,"ч:мм"),TEXT(Настройки!X62,"ч:мм"))+TIME(0,Май!V15,0),"ч::мм")=TEXT(IF(Настройки!X62="",TEXT(Настройки!$J4,"ч:мм"),TEXT(Настройки!X62,"ч:мм")),"ч:мм"),"",TEXT(IF(Настройки!X62="",TEXT(Настройки!$J4,"ч:мм"),TEXT(Настройки!X62,"ч:мм")),"ч:мм")&amp;"-"&amp;TEXT(IF(Настройки!X62="",TEXT(Настройки!$J4,"ч:мм"),TEXT(Настройки!X62,"ч:мм"))+TIME(0,Май!V15,0),"ч::мм"))</f>
        <v/>
      </c>
      <c r="E26" s="3" t="str">
        <f ca="1">IF(TEXT(IF(Настройки!Y62="",TEXT(Настройки!$J4,"ч:мм"),TEXT(Настройки!Y62,"ч:мм"))+TIME(0,Май!W15,0),"ч::мм")=TEXT(IF(Настройки!Y62="",TEXT(Настройки!$J4,"ч:мм"),TEXT(Настройки!Y62,"ч:мм")),"ч:мм"),"",TEXT(IF(Настройки!Y62="",TEXT(Настройки!$J4,"ч:мм"),TEXT(Настройки!Y62,"ч:мм")),"ч:мм")&amp;"-"&amp;TEXT(IF(Настройки!Y62="",TEXT(Настройки!$J4,"ч:мм"),TEXT(Настройки!Y62,"ч:мм"))+TIME(0,Май!W15,0),"ч::мм"))</f>
        <v/>
      </c>
      <c r="F26" s="3" t="str">
        <f ca="1">IF(TEXT(IF(Настройки!Z62="",TEXT(Настройки!$J4,"ч:мм"),TEXT(Настройки!Z62,"ч:мм"))+TIME(0,Май!X15,0),"ч::мм")=TEXT(IF(Настройки!Z62="",TEXT(Настройки!$J4,"ч:мм"),TEXT(Настройки!Z62,"ч:мм")),"ч:мм"),"",TEXT(IF(Настройки!Z62="",TEXT(Настройки!$J4,"ч:мм"),TEXT(Настройки!Z62,"ч:мм")),"ч:мм")&amp;"-"&amp;TEXT(IF(Настройки!Z62="",TEXT(Настройки!$J4,"ч:мм"),TEXT(Настройки!Z62,"ч:мм"))+TIME(0,Май!X15,0),"ч::мм"))</f>
        <v/>
      </c>
      <c r="G26" s="3" t="str">
        <f ca="1">IF(TEXT(IF(Настройки!AA62="",TEXT(Настройки!$J4,"ч:мм"),TEXT(Настройки!AA62,"ч:мм"))+TIME(0,Май!Y15,0),"ч::мм")=TEXT(IF(Настройки!AA62="",TEXT(Настройки!$J4,"ч:мм"),TEXT(Настройки!AA62,"ч:мм")),"ч:мм"),"",TEXT(IF(Настройки!AA62="",TEXT(Настройки!$J4,"ч:мм"),TEXT(Настройки!AA62,"ч:мм")),"ч:мм")&amp;"-"&amp;TEXT(IF(Настройки!AA62="",TEXT(Настройки!$J4,"ч:мм"),TEXT(Настройки!AA62,"ч:мм"))+TIME(0,Май!Y15,0),"ч::мм"))</f>
        <v/>
      </c>
      <c r="H26" s="3" t="str">
        <f ca="1">IF(TEXT(IF(Настройки!AB62="",TEXT(Настройки!$J4,"ч:мм"),TEXT(Настройки!AB62,"ч:мм"))+TIME(0,Май!Z15,0),"ч::мм")=TEXT(IF(Настройки!AB62="",TEXT(Настройки!$J4,"ч:мм"),TEXT(Настройки!AB62,"ч:мм")),"ч:мм"),"",TEXT(IF(Настройки!AB62="",TEXT(Настройки!$J4,"ч:мм"),TEXT(Настройки!AB62,"ч:мм")),"ч:мм")&amp;"-"&amp;TEXT(IF(Настройки!AB62="",TEXT(Настройки!$J4,"ч:мм"),TEXT(Настройки!AB62,"ч:мм"))+TIME(0,Май!Z15,0),"ч::мм"))</f>
        <v/>
      </c>
      <c r="I26" s="3" t="str">
        <f ca="1">IF(TEXT(IF(Настройки!AC62="",TEXT(Настройки!$J4,"ч:мм"),TEXT(Настройки!AC62,"ч:мм"))+TIME(0,Май!AA15,0),"ч::мм")=TEXT(IF(Настройки!AC62="",TEXT(Настройки!$J4,"ч:мм"),TEXT(Настройки!AC62,"ч:мм")),"ч:мм"),"",TEXT(IF(Настройки!AC62="",TEXT(Настройки!$J4,"ч:мм"),TEXT(Настройки!AC62,"ч:мм")),"ч:мм")&amp;"-"&amp;TEXT(IF(Настройки!AC62="",TEXT(Настройки!$J4,"ч:мм"),TEXT(Настройки!AC62,"ч:мм"))+TIME(0,Май!AA15,0),"ч::мм"))</f>
        <v/>
      </c>
      <c r="J26" s="3" t="str">
        <f ca="1">IF(TEXT(IF(Настройки!AD62="",TEXT(Настройки!$J4,"ч:мм"),TEXT(Настройки!AD62,"ч:мм"))+TIME(0,Май!AB15,0),"ч::мм")=TEXT(IF(Настройки!AD62="",TEXT(Настройки!$J4,"ч:мм"),TEXT(Настройки!AD62,"ч:мм")),"ч:мм"),"",TEXT(IF(Настройки!AD62="",TEXT(Настройки!$J4,"ч:мм"),TEXT(Настройки!AD62,"ч:мм")),"ч:мм")&amp;"-"&amp;TEXT(IF(Настройки!AD62="",TEXT(Настройки!$J4,"ч:мм"),TEXT(Настройки!AD62,"ч:мм"))+TIME(0,Май!AB15,0),"ч::мм"))</f>
        <v/>
      </c>
      <c r="K26" s="3" t="str">
        <f ca="1">IF(TEXT(IF(Настройки!AE62="",TEXT(Настройки!$J4,"ч:мм"),TEXT(Настройки!AE62,"ч:мм"))+TIME(0,Май!AC15,0),"ч::мм")=TEXT(IF(Настройки!AE62="",TEXT(Настройки!$J4,"ч:мм"),TEXT(Настройки!AE62,"ч:мм")),"ч:мм"),"",TEXT(IF(Настройки!AE62="",TEXT(Настройки!$J4,"ч:мм"),TEXT(Настройки!AE62,"ч:мм")),"ч:мм")&amp;"-"&amp;TEXT(IF(Настройки!AE62="",TEXT(Настройки!$J4,"ч:мм"),TEXT(Настройки!AE62,"ч:мм"))+TIME(0,Май!AC15,0),"ч::мм"))</f>
        <v/>
      </c>
      <c r="L26" s="3" t="str">
        <f ca="1">IF(TEXT(IF(Настройки!AF62="",TEXT(Настройки!$J4,"ч:мм"),TEXT(Настройки!AF62,"ч:мм"))+TIME(0,Май!AD15,0),"ч::мм")=TEXT(IF(Настройки!AF62="",TEXT(Настройки!$J4,"ч:мм"),TEXT(Настройки!AF62,"ч:мм")),"ч:мм"),"",TEXT(IF(Настройки!AF62="",TEXT(Настройки!$J4,"ч:мм"),TEXT(Настройки!AF62,"ч:мм")),"ч:мм")&amp;"-"&amp;TEXT(IF(Настройки!AF62="",TEXT(Настройки!$J4,"ч:мм"),TEXT(Настройки!AF62,"ч:мм"))+TIME(0,Май!AD15,0),"ч::мм"))</f>
        <v/>
      </c>
      <c r="M26" s="3" t="str">
        <f ca="1">IF(TEXT(IF(Настройки!AG62="",TEXT(Настройки!$J4,"ч:мм"),TEXT(Настройки!AG62,"ч:мм"))+TIME(0,Май!AE15,0),"ч::мм")=TEXT(IF(Настройки!AG62="",TEXT(Настройки!$J4,"ч:мм"),TEXT(Настройки!AG62,"ч:мм")),"ч:мм"),"",TEXT(IF(Настройки!AG62="",TEXT(Настройки!$J4,"ч:мм"),TEXT(Настройки!AG62,"ч:мм")),"ч:мм")&amp;"-"&amp;TEXT(IF(Настройки!AG62="",TEXT(Настройки!$J4,"ч:мм"),TEXT(Настройки!AG62,"ч:мм"))+TIME(0,Май!AE15,0),"ч::мм"))</f>
        <v/>
      </c>
      <c r="N26" s="3" t="str">
        <f ca="1">IF(TEXT(IF(Настройки!AH62="",TEXT(Настройки!$J4,"ч:мм"),TEXT(Настройки!AH62,"ч:мм"))+TIME(0,Май!AF15,0),"ч::мм")=TEXT(IF(Настройки!AH62="",TEXT(Настройки!$J4,"ч:мм"),TEXT(Настройки!AH62,"ч:мм")),"ч:мм"),"",TEXT(IF(Настройки!AH62="",TEXT(Настройки!$J4,"ч:мм"),TEXT(Настройки!AH62,"ч:мм")),"ч:мм")&amp;"-"&amp;TEXT(IF(Настройки!AH62="",TEXT(Настройки!$J4,"ч:мм"),TEXT(Настройки!AH62,"ч:мм"))+TIME(0,Май!AF15,0),"ч::мм"))</f>
        <v/>
      </c>
      <c r="O26" s="3" t="str">
        <f ca="1">IF(TEXT(IF(Настройки!AI62="",TEXT(Настройки!$J4,"ч:мм"),TEXT(Настройки!AI62,"ч:мм"))+TIME(0,Май!AG15,0),"ч::мм")=TEXT(IF(Настройки!AI62="",TEXT(Настройки!$J4,"ч:мм"),TEXT(Настройки!AI62,"ч:мм")),"ч:мм"),"",TEXT(IF(Настройки!AI62="",TEXT(Настройки!$J4,"ч:мм"),TEXT(Настройки!AI62,"ч:мм")),"ч:мм")&amp;"-"&amp;TEXT(IF(Настройки!AI62="",TEXT(Настройки!$J4,"ч:мм"),TEXT(Настройки!AI62,"ч:мм"))+TIME(0,Май!AG15,0),"ч::мм"))</f>
        <v/>
      </c>
      <c r="P26" s="3" t="str">
        <f ca="1">IF(TEXT(IF(Настройки!AJ62="",TEXT(Настройки!$J4,"ч:мм"),TEXT(Настройки!AJ62,"ч:мм"))+TIME(0,Май!AH15,0),"ч::мм")=TEXT(IF(Настройки!AJ62="",TEXT(Настройки!$J4,"ч:мм"),TEXT(Настройки!AJ62,"ч:мм")),"ч:мм"),"",TEXT(IF(Настройки!AJ62="",TEXT(Настройки!$J4,"ч:мм"),TEXT(Настройки!AJ62,"ч:мм")),"ч:мм")&amp;"-"&amp;TEXT(IF(Настройки!AJ62="",TEXT(Настройки!$J4,"ч:мм"),TEXT(Настройки!AJ62,"ч:мм"))+TIME(0,Май!AH15,0),"ч::мм"))</f>
        <v/>
      </c>
    </row>
    <row r="27" spans="1:18" x14ac:dyDescent="0.25">
      <c r="Q27" s="9"/>
      <c r="R27" s="9"/>
    </row>
    <row r="28" spans="1:18" x14ac:dyDescent="0.25">
      <c r="A28" s="81"/>
      <c r="B28" s="67" t="s">
        <v>55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4"/>
      <c r="Q28" s="33"/>
      <c r="R28" s="9"/>
    </row>
    <row r="29" spans="1:18" x14ac:dyDescent="0.25">
      <c r="A29" s="83"/>
      <c r="B29" s="95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6"/>
      <c r="Q29" s="33"/>
      <c r="R29" s="9"/>
    </row>
    <row r="30" spans="1:18" x14ac:dyDescent="0.25">
      <c r="A30" s="83"/>
      <c r="B30" s="29">
        <f>Настройки!AK11</f>
        <v>45443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31"/>
      <c r="R30" s="9"/>
    </row>
    <row r="31" spans="1:18" x14ac:dyDescent="0.25">
      <c r="A31" s="83"/>
      <c r="B31" s="67" t="s">
        <v>54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4"/>
      <c r="Q31" s="33"/>
      <c r="R31" s="9"/>
    </row>
    <row r="32" spans="1:18" x14ac:dyDescent="0.25">
      <c r="A32" s="84"/>
      <c r="B32" s="95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6"/>
      <c r="Q32" s="33"/>
      <c r="R32" s="9"/>
    </row>
    <row r="33" spans="1:16" x14ac:dyDescent="0.25">
      <c r="A33" s="3" t="s">
        <v>138</v>
      </c>
      <c r="B33" s="3" t="s">
        <v>113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</row>
    <row r="34" spans="1:16" x14ac:dyDescent="0.25">
      <c r="A34" s="32" t="str">
        <f t="shared" ref="A34:A36" si="1">A14</f>
        <v>9:00-9:00</v>
      </c>
      <c r="B34" s="3" t="str">
        <f>IF(TEXT(IF(Настройки!AK60="",TEXT(Настройки!$J2,"ч:мм"),TEXT(Настройки!AK60,"ч:мм"))+TIME(0,Май!AI13,0),"ч::мм")=TEXT(IF(Настройки!AK60="",TEXT(Настройки!$J2,"ч:мм"),TEXT(Настройки!AK60,"ч:мм")),"ч:мм"),"",TEXT(IF(Настройки!AK60="",TEXT(Настройки!$J2,"ч:мм"),TEXT(Настройки!AK60,"ч:мм")),"ч:мм")&amp;"-"&amp;TEXT(IF(Настройки!AK60="",TEXT(Настройки!$J2,"ч:мм"),TEXT(Настройки!AK60,"ч:мм"))+TIME(0,Май!AI13,0),"ч::мм"))</f>
        <v/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</row>
    <row r="35" spans="1:16" x14ac:dyDescent="0.25">
      <c r="A35" s="32" t="str">
        <f t="shared" ca="1" si="1"/>
        <v>13:00-13:00</v>
      </c>
      <c r="B35" s="3" t="str">
        <f ca="1">IF(TEXT(IF(Настройки!AK61="",TEXT(Настройки!$J3,"ч:мм"),TEXT(Настройки!AK61,"ч:мм"))+TIME(0,Май!AI14,0),"ч::мм")=TEXT(IF(Настройки!AK61="",TEXT(Настройки!$J3,"ч:мм"),TEXT(Настройки!AK61,"ч:мм")),"ч:мм"),"",TEXT(IF(Настройки!AK61="",TEXT(Настройки!$J3,"ч:мм"),TEXT(Настройки!AK61,"ч:мм")),"ч:мм")&amp;"-"&amp;TEXT(IF(Настройки!AK61="",TEXT(Настройки!$J3,"ч:мм"),TEXT(Настройки!AK61,"ч:мм"))+TIME(0,Май!AI14,0),"ч::мм"))</f>
        <v/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</row>
    <row r="36" spans="1:16" x14ac:dyDescent="0.25">
      <c r="A36" s="32" t="str">
        <f t="shared" ca="1" si="1"/>
        <v>16:00-16:00</v>
      </c>
      <c r="B36" s="3" t="str">
        <f ca="1">IF(TEXT(IF(Настройки!AK62="",TEXT(Настройки!$J4,"ч:мм"),TEXT(Настройки!AK62,"ч:мм"))+TIME(0,Май!AI15,0),"ч::мм")=TEXT(IF(Настройки!AK62="",TEXT(Настройки!$J4,"ч:мм"),TEXT(Настройки!AK62,"ч:мм")),"ч:мм"),"",TEXT(IF(Настройки!AK62="",TEXT(Настройки!$J4,"ч:мм"),TEXT(Настройки!AK62,"ч:мм")),"ч:мм")&amp;"-"&amp;TEXT(IF(Настройки!AK62="",TEXT(Настройки!$J4,"ч:мм"),TEXT(Настройки!AK62,"ч:мм"))+TIME(0,Май!AI15,0),"ч::мм"))</f>
        <v/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</row>
  </sheetData>
  <mergeCells count="12">
    <mergeCell ref="A2:P2"/>
    <mergeCell ref="F6:G6"/>
    <mergeCell ref="H6:I6"/>
    <mergeCell ref="A8:A12"/>
    <mergeCell ref="B8:P9"/>
    <mergeCell ref="B11:P12"/>
    <mergeCell ref="A18:A22"/>
    <mergeCell ref="B18:P19"/>
    <mergeCell ref="B21:P22"/>
    <mergeCell ref="A28:A32"/>
    <mergeCell ref="B28:P29"/>
    <mergeCell ref="B31:P32"/>
  </mergeCells>
  <conditionalFormatting sqref="B10:P10">
    <cfRule type="expression" dxfId="806" priority="3">
      <formula>WEEKDAY(B10:P10,2)&gt;5</formula>
    </cfRule>
  </conditionalFormatting>
  <conditionalFormatting sqref="B20:P20">
    <cfRule type="expression" dxfId="805" priority="2">
      <formula>WEEKDAY(B20:P20,2)&gt;5</formula>
    </cfRule>
  </conditionalFormatting>
  <conditionalFormatting sqref="B30">
    <cfRule type="expression" dxfId="804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3"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4" tint="0.39997558519241921"/>
    <pageSetUpPr fitToPage="1"/>
  </sheetPr>
  <dimension ref="A2:AK28"/>
  <sheetViews>
    <sheetView zoomScale="70" zoomScaleNormal="70" workbookViewId="0">
      <selection activeCell="D1" sqref="D1"/>
    </sheetView>
  </sheetViews>
  <sheetFormatPr defaultRowHeight="15.75" x14ac:dyDescent="0.25"/>
  <cols>
    <col min="1" max="1" width="21.42578125" style="3" customWidth="1"/>
    <col min="2" max="2" width="18.7109375" style="3" bestFit="1" customWidth="1"/>
    <col min="3" max="3" width="14.7109375" style="3" bestFit="1" customWidth="1"/>
    <col min="4" max="4" width="9.28515625" style="3" customWidth="1"/>
    <col min="5" max="17" width="4.7109375" style="3" bestFit="1" customWidth="1"/>
    <col min="18" max="18" width="7.28515625" style="3" bestFit="1" customWidth="1"/>
    <col min="19" max="34" width="4.7109375" style="3" bestFit="1" customWidth="1"/>
    <col min="35" max="35" width="9.85546875" style="3" bestFit="1" customWidth="1"/>
    <col min="36" max="36" width="10.85546875" style="3" bestFit="1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7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7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7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7" ht="18.75" x14ac:dyDescent="0.25">
      <c r="C5" s="14"/>
      <c r="L5" s="10" t="s">
        <v>69</v>
      </c>
      <c r="M5" s="61" t="s">
        <v>123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6" spans="1:37" ht="18.75" x14ac:dyDescent="0.25">
      <c r="C6" s="14"/>
      <c r="L6" s="10"/>
      <c r="M6" s="16"/>
      <c r="N6" s="25"/>
      <c r="O6" s="25"/>
      <c r="P6" s="25"/>
      <c r="Q6" s="25"/>
      <c r="R6" s="16"/>
      <c r="S6" s="25"/>
      <c r="T6" s="12"/>
      <c r="U6" s="12"/>
    </row>
    <row r="7" spans="1:37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69"/>
      <c r="AI7" s="63" t="s">
        <v>64</v>
      </c>
      <c r="AJ7" s="63" t="s">
        <v>64</v>
      </c>
      <c r="AK7" s="4"/>
    </row>
    <row r="8" spans="1:37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78"/>
      <c r="AI8" s="63"/>
      <c r="AJ8" s="63"/>
      <c r="AK8" s="4"/>
    </row>
    <row r="9" spans="1:37" x14ac:dyDescent="0.25">
      <c r="A9" s="73"/>
      <c r="B9" s="76"/>
      <c r="C9" s="76"/>
      <c r="D9" s="82"/>
      <c r="E9" s="17">
        <f>Настройки!G12</f>
        <v>45444</v>
      </c>
      <c r="F9" s="17">
        <f>Настройки!H12</f>
        <v>45445</v>
      </c>
      <c r="G9" s="17">
        <f>Настройки!I12</f>
        <v>45446</v>
      </c>
      <c r="H9" s="17">
        <f>Настройки!J12</f>
        <v>45447</v>
      </c>
      <c r="I9" s="17">
        <f>Настройки!K12</f>
        <v>45448</v>
      </c>
      <c r="J9" s="17">
        <f>Настройки!L12</f>
        <v>45449</v>
      </c>
      <c r="K9" s="17">
        <f>Настройки!M12</f>
        <v>45450</v>
      </c>
      <c r="L9" s="17">
        <f>Настройки!N12</f>
        <v>45451</v>
      </c>
      <c r="M9" s="17">
        <f>Настройки!O12</f>
        <v>45452</v>
      </c>
      <c r="N9" s="17">
        <f>Настройки!P12</f>
        <v>45453</v>
      </c>
      <c r="O9" s="17">
        <f>Настройки!Q12</f>
        <v>45454</v>
      </c>
      <c r="P9" s="17">
        <f>Настройки!R12</f>
        <v>45455</v>
      </c>
      <c r="Q9" s="17">
        <f>Настройки!S12</f>
        <v>45456</v>
      </c>
      <c r="R9" s="17">
        <f>Настройки!T12</f>
        <v>45457</v>
      </c>
      <c r="S9" s="17">
        <f>Настройки!U12</f>
        <v>45458</v>
      </c>
      <c r="T9" s="17">
        <f>Настройки!V12</f>
        <v>45459</v>
      </c>
      <c r="U9" s="17">
        <f>Настройки!W12</f>
        <v>45460</v>
      </c>
      <c r="V9" s="17">
        <f>Настройки!X12</f>
        <v>45461</v>
      </c>
      <c r="W9" s="17">
        <f>Настройки!Y12</f>
        <v>45462</v>
      </c>
      <c r="X9" s="17">
        <f>Настройки!Z12</f>
        <v>45463</v>
      </c>
      <c r="Y9" s="17">
        <f>Настройки!AA12</f>
        <v>45464</v>
      </c>
      <c r="Z9" s="17">
        <f>Настройки!AB12</f>
        <v>45465</v>
      </c>
      <c r="AA9" s="17">
        <f>Настройки!AC12</f>
        <v>45466</v>
      </c>
      <c r="AB9" s="17">
        <f>Настройки!AD12</f>
        <v>45467</v>
      </c>
      <c r="AC9" s="17">
        <f>Настройки!AE12</f>
        <v>45468</v>
      </c>
      <c r="AD9" s="17">
        <f>Настройки!AF12</f>
        <v>45469</v>
      </c>
      <c r="AE9" s="17">
        <f>Настройки!AG12</f>
        <v>45470</v>
      </c>
      <c r="AF9" s="17">
        <f>Настройки!AH12</f>
        <v>45471</v>
      </c>
      <c r="AG9" s="17">
        <f>Настройки!AI12</f>
        <v>45472</v>
      </c>
      <c r="AH9" s="17">
        <f>Настройки!AJ12</f>
        <v>45473</v>
      </c>
      <c r="AI9" s="63"/>
      <c r="AJ9" s="63"/>
      <c r="AK9" s="4"/>
    </row>
    <row r="10" spans="1:37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85"/>
      <c r="AI10" s="63"/>
      <c r="AJ10" s="63"/>
      <c r="AK10" s="4"/>
    </row>
    <row r="11" spans="1:37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2"/>
      <c r="AI11" s="63"/>
      <c r="AJ11" s="63"/>
    </row>
    <row r="12" spans="1:37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13" t="s">
        <v>75</v>
      </c>
      <c r="F12" s="13" t="s">
        <v>76</v>
      </c>
      <c r="G12" s="13" t="s">
        <v>77</v>
      </c>
      <c r="H12" s="13" t="s">
        <v>78</v>
      </c>
      <c r="I12" s="13" t="s">
        <v>79</v>
      </c>
      <c r="J12" s="13" t="s">
        <v>80</v>
      </c>
      <c r="K12" s="13" t="s">
        <v>81</v>
      </c>
      <c r="L12" s="13" t="s">
        <v>82</v>
      </c>
      <c r="M12" s="13" t="s">
        <v>83</v>
      </c>
      <c r="N12" s="13" t="s">
        <v>84</v>
      </c>
      <c r="O12" s="13" t="s">
        <v>85</v>
      </c>
      <c r="P12" s="13" t="s">
        <v>86</v>
      </c>
      <c r="Q12" s="13" t="s">
        <v>87</v>
      </c>
      <c r="R12" s="13" t="s">
        <v>88</v>
      </c>
      <c r="S12" s="13" t="s">
        <v>89</v>
      </c>
      <c r="T12" s="13" t="s">
        <v>90</v>
      </c>
      <c r="U12" s="13" t="s">
        <v>91</v>
      </c>
      <c r="V12" s="13" t="s">
        <v>92</v>
      </c>
      <c r="W12" s="13" t="s">
        <v>93</v>
      </c>
      <c r="X12" s="13" t="s">
        <v>94</v>
      </c>
      <c r="Y12" s="13" t="s">
        <v>95</v>
      </c>
      <c r="Z12" s="13" t="s">
        <v>96</v>
      </c>
      <c r="AA12" s="13" t="s">
        <v>97</v>
      </c>
      <c r="AB12" s="13" t="s">
        <v>98</v>
      </c>
      <c r="AC12" s="13" t="s">
        <v>99</v>
      </c>
      <c r="AD12" s="13" t="s">
        <v>100</v>
      </c>
      <c r="AE12" s="13" t="s">
        <v>101</v>
      </c>
      <c r="AF12" s="13" t="s">
        <v>102</v>
      </c>
      <c r="AG12" s="13" t="s">
        <v>103</v>
      </c>
      <c r="AH12" s="13" t="s">
        <v>104</v>
      </c>
      <c r="AI12" s="3" t="s">
        <v>62</v>
      </c>
      <c r="AJ12" s="3" t="s">
        <v>63</v>
      </c>
    </row>
    <row r="13" spans="1:37" x14ac:dyDescent="0.25">
      <c r="A13" s="5" t="s">
        <v>56</v>
      </c>
      <c r="B13" s="3">
        <f ca="1">SUMPRODUCT((Настройки!$G$26:$AJ$26=1)*E16:AH16)</f>
        <v>0</v>
      </c>
      <c r="C13" s="13"/>
      <c r="D13" s="5">
        <v>1</v>
      </c>
      <c r="E13" s="3">
        <f>SUMPRODUCT((Июнь[№]=1)*Июнь[1],Июнь[Объем])</f>
        <v>0</v>
      </c>
      <c r="F13" s="23">
        <f>SUMPRODUCT((Июнь[№]=1)*Июнь[2],Июнь[Объем])</f>
        <v>0</v>
      </c>
      <c r="G13" s="23">
        <f>SUMPRODUCT((Июнь[№]=1)*Июнь[3],Июнь[Объем])</f>
        <v>0</v>
      </c>
      <c r="H13" s="23">
        <f>SUMPRODUCT((Июнь[№]=1)*Июнь[4],Июнь[Объем])</f>
        <v>0</v>
      </c>
      <c r="I13" s="23">
        <f>SUMPRODUCT((Июнь[№]=1)*Июнь[5],Июнь[Объем])</f>
        <v>0</v>
      </c>
      <c r="J13" s="23">
        <f>SUMPRODUCT((Июнь[№]=1)*Июнь[6],Июнь[Объем])</f>
        <v>0</v>
      </c>
      <c r="K13" s="23">
        <f>SUMPRODUCT((Июнь[№]=1)*Июнь[7],Июнь[Объем])</f>
        <v>0</v>
      </c>
      <c r="L13" s="23">
        <f>SUMPRODUCT((Июнь[№]=1)*Июнь[8],Июнь[Объем])</f>
        <v>0</v>
      </c>
      <c r="M13" s="23">
        <f>SUMPRODUCT((Июнь[№]=1)*Июнь[9],Июнь[Объем])</f>
        <v>0</v>
      </c>
      <c r="N13" s="23">
        <f>SUMPRODUCT((Июнь[№]=1)*Июнь[10],Июнь[Объем])</f>
        <v>0</v>
      </c>
      <c r="O13" s="23">
        <f>SUMPRODUCT((Июнь[№]=1)*Июнь[11],Июнь[Объем])</f>
        <v>0</v>
      </c>
      <c r="P13" s="23">
        <f>SUMPRODUCT((Июнь[№]=1)*Июнь[12],Июнь[Объем])</f>
        <v>0</v>
      </c>
      <c r="Q13" s="23">
        <f>SUMPRODUCT((Июнь[№]=1)*Июнь[13],Июнь[Объем])</f>
        <v>0</v>
      </c>
      <c r="R13" s="23">
        <f>SUMPRODUCT((Июнь[№]=1)*Июнь[14],Июнь[Объем])</f>
        <v>0</v>
      </c>
      <c r="S13" s="23">
        <f>SUMPRODUCT((Июнь[№]=1)*Июнь[15],Июнь[Объем])</f>
        <v>0</v>
      </c>
      <c r="T13" s="23">
        <f>SUMPRODUCT((Июнь[№]=1)*Июнь[16],Июнь[Объем])</f>
        <v>0</v>
      </c>
      <c r="U13" s="23">
        <f>SUMPRODUCT((Июнь[№]=1)*Июнь[17],Июнь[Объем])</f>
        <v>0</v>
      </c>
      <c r="V13" s="23">
        <f>SUMPRODUCT((Июнь[№]=1)*Июнь[18],Июнь[Объем])</f>
        <v>0</v>
      </c>
      <c r="W13" s="23">
        <f>SUMPRODUCT((Июнь[№]=1)*Июнь[19],Июнь[Объем])</f>
        <v>0</v>
      </c>
      <c r="X13" s="23">
        <f>SUMPRODUCT((Июнь[№]=1)*Июнь[20],Июнь[Объем])</f>
        <v>0</v>
      </c>
      <c r="Y13" s="23">
        <f>SUMPRODUCT((Июнь[№]=1)*Июнь[21],Июнь[Объем])</f>
        <v>0</v>
      </c>
      <c r="Z13" s="23">
        <f>SUMPRODUCT((Июнь[№]=1)*Июнь[22],Июнь[Объем])</f>
        <v>0</v>
      </c>
      <c r="AA13" s="23">
        <f>SUMPRODUCT((Июнь[№]=1)*Июнь[23],Июнь[Объем])</f>
        <v>0</v>
      </c>
      <c r="AB13" s="23">
        <f>SUMPRODUCT((Июнь[№]=1)*Июнь[24],Июнь[Объем])</f>
        <v>0</v>
      </c>
      <c r="AC13" s="23">
        <f>SUMPRODUCT((Июнь[№]=1)*Июнь[25],Июнь[Объем])</f>
        <v>0</v>
      </c>
      <c r="AD13" s="23">
        <f>SUMPRODUCT((Июнь[№]=1)*Июнь[26],Июнь[Объем])</f>
        <v>0</v>
      </c>
      <c r="AE13" s="23">
        <f>SUMPRODUCT((Июнь[№]=1)*Июнь[27],Июнь[Объем])</f>
        <v>0</v>
      </c>
      <c r="AF13" s="23">
        <f>SUMPRODUCT((Июнь[№]=1)*Июнь[28],Июнь[Объем])</f>
        <v>0</v>
      </c>
      <c r="AG13" s="23">
        <f>SUMPRODUCT((Июнь[№]=1)*Июнь[29],Июнь[Объем])</f>
        <v>0</v>
      </c>
      <c r="AH13" s="23">
        <f>SUMPRODUCT((Июнь[№]=1)*Июнь[30],Июнь[Объем])</f>
        <v>0</v>
      </c>
    </row>
    <row r="14" spans="1:37" x14ac:dyDescent="0.25">
      <c r="B14" s="3">
        <f ca="1">SUMPRODUCT((Настройки!$G$26:$AJ$26=2)*E16:AH16)</f>
        <v>0</v>
      </c>
      <c r="D14" s="5">
        <v>2</v>
      </c>
      <c r="E14" s="3">
        <f ca="1">SUMPRODUCT((Июнь[№]=2)*Июнь[1],OFFSET(Июнь[Объем],-1,0))</f>
        <v>0</v>
      </c>
      <c r="F14" s="23">
        <f ca="1">SUMPRODUCT((Июнь[№]=2)*Июнь[2],OFFSET(Июнь[Объем],-1,0))</f>
        <v>0</v>
      </c>
      <c r="G14" s="23">
        <f ca="1">SUMPRODUCT((Июнь[№]=2)*Июнь[3],OFFSET(Июнь[Объем],-1,0))</f>
        <v>0</v>
      </c>
      <c r="H14" s="23">
        <f ca="1">SUMPRODUCT((Июнь[№]=2)*Июнь[4],OFFSET(Июнь[Объем],-1,0))</f>
        <v>0</v>
      </c>
      <c r="I14" s="23">
        <f ca="1">SUMPRODUCT((Июнь[№]=2)*Июнь[5],OFFSET(Июнь[Объем],-1,0))</f>
        <v>0</v>
      </c>
      <c r="J14" s="23">
        <f ca="1">SUMPRODUCT((Июнь[№]=2)*Июнь[6],OFFSET(Июнь[Объем],-1,0))</f>
        <v>0</v>
      </c>
      <c r="K14" s="23">
        <f ca="1">SUMPRODUCT((Июнь[№]=2)*Июнь[7],OFFSET(Июнь[Объем],-1,0))</f>
        <v>0</v>
      </c>
      <c r="L14" s="23">
        <f ca="1">SUMPRODUCT((Июнь[№]=2)*Июнь[8],OFFSET(Июнь[Объем],-1,0))</f>
        <v>0</v>
      </c>
      <c r="M14" s="23">
        <f ca="1">SUMPRODUCT((Июнь[№]=2)*Июнь[9],OFFSET(Июнь[Объем],-1,0))</f>
        <v>0</v>
      </c>
      <c r="N14" s="23">
        <f ca="1">SUMPRODUCT((Июнь[№]=2)*Июнь[10],OFFSET(Июнь[Объем],-1,0))</f>
        <v>0</v>
      </c>
      <c r="O14" s="23">
        <f ca="1">SUMPRODUCT((Июнь[№]=2)*Июнь[11],OFFSET(Июнь[Объем],-1,0))</f>
        <v>0</v>
      </c>
      <c r="P14" s="23">
        <f ca="1">SUMPRODUCT((Июнь[№]=2)*Июнь[12],OFFSET(Июнь[Объем],-1,0))</f>
        <v>0</v>
      </c>
      <c r="Q14" s="23">
        <f ca="1">SUMPRODUCT((Июнь[№]=2)*Июнь[13],OFFSET(Июнь[Объем],-1,0))</f>
        <v>0</v>
      </c>
      <c r="R14" s="23">
        <f ca="1">SUMPRODUCT((Июнь[№]=2)*Июнь[14],OFFSET(Июнь[Объем],-1,0))</f>
        <v>0</v>
      </c>
      <c r="S14" s="23">
        <f ca="1">SUMPRODUCT((Июнь[№]=2)*Июнь[15],OFFSET(Июнь[Объем],-1,0))</f>
        <v>0</v>
      </c>
      <c r="T14" s="23">
        <f ca="1">SUMPRODUCT((Июнь[№]=2)*Июнь[16],OFFSET(Июнь[Объем],-1,0))</f>
        <v>0</v>
      </c>
      <c r="U14" s="23">
        <f ca="1">SUMPRODUCT((Июнь[№]=2)*Июнь[17],OFFSET(Июнь[Объем],-1,0))</f>
        <v>0</v>
      </c>
      <c r="V14" s="23">
        <f ca="1">SUMPRODUCT((Июнь[№]=2)*Июнь[18],OFFSET(Июнь[Объем],-1,0))</f>
        <v>0</v>
      </c>
      <c r="W14" s="23">
        <f ca="1">SUMPRODUCT((Июнь[№]=2)*Июнь[19],OFFSET(Июнь[Объем],-1,0))</f>
        <v>0</v>
      </c>
      <c r="X14" s="23">
        <f ca="1">SUMPRODUCT((Июнь[№]=2)*Июнь[20],OFFSET(Июнь[Объем],-1,0))</f>
        <v>0</v>
      </c>
      <c r="Y14" s="23">
        <f ca="1">SUMPRODUCT((Июнь[№]=2)*Июнь[21],OFFSET(Июнь[Объем],-1,0))</f>
        <v>0</v>
      </c>
      <c r="Z14" s="23">
        <f ca="1">SUMPRODUCT((Июнь[№]=2)*Июнь[22],OFFSET(Июнь[Объем],-1,0))</f>
        <v>0</v>
      </c>
      <c r="AA14" s="23">
        <f ca="1">SUMPRODUCT((Июнь[№]=2)*Июнь[23],OFFSET(Июнь[Объем],-1,0))</f>
        <v>0</v>
      </c>
      <c r="AB14" s="23">
        <f ca="1">SUMPRODUCT((Июнь[№]=2)*Июнь[24],OFFSET(Июнь[Объем],-1,0))</f>
        <v>0</v>
      </c>
      <c r="AC14" s="23">
        <f ca="1">SUMPRODUCT((Июнь[№]=2)*Июнь[25],OFFSET(Июнь[Объем],-1,0))</f>
        <v>0</v>
      </c>
      <c r="AD14" s="23">
        <f ca="1">SUMPRODUCT((Июнь[№]=2)*Июнь[26],OFFSET(Июнь[Объем],-1,0))</f>
        <v>0</v>
      </c>
      <c r="AE14" s="23">
        <f ca="1">SUMPRODUCT((Июнь[№]=2)*Июнь[27],OFFSET(Июнь[Объем],-1,0))</f>
        <v>0</v>
      </c>
      <c r="AF14" s="23">
        <f ca="1">SUMPRODUCT((Июнь[№]=2)*Июнь[28],OFFSET(Июнь[Объем],-1,0))</f>
        <v>0</v>
      </c>
      <c r="AG14" s="23">
        <f ca="1">SUMPRODUCT((Июнь[№]=2)*Июнь[29],OFFSET(Июнь[Объем],-1,0))</f>
        <v>0</v>
      </c>
      <c r="AH14" s="23">
        <f ca="1">SUMPRODUCT((Июнь[№]=2)*Июнь[30],OFFSET(Июнь[Объем],-1,0))</f>
        <v>0</v>
      </c>
    </row>
    <row r="15" spans="1:37" x14ac:dyDescent="0.25">
      <c r="B15" s="3">
        <f ca="1">SUMPRODUCT((Настройки!$G$26:$AJ$26=3)*E16:AH16)</f>
        <v>0</v>
      </c>
      <c r="D15" s="5">
        <v>3</v>
      </c>
      <c r="E15" s="3">
        <f ca="1">SUMPRODUCT((Июнь[№]=3)*Июнь[1],OFFSET(Июнь[Объем],-2,0))</f>
        <v>0</v>
      </c>
      <c r="F15" s="23">
        <f ca="1">SUMPRODUCT((Июнь[№]=3)*Июнь[2],OFFSET(Июнь[Объем],-2,0))</f>
        <v>0</v>
      </c>
      <c r="G15" s="23">
        <f ca="1">SUMPRODUCT((Июнь[№]=3)*Июнь[3],OFFSET(Июнь[Объем],-2,0))</f>
        <v>0</v>
      </c>
      <c r="H15" s="23">
        <f ca="1">SUMPRODUCT((Июнь[№]=3)*Июнь[4],OFFSET(Июнь[Объем],-2,0))</f>
        <v>0</v>
      </c>
      <c r="I15" s="23">
        <f ca="1">SUMPRODUCT((Июнь[№]=3)*Июнь[5],OFFSET(Июнь[Объем],-2,0))</f>
        <v>0</v>
      </c>
      <c r="J15" s="23">
        <f ca="1">SUMPRODUCT((Июнь[№]=3)*Июнь[6],OFFSET(Июнь[Объем],-2,0))</f>
        <v>0</v>
      </c>
      <c r="K15" s="23">
        <f ca="1">SUMPRODUCT((Июнь[№]=3)*Июнь[7],OFFSET(Июнь[Объем],-2,0))</f>
        <v>0</v>
      </c>
      <c r="L15" s="23">
        <f ca="1">SUMPRODUCT((Июнь[№]=3)*Июнь[8],OFFSET(Июнь[Объем],-2,0))</f>
        <v>0</v>
      </c>
      <c r="M15" s="23">
        <f ca="1">SUMPRODUCT((Июнь[№]=3)*Июнь[9],OFFSET(Июнь[Объем],-2,0))</f>
        <v>0</v>
      </c>
      <c r="N15" s="23">
        <f ca="1">SUMPRODUCT((Июнь[№]=3)*Июнь[10],OFFSET(Июнь[Объем],-2,0))</f>
        <v>0</v>
      </c>
      <c r="O15" s="23">
        <f ca="1">SUMPRODUCT((Июнь[№]=3)*Июнь[11],OFFSET(Июнь[Объем],-2,0))</f>
        <v>0</v>
      </c>
      <c r="P15" s="23">
        <f ca="1">SUMPRODUCT((Июнь[№]=3)*Июнь[12],OFFSET(Июнь[Объем],-2,0))</f>
        <v>0</v>
      </c>
      <c r="Q15" s="23">
        <f ca="1">SUMPRODUCT((Июнь[№]=3)*Июнь[13],OFFSET(Июнь[Объем],-2,0))</f>
        <v>0</v>
      </c>
      <c r="R15" s="23">
        <f ca="1">SUMPRODUCT((Июнь[№]=3)*Июнь[14],OFFSET(Июнь[Объем],-2,0))</f>
        <v>0</v>
      </c>
      <c r="S15" s="23">
        <f ca="1">SUMPRODUCT((Июнь[№]=3)*Июнь[15],OFFSET(Июнь[Объем],-2,0))</f>
        <v>0</v>
      </c>
      <c r="T15" s="23">
        <f ca="1">SUMPRODUCT((Июнь[№]=3)*Июнь[16],OFFSET(Июнь[Объем],-2,0))</f>
        <v>0</v>
      </c>
      <c r="U15" s="23">
        <f ca="1">SUMPRODUCT((Июнь[№]=3)*Июнь[17],OFFSET(Июнь[Объем],-2,0))</f>
        <v>0</v>
      </c>
      <c r="V15" s="23">
        <f ca="1">SUMPRODUCT((Июнь[№]=3)*Июнь[18],OFFSET(Июнь[Объем],-2,0))</f>
        <v>0</v>
      </c>
      <c r="W15" s="23">
        <f ca="1">SUMPRODUCT((Июнь[№]=3)*Июнь[19],OFFSET(Июнь[Объем],-2,0))</f>
        <v>0</v>
      </c>
      <c r="X15" s="23">
        <f ca="1">SUMPRODUCT((Июнь[№]=3)*Июнь[20],OFFSET(Июнь[Объем],-2,0))</f>
        <v>0</v>
      </c>
      <c r="Y15" s="23">
        <f ca="1">SUMPRODUCT((Июнь[№]=3)*Июнь[21],OFFSET(Июнь[Объем],-2,0))</f>
        <v>0</v>
      </c>
      <c r="Z15" s="23">
        <f ca="1">SUMPRODUCT((Июнь[№]=3)*Июнь[22],OFFSET(Июнь[Объем],-2,0))</f>
        <v>0</v>
      </c>
      <c r="AA15" s="23">
        <f ca="1">SUMPRODUCT((Июнь[№]=3)*Июнь[23],OFFSET(Июнь[Объем],-2,0))</f>
        <v>0</v>
      </c>
      <c r="AB15" s="23">
        <f ca="1">SUMPRODUCT((Июнь[№]=3)*Июнь[24],OFFSET(Июнь[Объем],-2,0))</f>
        <v>0</v>
      </c>
      <c r="AC15" s="23">
        <f ca="1">SUMPRODUCT((Июнь[№]=3)*Июнь[25],OFFSET(Июнь[Объем],-2,0))</f>
        <v>0</v>
      </c>
      <c r="AD15" s="23">
        <f ca="1">SUMPRODUCT((Июнь[№]=3)*Июнь[26],OFFSET(Июнь[Объем],-2,0))</f>
        <v>0</v>
      </c>
      <c r="AE15" s="23">
        <f ca="1">SUMPRODUCT((Июнь[№]=3)*Июнь[27],OFFSET(Июнь[Объем],-2,0))</f>
        <v>0</v>
      </c>
      <c r="AF15" s="23">
        <f ca="1">SUMPRODUCT((Июнь[№]=3)*Июнь[28],OFFSET(Июнь[Объем],-2,0))</f>
        <v>0</v>
      </c>
      <c r="AG15" s="23">
        <f ca="1">SUMPRODUCT((Июнь[№]=3)*Июнь[29],OFFSET(Июнь[Объем],-2,0))</f>
        <v>0</v>
      </c>
      <c r="AH15" s="23">
        <f ca="1">SUMPRODUCT((Июнь[№]=3)*Июнь[30],OFFSET(Июнь[Объем],-2,0))</f>
        <v>0</v>
      </c>
      <c r="AJ15" s="9"/>
    </row>
    <row r="16" spans="1:37" x14ac:dyDescent="0.25">
      <c r="B16" s="3">
        <f ca="1">SUMPRODUCT((Настройки!$G$26:$AJ$26=4)*E16:AH16)</f>
        <v>0</v>
      </c>
      <c r="D16" s="5"/>
      <c r="E16" s="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J16" s="9"/>
    </row>
    <row r="17" spans="1:36" x14ac:dyDescent="0.25">
      <c r="B17" s="3">
        <f ca="1">SUMPRODUCT((Настройки!$G$26:$AJ$26=5)*E16:AH16)</f>
        <v>0</v>
      </c>
      <c r="C17" s="5">
        <f ca="1">ИюньИтоги[[#This Row],[№]]*60</f>
        <v>0</v>
      </c>
      <c r="D17" s="7">
        <f ca="1">SUM(ИюньИтоги[[#This Row],[1]:[30]])</f>
        <v>0</v>
      </c>
      <c r="E17" s="6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5">
        <f ca="1">SUM(Июнь[УСЛУГ])</f>
        <v>0</v>
      </c>
      <c r="AJ17" s="15">
        <f ca="1">SUM(Июнь[МИНУТ])</f>
        <v>0</v>
      </c>
    </row>
    <row r="18" spans="1:36" x14ac:dyDescent="0.25">
      <c r="B18" s="13">
        <f ca="1">SUMPRODUCT((Настройки!$G$26:$AJ$26=6)*E16:AH16)</f>
        <v>0</v>
      </c>
      <c r="C18" s="13"/>
      <c r="D18" s="7"/>
      <c r="E18" s="13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13"/>
      <c r="AJ18" s="45"/>
    </row>
    <row r="20" spans="1:36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69"/>
      <c r="AI20" s="63" t="s">
        <v>64</v>
      </c>
      <c r="AJ20" s="63" t="s">
        <v>64</v>
      </c>
    </row>
    <row r="21" spans="1:36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78"/>
      <c r="AI21" s="63"/>
      <c r="AJ21" s="63"/>
    </row>
    <row r="22" spans="1:36" x14ac:dyDescent="0.25">
      <c r="A22" s="73"/>
      <c r="B22" s="73"/>
      <c r="C22" s="74"/>
      <c r="D22" s="76"/>
      <c r="E22" s="21">
        <f>Настройки!G12</f>
        <v>45444</v>
      </c>
      <c r="F22" s="21">
        <f>Настройки!H12</f>
        <v>45445</v>
      </c>
      <c r="G22" s="21">
        <f>Настройки!I12</f>
        <v>45446</v>
      </c>
      <c r="H22" s="21">
        <f>Настройки!J12</f>
        <v>45447</v>
      </c>
      <c r="I22" s="21">
        <f>Настройки!K12</f>
        <v>45448</v>
      </c>
      <c r="J22" s="21">
        <f>Настройки!L12</f>
        <v>45449</v>
      </c>
      <c r="K22" s="21">
        <f>Настройки!M12</f>
        <v>45450</v>
      </c>
      <c r="L22" s="21">
        <f>Настройки!N12</f>
        <v>45451</v>
      </c>
      <c r="M22" s="21">
        <f>Настройки!O12</f>
        <v>45452</v>
      </c>
      <c r="N22" s="21">
        <f>Настройки!P12</f>
        <v>45453</v>
      </c>
      <c r="O22" s="21">
        <f>Настройки!Q12</f>
        <v>45454</v>
      </c>
      <c r="P22" s="21">
        <f>Настройки!R12</f>
        <v>45455</v>
      </c>
      <c r="Q22" s="21">
        <f>Настройки!S12</f>
        <v>45456</v>
      </c>
      <c r="R22" s="21">
        <f>Настройки!T12</f>
        <v>45457</v>
      </c>
      <c r="S22" s="21">
        <f>Настройки!U12</f>
        <v>45458</v>
      </c>
      <c r="T22" s="21">
        <f>Настройки!V12</f>
        <v>45459</v>
      </c>
      <c r="U22" s="21">
        <f>Настройки!W12</f>
        <v>45460</v>
      </c>
      <c r="V22" s="21">
        <f>Настройки!X12</f>
        <v>45461</v>
      </c>
      <c r="W22" s="21">
        <f>Настройки!Y12</f>
        <v>45462</v>
      </c>
      <c r="X22" s="21">
        <f>Настройки!Z12</f>
        <v>45463</v>
      </c>
      <c r="Y22" s="21">
        <f>Настройки!AA12</f>
        <v>45464</v>
      </c>
      <c r="Z22" s="21">
        <f>Настройки!AB12</f>
        <v>45465</v>
      </c>
      <c r="AA22" s="21">
        <f>Настройки!AC12</f>
        <v>45466</v>
      </c>
      <c r="AB22" s="21">
        <f>Настройки!AD12</f>
        <v>45467</v>
      </c>
      <c r="AC22" s="21">
        <f>Настройки!AE12</f>
        <v>45468</v>
      </c>
      <c r="AD22" s="21">
        <f>Настройки!AF12</f>
        <v>45469</v>
      </c>
      <c r="AE22" s="21">
        <f>Настройки!AG12</f>
        <v>45470</v>
      </c>
      <c r="AF22" s="21">
        <f>Настройки!AH12</f>
        <v>45471</v>
      </c>
      <c r="AG22" s="21">
        <f>Настройки!AI12</f>
        <v>45472</v>
      </c>
      <c r="AH22" s="21">
        <f>Настройки!AJ12</f>
        <v>45473</v>
      </c>
      <c r="AI22" s="63"/>
      <c r="AJ22" s="63"/>
    </row>
    <row r="23" spans="1:36" x14ac:dyDescent="0.25">
      <c r="A23" s="73"/>
      <c r="B23" s="73"/>
      <c r="C23" s="74"/>
      <c r="D23" s="76"/>
      <c r="E23" s="68" t="s">
        <v>54</v>
      </c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85"/>
      <c r="AI23" s="63"/>
      <c r="AJ23" s="63"/>
    </row>
    <row r="24" spans="1:36" x14ac:dyDescent="0.25">
      <c r="A24" s="73"/>
      <c r="B24" s="73"/>
      <c r="C24" s="74"/>
      <c r="D24" s="76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87"/>
      <c r="AI24" s="63"/>
      <c r="AJ24" s="63"/>
    </row>
    <row r="25" spans="1:36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62</v>
      </c>
      <c r="AJ25" s="3" t="s">
        <v>63</v>
      </c>
    </row>
    <row r="26" spans="1:36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5">
        <f ca="1">IF(Июнь[[#This Row],[№]]=1,SUM(Июнь[[#This Row],[1]:[30]])+SUM(OFFSET(Июнь[[#This Row],[1]:[30]],1,0))+SUM(OFFSET(Июнь[[#This Row],[1]:[30]],2,0)),"")</f>
        <v>0</v>
      </c>
      <c r="AJ26" s="5">
        <f ca="1">IF(Июнь[[#This Row],[УСЛУГ]]&lt;&gt;"",Июнь[[#This Row],[УСЛУГ]]*Июнь[[#This Row],[Объем]],"")</f>
        <v>0</v>
      </c>
    </row>
    <row r="27" spans="1:36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5" t="str">
        <f ca="1">IF(Июнь[[#This Row],[№]]=1,SUM(Июнь[[#This Row],[1]:[30]])+SUM(OFFSET(Июнь[[#This Row],[1]:[30]],1,0))+SUM(OFFSET(Июнь[[#This Row],[1]:[30]],2,0)),"")</f>
        <v/>
      </c>
      <c r="AJ27" s="5" t="str">
        <f ca="1">IF(Июнь[[#This Row],[УСЛУГ]]&lt;&gt;"",Июнь[[#This Row],[УСЛУГ]]*Июнь[[#This Row],[Объем]],"")</f>
        <v/>
      </c>
    </row>
    <row r="28" spans="1:36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5" t="str">
        <f ca="1">IF(Июнь[[#This Row],[№]]=1,SUM(Июнь[[#This Row],[1]:[30]])+SUM(OFFSET(Июнь[[#This Row],[1]:[30]],1,0))+SUM(OFFSET(Июнь[[#This Row],[1]:[30]],2,0)),"")</f>
        <v/>
      </c>
      <c r="AJ28" s="5" t="str">
        <f ca="1">IF(Июнь[[#This Row],[УСЛУГ]]&lt;&gt;"",Июнь[[#This Row],[УСЛУГ]]*Июнь[[#This Row],[Объем]],"")</f>
        <v/>
      </c>
    </row>
  </sheetData>
  <mergeCells count="20">
    <mergeCell ref="A2:AJ2"/>
    <mergeCell ref="A3:AJ3"/>
    <mergeCell ref="J4:L4"/>
    <mergeCell ref="M4:U4"/>
    <mergeCell ref="M5:Q5"/>
    <mergeCell ref="AJ7:AJ11"/>
    <mergeCell ref="E10:AH11"/>
    <mergeCell ref="A20:A24"/>
    <mergeCell ref="B20:C24"/>
    <mergeCell ref="D20:D24"/>
    <mergeCell ref="E20:AH21"/>
    <mergeCell ref="AI20:AI24"/>
    <mergeCell ref="AJ20:AJ24"/>
    <mergeCell ref="E23:AH24"/>
    <mergeCell ref="A7:A11"/>
    <mergeCell ref="B7:B11"/>
    <mergeCell ref="C7:C11"/>
    <mergeCell ref="D7:D11"/>
    <mergeCell ref="E7:AH8"/>
    <mergeCell ref="AI7:AI11"/>
  </mergeCells>
  <conditionalFormatting sqref="E9:AH9">
    <cfRule type="expression" dxfId="762" priority="2">
      <formula>WEEKDAY(E9:AH9,2)&gt;5</formula>
    </cfRule>
  </conditionalFormatting>
  <conditionalFormatting sqref="E22:AH22">
    <cfRule type="expression" dxfId="761" priority="1">
      <formula>WEEKDAY(E22:AH22,2)&gt;5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2" fitToHeight="0" orientation="landscape" horizontalDpi="300" verticalDpi="300" r:id="rId1"/>
  <ignoredErrors>
    <ignoredError sqref="E13 B13:B18 AI17:AJ17 E16:E17 E14:E15" calculatedColumn="1"/>
  </ignoredErrors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7" tint="0.39997558519241921"/>
    <pageSetUpPr fitToPage="1"/>
  </sheetPr>
  <dimension ref="A2:AF27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123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Настройки!G12</f>
        <v>45444</v>
      </c>
      <c r="C10" s="29">
        <f>Настройки!H12</f>
        <v>45445</v>
      </c>
      <c r="D10" s="29">
        <f>Настройки!I12</f>
        <v>45446</v>
      </c>
      <c r="E10" s="29">
        <f>Настройки!J12</f>
        <v>45447</v>
      </c>
      <c r="F10" s="29">
        <f>Настройки!K12</f>
        <v>45448</v>
      </c>
      <c r="G10" s="29">
        <f>Настройки!L12</f>
        <v>45449</v>
      </c>
      <c r="H10" s="29">
        <f>Настройки!M12</f>
        <v>45450</v>
      </c>
      <c r="I10" s="29">
        <f>Настройки!N12</f>
        <v>45451</v>
      </c>
      <c r="J10" s="29">
        <f>Настройки!O12</f>
        <v>45452</v>
      </c>
      <c r="K10" s="29">
        <f>Настройки!P12</f>
        <v>45453</v>
      </c>
      <c r="L10" s="29">
        <f>Настройки!Q12</f>
        <v>45454</v>
      </c>
      <c r="M10" s="29">
        <f>Настройки!R12</f>
        <v>45455</v>
      </c>
      <c r="N10" s="29">
        <f>Настройки!S12</f>
        <v>45456</v>
      </c>
      <c r="O10" s="29">
        <f>Настройки!T12</f>
        <v>45457</v>
      </c>
      <c r="P10" s="29">
        <f>Настройки!U12</f>
        <v>45458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IF(Настройки!J2&lt;&gt;"",TEXT(MIN(Настройки!G66:AJ66,Настройки!J2),"ч:мм")&amp;"-"&amp;TEXT(MAX(Настройки!G66:AJ66,Настройки!J2)+TIME(0,MAX(Июнь!E13:AH13),0),"ч:мм"),"")</f>
        <v>9:00-9:00</v>
      </c>
      <c r="B14" s="30" t="str">
        <f>IF(TEXT(IF(Настройки!G66="",TEXT(Настройки!$J2,"ч:мм"),TEXT(Настройки!G66,"ч:мм"))+TIME(0,Июнь!E13,0),"ч::мм")=TEXT(IF(Настройки!G66="",TEXT(Настройки!$J2,"ч:мм"),TEXT(Настройки!G66,"ч:мм")),"ч:мм"),"",TEXT(IF(Настройки!G66="",TEXT(Настройки!$J2,"ч:мм"),TEXT(Настройки!G66,"ч:мм")),"ч:мм")&amp;"-"&amp;TEXT(IF(Настройки!G66="",TEXT(Настройки!$J2,"ч:мм"),TEXT(Настройки!G66,"ч:мм"))+TIME(0,Июнь!E13,0),"ч::мм"))</f>
        <v/>
      </c>
      <c r="C14" s="30" t="str">
        <f>IF(TEXT(IF(Настройки!H66="",TEXT(Настройки!$J2,"ч:мм"),TEXT(Настройки!H66,"ч:мм"))+TIME(0,Июнь!F13,0),"ч::мм")=TEXT(IF(Настройки!H66="",TEXT(Настройки!$J2,"ч:мм"),TEXT(Настройки!H66,"ч:мм")),"ч:мм"),"",TEXT(IF(Настройки!H66="",TEXT(Настройки!$J2,"ч:мм"),TEXT(Настройки!H66,"ч:мм")),"ч:мм")&amp;"-"&amp;TEXT(IF(Настройки!H66="",TEXT(Настройки!$J2,"ч:мм"),TEXT(Настройки!H66,"ч:мм"))+TIME(0,Июнь!F13,0),"ч::мм"))</f>
        <v/>
      </c>
      <c r="D14" s="30" t="str">
        <f>IF(TEXT(IF(Настройки!I66="",TEXT(Настройки!$J2,"ч:мм"),TEXT(Настройки!I66,"ч:мм"))+TIME(0,Июнь!G13,0),"ч::мм")=TEXT(IF(Настройки!I66="",TEXT(Настройки!$J2,"ч:мм"),TEXT(Настройки!I66,"ч:мм")),"ч:мм"),"",TEXT(IF(Настройки!I66="",TEXT(Настройки!$J2,"ч:мм"),TEXT(Настройки!I66,"ч:мм")),"ч:мм")&amp;"-"&amp;TEXT(IF(Настройки!I66="",TEXT(Настройки!$J2,"ч:мм"),TEXT(Настройки!I66,"ч:мм"))+TIME(0,Июнь!G13,0),"ч::мм"))</f>
        <v/>
      </c>
      <c r="E14" s="30" t="str">
        <f>IF(TEXT(IF(Настройки!J66="",TEXT(Настройки!$J2,"ч:мм"),TEXT(Настройки!J66,"ч:мм"))+TIME(0,Июнь!H13,0),"ч::мм")=TEXT(IF(Настройки!J66="",TEXT(Настройки!$J2,"ч:мм"),TEXT(Настройки!J66,"ч:мм")),"ч:мм"),"",TEXT(IF(Настройки!J66="",TEXT(Настройки!$J2,"ч:мм"),TEXT(Настройки!J66,"ч:мм")),"ч:мм")&amp;"-"&amp;TEXT(IF(Настройки!J66="",TEXT(Настройки!$J2,"ч:мм"),TEXT(Настройки!J66,"ч:мм"))+TIME(0,Июнь!H13,0),"ч::мм"))</f>
        <v/>
      </c>
      <c r="F14" s="30" t="str">
        <f>IF(TEXT(IF(Настройки!K66="",TEXT(Настройки!$J2,"ч:мм"),TEXT(Настройки!K66,"ч:мм"))+TIME(0,Июнь!I13,0),"ч::мм")=TEXT(IF(Настройки!K66="",TEXT(Настройки!$J2,"ч:мм"),TEXT(Настройки!K66,"ч:мм")),"ч:мм"),"",TEXT(IF(Настройки!K66="",TEXT(Настройки!$J2,"ч:мм"),TEXT(Настройки!K66,"ч:мм")),"ч:мм")&amp;"-"&amp;TEXT(IF(Настройки!K66="",TEXT(Настройки!$J2,"ч:мм"),TEXT(Настройки!K66,"ч:мм"))+TIME(0,Июнь!I13,0),"ч::мм"))</f>
        <v/>
      </c>
      <c r="G14" s="30" t="str">
        <f>IF(TEXT(IF(Настройки!L66="",TEXT(Настройки!$J2,"ч:мм"),TEXT(Настройки!L66,"ч:мм"))+TIME(0,Июнь!J13,0),"ч::мм")=TEXT(IF(Настройки!L66="",TEXT(Настройки!$J2,"ч:мм"),TEXT(Настройки!L66,"ч:мм")),"ч:мм"),"",TEXT(IF(Настройки!L66="",TEXT(Настройки!$J2,"ч:мм"),TEXT(Настройки!L66,"ч:мм")),"ч:мм")&amp;"-"&amp;TEXT(IF(Настройки!L66="",TEXT(Настройки!$J2,"ч:мм"),TEXT(Настройки!L66,"ч:мм"))+TIME(0,Июнь!J13,0),"ч::мм"))</f>
        <v/>
      </c>
      <c r="H14" s="30" t="str">
        <f>IF(TEXT(IF(Настройки!M66="",TEXT(Настройки!$J2,"ч:мм"),TEXT(Настройки!M66,"ч:мм"))+TIME(0,Июнь!K13,0),"ч::мм")=TEXT(IF(Настройки!M66="",TEXT(Настройки!$J2,"ч:мм"),TEXT(Настройки!M66,"ч:мм")),"ч:мм"),"",TEXT(IF(Настройки!M66="",TEXT(Настройки!$J2,"ч:мм"),TEXT(Настройки!M66,"ч:мм")),"ч:мм")&amp;"-"&amp;TEXT(IF(Настройки!M66="",TEXT(Настройки!$J2,"ч:мм"),TEXT(Настройки!M66,"ч:мм"))+TIME(0,Июнь!K13,0),"ч::мм"))</f>
        <v/>
      </c>
      <c r="I14" s="30" t="str">
        <f>IF(TEXT(IF(Настройки!N66="",TEXT(Настройки!$J2,"ч:мм"),TEXT(Настройки!N66,"ч:мм"))+TIME(0,Июнь!L13,0),"ч::мм")=TEXT(IF(Настройки!N66="",TEXT(Настройки!$J2,"ч:мм"),TEXT(Настройки!N66,"ч:мм")),"ч:мм"),"",TEXT(IF(Настройки!N66="",TEXT(Настройки!$J2,"ч:мм"),TEXT(Настройки!N66,"ч:мм")),"ч:мм")&amp;"-"&amp;TEXT(IF(Настройки!N66="",TEXT(Настройки!$J2,"ч:мм"),TEXT(Настройки!N66,"ч:мм"))+TIME(0,Июнь!L13,0),"ч::мм"))</f>
        <v/>
      </c>
      <c r="J14" s="30" t="str">
        <f>IF(TEXT(IF(Настройки!O66="",TEXT(Настройки!$J2,"ч:мм"),TEXT(Настройки!O66,"ч:мм"))+TIME(0,Июнь!M13,0),"ч::мм")=TEXT(IF(Настройки!O66="",TEXT(Настройки!$J2,"ч:мм"),TEXT(Настройки!O66,"ч:мм")),"ч:мм"),"",TEXT(IF(Настройки!O66="",TEXT(Настройки!$J2,"ч:мм"),TEXT(Настройки!O66,"ч:мм")),"ч:мм")&amp;"-"&amp;TEXT(IF(Настройки!O66="",TEXT(Настройки!$J2,"ч:мм"),TEXT(Настройки!O66,"ч:мм"))+TIME(0,Июнь!M13,0),"ч::мм"))</f>
        <v/>
      </c>
      <c r="K14" s="30" t="str">
        <f>IF(TEXT(IF(Настройки!P66="",TEXT(Настройки!$J2,"ч:мм"),TEXT(Настройки!P66,"ч:мм"))+TIME(0,Июнь!N13,0),"ч::мм")=TEXT(IF(Настройки!P66="",TEXT(Настройки!$J2,"ч:мм"),TEXT(Настройки!P66,"ч:мм")),"ч:мм"),"",TEXT(IF(Настройки!P66="",TEXT(Настройки!$J2,"ч:мм"),TEXT(Настройки!P66,"ч:мм")),"ч:мм")&amp;"-"&amp;TEXT(IF(Настройки!P66="",TEXT(Настройки!$J2,"ч:мм"),TEXT(Настройки!P66,"ч:мм"))+TIME(0,Июнь!N13,0),"ч::мм"))</f>
        <v/>
      </c>
      <c r="L14" s="30" t="str">
        <f>IF(TEXT(IF(Настройки!Q66="",TEXT(Настройки!$J2,"ч:мм"),TEXT(Настройки!Q66,"ч:мм"))+TIME(0,Июнь!O13,0),"ч::мм")=TEXT(IF(Настройки!Q66="",TEXT(Настройки!$J2,"ч:мм"),TEXT(Настройки!Q66,"ч:мм")),"ч:мм"),"",TEXT(IF(Настройки!Q66="",TEXT(Настройки!$J2,"ч:мм"),TEXT(Настройки!Q66,"ч:мм")),"ч:мм")&amp;"-"&amp;TEXT(IF(Настройки!Q66="",TEXT(Настройки!$J2,"ч:мм"),TEXT(Настройки!Q66,"ч:мм"))+TIME(0,Июнь!O13,0),"ч::мм"))</f>
        <v/>
      </c>
      <c r="M14" s="30" t="str">
        <f>IF(TEXT(IF(Настройки!R66="",TEXT(Настройки!$J2,"ч:мм"),TEXT(Настройки!R66,"ч:мм"))+TIME(0,Июнь!P13,0),"ч::мм")=TEXT(IF(Настройки!R66="",TEXT(Настройки!$J2,"ч:мм"),TEXT(Настройки!R66,"ч:мм")),"ч:мм"),"",TEXT(IF(Настройки!R66="",TEXT(Настройки!$J2,"ч:мм"),TEXT(Настройки!R66,"ч:мм")),"ч:мм")&amp;"-"&amp;TEXT(IF(Настройки!R66="",TEXT(Настройки!$J2,"ч:мм"),TEXT(Настройки!R66,"ч:мм"))+TIME(0,Июнь!P13,0),"ч::мм"))</f>
        <v/>
      </c>
      <c r="N14" s="30" t="str">
        <f>IF(TEXT(IF(Настройки!S66="",TEXT(Настройки!$J2,"ч:мм"),TEXT(Настройки!S66,"ч:мм"))+TIME(0,Июнь!Q13,0),"ч::мм")=TEXT(IF(Настройки!S66="",TEXT(Настройки!$J2,"ч:мм"),TEXT(Настройки!S66,"ч:мм")),"ч:мм"),"",TEXT(IF(Настройки!S66="",TEXT(Настройки!$J2,"ч:мм"),TEXT(Настройки!S66,"ч:мм")),"ч:мм")&amp;"-"&amp;TEXT(IF(Настройки!S66="",TEXT(Настройки!$J2,"ч:мм"),TEXT(Настройки!S66,"ч:мм"))+TIME(0,Июнь!Q13,0),"ч::мм"))</f>
        <v/>
      </c>
      <c r="O14" s="30" t="str">
        <f>IF(TEXT(IF(Настройки!T66="",TEXT(Настройки!$J2,"ч:мм"),TEXT(Настройки!T66,"ч:мм"))+TIME(0,Июнь!R13,0),"ч::мм")=TEXT(IF(Настройки!T66="",TEXT(Настройки!$J2,"ч:мм"),TEXT(Настройки!T66,"ч:мм")),"ч:мм"),"",TEXT(IF(Настройки!T66="",TEXT(Настройки!$J2,"ч:мм"),TEXT(Настройки!T66,"ч:мм")),"ч:мм")&amp;"-"&amp;TEXT(IF(Настройки!T66="",TEXT(Настройки!$J2,"ч:мм"),TEXT(Настройки!T66,"ч:мм"))+TIME(0,Июнь!R13,0),"ч::мм"))</f>
        <v/>
      </c>
      <c r="P14" s="30" t="str">
        <f>IF(TEXT(IF(Настройки!U66="",TEXT(Настройки!$J2,"ч:мм"),TEXT(Настройки!U66,"ч:мм"))+TIME(0,Июнь!S13,0),"ч::мм")=TEXT(IF(Настройки!U66="",TEXT(Настройки!$J2,"ч:мм"),TEXT(Настройки!U66,"ч:мм")),"ч:мм"),"",TEXT(IF(Настройки!U66="",TEXT(Настройки!$J2,"ч:мм"),TEXT(Настройки!U66,"ч:мм")),"ч:мм")&amp;"-"&amp;TEXT(IF(Настройки!U66="",TEXT(Настройки!$J2,"ч:мм"),TEXT(Настройки!U66,"ч:мм"))+TIME(0,Июнь!S13,0),"ч::мм"))</f>
        <v/>
      </c>
      <c r="R14" s="30"/>
    </row>
    <row r="15" spans="1:32" x14ac:dyDescent="0.25">
      <c r="A15" s="32" t="str">
        <f ca="1">IF(Настройки!J3&lt;&gt;"",TEXT(MIN(Настройки!G67:AJ67,Настройки!J3),"ч:мм")&amp;"-"&amp;TEXT(MAX(Настройки!G67:AJ67,Настройки!J3)+TIME(0,MAX(Июнь!E14:AH14),0),"ч:мм"),"")</f>
        <v>13:00-13:00</v>
      </c>
      <c r="B15" s="30" t="str">
        <f ca="1">IF(TEXT(IF(Настройки!G67="",TEXT(Настройки!$J3,"ч:мм"),TEXT(Настройки!G67,"ч:мм"))+TIME(0,Июнь!E14,0),"ч::мм")=TEXT(IF(Настройки!G67="",TEXT(Настройки!$J3,"ч:мм"),TEXT(Настройки!G67,"ч:мм")),"ч:мм"),"",TEXT(IF(Настройки!G67="",TEXT(Настройки!$J3,"ч:мм"),TEXT(Настройки!G67,"ч:мм")),"ч:мм")&amp;"-"&amp;TEXT(IF(Настройки!G67="",TEXT(Настройки!$J3,"ч:мм"),TEXT(Настройки!G67,"ч:мм"))+TIME(0,Июнь!E14,0),"ч::мм"))</f>
        <v/>
      </c>
      <c r="C15" s="30" t="str">
        <f ca="1">IF(TEXT(IF(Настройки!H67="",TEXT(Настройки!$J3,"ч:мм"),TEXT(Настройки!H67,"ч:мм"))+TIME(0,Июнь!F14,0),"ч::мм")=TEXT(IF(Настройки!H67="",TEXT(Настройки!$J3,"ч:мм"),TEXT(Настройки!H67,"ч:мм")),"ч:мм"),"",TEXT(IF(Настройки!H67="",TEXT(Настройки!$J3,"ч:мм"),TEXT(Настройки!H67,"ч:мм")),"ч:мм")&amp;"-"&amp;TEXT(IF(Настройки!H67="",TEXT(Настройки!$J3,"ч:мм"),TEXT(Настройки!H67,"ч:мм"))+TIME(0,Июнь!F14,0),"ч::мм"))</f>
        <v/>
      </c>
      <c r="D15" s="30" t="str">
        <f ca="1">IF(TEXT(IF(Настройки!I67="",TEXT(Настройки!$J3,"ч:мм"),TEXT(Настройки!I67,"ч:мм"))+TIME(0,Июнь!G14,0),"ч::мм")=TEXT(IF(Настройки!I67="",TEXT(Настройки!$J3,"ч:мм"),TEXT(Настройки!I67,"ч:мм")),"ч:мм"),"",TEXT(IF(Настройки!I67="",TEXT(Настройки!$J3,"ч:мм"),TEXT(Настройки!I67,"ч:мм")),"ч:мм")&amp;"-"&amp;TEXT(IF(Настройки!I67="",TEXT(Настройки!$J3,"ч:мм"),TEXT(Настройки!I67,"ч:мм"))+TIME(0,Июнь!G14,0),"ч::мм"))</f>
        <v/>
      </c>
      <c r="E15" s="30" t="str">
        <f ca="1">IF(TEXT(IF(Настройки!J67="",TEXT(Настройки!$J3,"ч:мм"),TEXT(Настройки!J67,"ч:мм"))+TIME(0,Июнь!H14,0),"ч::мм")=TEXT(IF(Настройки!J67="",TEXT(Настройки!$J3,"ч:мм"),TEXT(Настройки!J67,"ч:мм")),"ч:мм"),"",TEXT(IF(Настройки!J67="",TEXT(Настройки!$J3,"ч:мм"),TEXT(Настройки!J67,"ч:мм")),"ч:мм")&amp;"-"&amp;TEXT(IF(Настройки!J67="",TEXT(Настройки!$J3,"ч:мм"),TEXT(Настройки!J67,"ч:мм"))+TIME(0,Июнь!H14,0),"ч::мм"))</f>
        <v/>
      </c>
      <c r="F15" s="30" t="str">
        <f ca="1">IF(TEXT(IF(Настройки!K67="",TEXT(Настройки!$J3,"ч:мм"),TEXT(Настройки!K67,"ч:мм"))+TIME(0,Июнь!I14,0),"ч::мм")=TEXT(IF(Настройки!K67="",TEXT(Настройки!$J3,"ч:мм"),TEXT(Настройки!K67,"ч:мм")),"ч:мм"),"",TEXT(IF(Настройки!K67="",TEXT(Настройки!$J3,"ч:мм"),TEXT(Настройки!K67,"ч:мм")),"ч:мм")&amp;"-"&amp;TEXT(IF(Настройки!K67="",TEXT(Настройки!$J3,"ч:мм"),TEXT(Настройки!K67,"ч:мм"))+TIME(0,Июнь!I14,0),"ч::мм"))</f>
        <v/>
      </c>
      <c r="G15" s="30" t="str">
        <f ca="1">IF(TEXT(IF(Настройки!L67="",TEXT(Настройки!$J3,"ч:мм"),TEXT(Настройки!L67,"ч:мм"))+TIME(0,Июнь!J14,0),"ч::мм")=TEXT(IF(Настройки!L67="",TEXT(Настройки!$J3,"ч:мм"),TEXT(Настройки!L67,"ч:мм")),"ч:мм"),"",TEXT(IF(Настройки!L67="",TEXT(Настройки!$J3,"ч:мм"),TEXT(Настройки!L67,"ч:мм")),"ч:мм")&amp;"-"&amp;TEXT(IF(Настройки!L67="",TEXT(Настройки!$J3,"ч:мм"),TEXT(Настройки!L67,"ч:мм"))+TIME(0,Июнь!J14,0),"ч::мм"))</f>
        <v/>
      </c>
      <c r="H15" s="30" t="str">
        <f ca="1">IF(TEXT(IF(Настройки!M67="",TEXT(Настройки!$J3,"ч:мм"),TEXT(Настройки!M67,"ч:мм"))+TIME(0,Июнь!K14,0),"ч::мм")=TEXT(IF(Настройки!M67="",TEXT(Настройки!$J3,"ч:мм"),TEXT(Настройки!M67,"ч:мм")),"ч:мм"),"",TEXT(IF(Настройки!M67="",TEXT(Настройки!$J3,"ч:мм"),TEXT(Настройки!M67,"ч:мм")),"ч:мм")&amp;"-"&amp;TEXT(IF(Настройки!M67="",TEXT(Настройки!$J3,"ч:мм"),TEXT(Настройки!M67,"ч:мм"))+TIME(0,Июнь!K14,0),"ч::мм"))</f>
        <v/>
      </c>
      <c r="I15" s="30" t="str">
        <f ca="1">IF(TEXT(IF(Настройки!N67="",TEXT(Настройки!$J3,"ч:мм"),TEXT(Настройки!N67,"ч:мм"))+TIME(0,Июнь!L14,0),"ч::мм")=TEXT(IF(Настройки!N67="",TEXT(Настройки!$J3,"ч:мм"),TEXT(Настройки!N67,"ч:мм")),"ч:мм"),"",TEXT(IF(Настройки!N67="",TEXT(Настройки!$J3,"ч:мм"),TEXT(Настройки!N67,"ч:мм")),"ч:мм")&amp;"-"&amp;TEXT(IF(Настройки!N67="",TEXT(Настройки!$J3,"ч:мм"),TEXT(Настройки!N67,"ч:мм"))+TIME(0,Июнь!L14,0),"ч::мм"))</f>
        <v/>
      </c>
      <c r="J15" s="30" t="str">
        <f ca="1">IF(TEXT(IF(Настройки!O67="",TEXT(Настройки!$J3,"ч:мм"),TEXT(Настройки!O67,"ч:мм"))+TIME(0,Июнь!M14,0),"ч::мм")=TEXT(IF(Настройки!O67="",TEXT(Настройки!$J3,"ч:мм"),TEXT(Настройки!O67,"ч:мм")),"ч:мм"),"",TEXT(IF(Настройки!O67="",TEXT(Настройки!$J3,"ч:мм"),TEXT(Настройки!O67,"ч:мм")),"ч:мм")&amp;"-"&amp;TEXT(IF(Настройки!O67="",TEXT(Настройки!$J3,"ч:мм"),TEXT(Настройки!O67,"ч:мм"))+TIME(0,Июнь!M14,0),"ч::мм"))</f>
        <v/>
      </c>
      <c r="K15" s="30" t="str">
        <f ca="1">IF(TEXT(IF(Настройки!P67="",TEXT(Настройки!$J3,"ч:мм"),TEXT(Настройки!P67,"ч:мм"))+TIME(0,Июнь!N14,0),"ч::мм")=TEXT(IF(Настройки!P67="",TEXT(Настройки!$J3,"ч:мм"),TEXT(Настройки!P67,"ч:мм")),"ч:мм"),"",TEXT(IF(Настройки!P67="",TEXT(Настройки!$J3,"ч:мм"),TEXT(Настройки!P67,"ч:мм")),"ч:мм")&amp;"-"&amp;TEXT(IF(Настройки!P67="",TEXT(Настройки!$J3,"ч:мм"),TEXT(Настройки!P67,"ч:мм"))+TIME(0,Июнь!N14,0),"ч::мм"))</f>
        <v/>
      </c>
      <c r="L15" s="30" t="str">
        <f ca="1">IF(TEXT(IF(Настройки!Q67="",TEXT(Настройки!$J3,"ч:мм"),TEXT(Настройки!Q67,"ч:мм"))+TIME(0,Июнь!O14,0),"ч::мм")=TEXT(IF(Настройки!Q67="",TEXT(Настройки!$J3,"ч:мм"),TEXT(Настройки!Q67,"ч:мм")),"ч:мм"),"",TEXT(IF(Настройки!Q67="",TEXT(Настройки!$J3,"ч:мм"),TEXT(Настройки!Q67,"ч:мм")),"ч:мм")&amp;"-"&amp;TEXT(IF(Настройки!Q67="",TEXT(Настройки!$J3,"ч:мм"),TEXT(Настройки!Q67,"ч:мм"))+TIME(0,Июнь!O14,0),"ч::мм"))</f>
        <v/>
      </c>
      <c r="M15" s="30" t="str">
        <f ca="1">IF(TEXT(IF(Настройки!R67="",TEXT(Настройки!$J3,"ч:мм"),TEXT(Настройки!R67,"ч:мм"))+TIME(0,Июнь!P14,0),"ч::мм")=TEXT(IF(Настройки!R67="",TEXT(Настройки!$J3,"ч:мм"),TEXT(Настройки!R67,"ч:мм")),"ч:мм"),"",TEXT(IF(Настройки!R67="",TEXT(Настройки!$J3,"ч:мм"),TEXT(Настройки!R67,"ч:мм")),"ч:мм")&amp;"-"&amp;TEXT(IF(Настройки!R67="",TEXT(Настройки!$J3,"ч:мм"),TEXT(Настройки!R67,"ч:мм"))+TIME(0,Июнь!P14,0),"ч::мм"))</f>
        <v/>
      </c>
      <c r="N15" s="30" t="str">
        <f ca="1">IF(TEXT(IF(Настройки!S67="",TEXT(Настройки!$J3,"ч:мм"),TEXT(Настройки!S67,"ч:мм"))+TIME(0,Июнь!Q14,0),"ч::мм")=TEXT(IF(Настройки!S67="",TEXT(Настройки!$J3,"ч:мм"),TEXT(Настройки!S67,"ч:мм")),"ч:мм"),"",TEXT(IF(Настройки!S67="",TEXT(Настройки!$J3,"ч:мм"),TEXT(Настройки!S67,"ч:мм")),"ч:мм")&amp;"-"&amp;TEXT(IF(Настройки!S67="",TEXT(Настройки!$J3,"ч:мм"),TEXT(Настройки!S67,"ч:мм"))+TIME(0,Июнь!Q14,0),"ч::мм"))</f>
        <v/>
      </c>
      <c r="O15" s="30" t="str">
        <f ca="1">IF(TEXT(IF(Настройки!T67="",TEXT(Настройки!$J3,"ч:мм"),TEXT(Настройки!T67,"ч:мм"))+TIME(0,Июнь!R14,0),"ч::мм")=TEXT(IF(Настройки!T67="",TEXT(Настройки!$J3,"ч:мм"),TEXT(Настройки!T67,"ч:мм")),"ч:мм"),"",TEXT(IF(Настройки!T67="",TEXT(Настройки!$J3,"ч:мм"),TEXT(Настройки!T67,"ч:мм")),"ч:мм")&amp;"-"&amp;TEXT(IF(Настройки!T67="",TEXT(Настройки!$J3,"ч:мм"),TEXT(Настройки!T67,"ч:мм"))+TIME(0,Июнь!R14,0),"ч::мм"))</f>
        <v/>
      </c>
      <c r="P15" s="30" t="str">
        <f ca="1">IF(TEXT(IF(Настройки!U67="",TEXT(Настройки!$J3,"ч:мм"),TEXT(Настройки!U67,"ч:мм"))+TIME(0,Июнь!S14,0),"ч::мм")=TEXT(IF(Настройки!U67="",TEXT(Настройки!$J3,"ч:мм"),TEXT(Настройки!U67,"ч:мм")),"ч:мм"),"",TEXT(IF(Настройки!U67="",TEXT(Настройки!$J3,"ч:мм"),TEXT(Настройки!U67,"ч:мм")),"ч:мм")&amp;"-"&amp;TEXT(IF(Настройки!U67="",TEXT(Настройки!$J3,"ч:мм"),TEXT(Настройки!U67,"ч:мм"))+TIME(0,Июнь!S14,0),"ч::мм"))</f>
        <v/>
      </c>
      <c r="S15" s="30"/>
    </row>
    <row r="16" spans="1:32" x14ac:dyDescent="0.25">
      <c r="A16" s="32" t="str">
        <f ca="1">IF(Настройки!J4&lt;&gt;"",TEXT(MIN(Настройки!G68:AJ68,Настройки!J4),"ч:мм")&amp;"-"&amp;TEXT(MAX(Настройки!G68:AJ68,Настройки!J4)+TIME(0,MAX(Июнь!E15:AH15),0),"ч:мм"),"")</f>
        <v>16:00-16:00</v>
      </c>
      <c r="B16" s="30" t="str">
        <f ca="1">IF(TEXT(IF(Настройки!G68="",TEXT(Настройки!$J4,"ч:мм"),TEXT(Настройки!G68,"ч:мм"))+TIME(0,Июнь!E15,0),"ч::мм")=TEXT(IF(Настройки!G68="",TEXT(Настройки!$J4,"ч:мм"),TEXT(Настройки!G68,"ч:мм")),"ч:мм"),"",TEXT(IF(Настройки!G68="",TEXT(Настройки!$J4,"ч:мм"),TEXT(Настройки!G68,"ч:мм")),"ч:мм")&amp;"-"&amp;TEXT(IF(Настройки!G68="",TEXT(Настройки!$J4,"ч:мм"),TEXT(Настройки!G68,"ч:мм"))+TIME(0,Июнь!E15,0),"ч::мм"))</f>
        <v/>
      </c>
      <c r="C16" s="30" t="str">
        <f ca="1">IF(TEXT(IF(Настройки!H68="",TEXT(Настройки!$J4,"ч:мм"),TEXT(Настройки!H68,"ч:мм"))+TIME(0,Июнь!F15,0),"ч::мм")=TEXT(IF(Настройки!H68="",TEXT(Настройки!$J4,"ч:мм"),TEXT(Настройки!H68,"ч:мм")),"ч:мм"),"",TEXT(IF(Настройки!H68="",TEXT(Настройки!$J4,"ч:мм"),TEXT(Настройки!H68,"ч:мм")),"ч:мм")&amp;"-"&amp;TEXT(IF(Настройки!H68="",TEXT(Настройки!$J4,"ч:мм"),TEXT(Настройки!H68,"ч:мм"))+TIME(0,Июнь!F15,0),"ч::мм"))</f>
        <v/>
      </c>
      <c r="D16" s="30" t="str">
        <f ca="1">IF(TEXT(IF(Настройки!I68="",TEXT(Настройки!$J4,"ч:мм"),TEXT(Настройки!I68,"ч:мм"))+TIME(0,Июнь!G15,0),"ч::мм")=TEXT(IF(Настройки!I68="",TEXT(Настройки!$J4,"ч:мм"),TEXT(Настройки!I68,"ч:мм")),"ч:мм"),"",TEXT(IF(Настройки!I68="",TEXT(Настройки!$J4,"ч:мм"),TEXT(Настройки!I68,"ч:мм")),"ч:мм")&amp;"-"&amp;TEXT(IF(Настройки!I68="",TEXT(Настройки!$J4,"ч:мм"),TEXT(Настройки!I68,"ч:мм"))+TIME(0,Июнь!G15,0),"ч::мм"))</f>
        <v/>
      </c>
      <c r="E16" s="30" t="str">
        <f ca="1">IF(TEXT(IF(Настройки!J68="",TEXT(Настройки!$J4,"ч:мм"),TEXT(Настройки!J68,"ч:мм"))+TIME(0,Июнь!H15,0),"ч::мм")=TEXT(IF(Настройки!J68="",TEXT(Настройки!$J4,"ч:мм"),TEXT(Настройки!J68,"ч:мм")),"ч:мм"),"",TEXT(IF(Настройки!J68="",TEXT(Настройки!$J4,"ч:мм"),TEXT(Настройки!J68,"ч:мм")),"ч:мм")&amp;"-"&amp;TEXT(IF(Настройки!J68="",TEXT(Настройки!$J4,"ч:мм"),TEXT(Настройки!J68,"ч:мм"))+TIME(0,Июнь!H15,0),"ч::мм"))</f>
        <v/>
      </c>
      <c r="F16" s="30" t="str">
        <f ca="1">IF(TEXT(IF(Настройки!K68="",TEXT(Настройки!$J4,"ч:мм"),TEXT(Настройки!K68,"ч:мм"))+TIME(0,Июнь!I15,0),"ч::мм")=TEXT(IF(Настройки!K68="",TEXT(Настройки!$J4,"ч:мм"),TEXT(Настройки!K68,"ч:мм")),"ч:мм"),"",TEXT(IF(Настройки!K68="",TEXT(Настройки!$J4,"ч:мм"),TEXT(Настройки!K68,"ч:мм")),"ч:мм")&amp;"-"&amp;TEXT(IF(Настройки!K68="",TEXT(Настройки!$J4,"ч:мм"),TEXT(Настройки!K68,"ч:мм"))+TIME(0,Июнь!I15,0),"ч::мм"))</f>
        <v/>
      </c>
      <c r="G16" s="30" t="str">
        <f ca="1">IF(TEXT(IF(Настройки!L68="",TEXT(Настройки!$J4,"ч:мм"),TEXT(Настройки!L68,"ч:мм"))+TIME(0,Июнь!J15,0),"ч::мм")=TEXT(IF(Настройки!L68="",TEXT(Настройки!$J4,"ч:мм"),TEXT(Настройки!L68,"ч:мм")),"ч:мм"),"",TEXT(IF(Настройки!L68="",TEXT(Настройки!$J4,"ч:мм"),TEXT(Настройки!L68,"ч:мм")),"ч:мм")&amp;"-"&amp;TEXT(IF(Настройки!L68="",TEXT(Настройки!$J4,"ч:мм"),TEXT(Настройки!L68,"ч:мм"))+TIME(0,Июнь!J15,0),"ч::мм"))</f>
        <v/>
      </c>
      <c r="H16" s="30" t="str">
        <f ca="1">IF(TEXT(IF(Настройки!M68="",TEXT(Настройки!$J4,"ч:мм"),TEXT(Настройки!M68,"ч:мм"))+TIME(0,Июнь!K15,0),"ч::мм")=TEXT(IF(Настройки!M68="",TEXT(Настройки!$J4,"ч:мм"),TEXT(Настройки!M68,"ч:мм")),"ч:мм"),"",TEXT(IF(Настройки!M68="",TEXT(Настройки!$J4,"ч:мм"),TEXT(Настройки!M68,"ч:мм")),"ч:мм")&amp;"-"&amp;TEXT(IF(Настройки!M68="",TEXT(Настройки!$J4,"ч:мм"),TEXT(Настройки!M68,"ч:мм"))+TIME(0,Июнь!K15,0),"ч::мм"))</f>
        <v/>
      </c>
      <c r="I16" s="30" t="str">
        <f ca="1">IF(TEXT(IF(Настройки!N68="",TEXT(Настройки!$J4,"ч:мм"),TEXT(Настройки!N68,"ч:мм"))+TIME(0,Июнь!L15,0),"ч::мм")=TEXT(IF(Настройки!N68="",TEXT(Настройки!$J4,"ч:мм"),TEXT(Настройки!N68,"ч:мм")),"ч:мм"),"",TEXT(IF(Настройки!N68="",TEXT(Настройки!$J4,"ч:мм"),TEXT(Настройки!N68,"ч:мм")),"ч:мм")&amp;"-"&amp;TEXT(IF(Настройки!N68="",TEXT(Настройки!$J4,"ч:мм"),TEXT(Настройки!N68,"ч:мм"))+TIME(0,Июнь!L15,0),"ч::мм"))</f>
        <v/>
      </c>
      <c r="J16" s="30" t="str">
        <f ca="1">IF(TEXT(IF(Настройки!O68="",TEXT(Настройки!$J4,"ч:мм"),TEXT(Настройки!O68,"ч:мм"))+TIME(0,Июнь!M15,0),"ч::мм")=TEXT(IF(Настройки!O68="",TEXT(Настройки!$J4,"ч:мм"),TEXT(Настройки!O68,"ч:мм")),"ч:мм"),"",TEXT(IF(Настройки!O68="",TEXT(Настройки!$J4,"ч:мм"),TEXT(Настройки!O68,"ч:мм")),"ч:мм")&amp;"-"&amp;TEXT(IF(Настройки!O68="",TEXT(Настройки!$J4,"ч:мм"),TEXT(Настройки!O68,"ч:мм"))+TIME(0,Июнь!M15,0),"ч::мм"))</f>
        <v/>
      </c>
      <c r="K16" s="30" t="str">
        <f ca="1">IF(TEXT(IF(Настройки!P68="",TEXT(Настройки!$J4,"ч:мм"),TEXT(Настройки!P68,"ч:мм"))+TIME(0,Июнь!N15,0),"ч::мм")=TEXT(IF(Настройки!P68="",TEXT(Настройки!$J4,"ч:мм"),TEXT(Настройки!P68,"ч:мм")),"ч:мм"),"",TEXT(IF(Настройки!P68="",TEXT(Настройки!$J4,"ч:мм"),TEXT(Настройки!P68,"ч:мм")),"ч:мм")&amp;"-"&amp;TEXT(IF(Настройки!P68="",TEXT(Настройки!$J4,"ч:мм"),TEXT(Настройки!P68,"ч:мм"))+TIME(0,Июнь!N15,0),"ч::мм"))</f>
        <v/>
      </c>
      <c r="L16" s="30" t="str">
        <f ca="1">IF(TEXT(IF(Настройки!Q68="",TEXT(Настройки!$J4,"ч:мм"),TEXT(Настройки!Q68,"ч:мм"))+TIME(0,Июнь!O15,0),"ч::мм")=TEXT(IF(Настройки!Q68="",TEXT(Настройки!$J4,"ч:мм"),TEXT(Настройки!Q68,"ч:мм")),"ч:мм"),"",TEXT(IF(Настройки!Q68="",TEXT(Настройки!$J4,"ч:мм"),TEXT(Настройки!Q68,"ч:мм")),"ч:мм")&amp;"-"&amp;TEXT(IF(Настройки!Q68="",TEXT(Настройки!$J4,"ч:мм"),TEXT(Настройки!Q68,"ч:мм"))+TIME(0,Июнь!O15,0),"ч::мм"))</f>
        <v/>
      </c>
      <c r="M16" s="30" t="str">
        <f ca="1">IF(TEXT(IF(Настройки!R68="",TEXT(Настройки!$J4,"ч:мм"),TEXT(Настройки!R68,"ч:мм"))+TIME(0,Июнь!P15,0),"ч::мм")=TEXT(IF(Настройки!R68="",TEXT(Настройки!$J4,"ч:мм"),TEXT(Настройки!R68,"ч:мм")),"ч:мм"),"",TEXT(IF(Настройки!R68="",TEXT(Настройки!$J4,"ч:мм"),TEXT(Настройки!R68,"ч:мм")),"ч:мм")&amp;"-"&amp;TEXT(IF(Настройки!R68="",TEXT(Настройки!$J4,"ч:мм"),TEXT(Настройки!R68,"ч:мм"))+TIME(0,Июнь!P15,0),"ч::мм"))</f>
        <v/>
      </c>
      <c r="N16" s="30" t="str">
        <f ca="1">IF(TEXT(IF(Настройки!S68="",TEXT(Настройки!$J4,"ч:мм"),TEXT(Настройки!S68,"ч:мм"))+TIME(0,Июнь!Q15,0),"ч::мм")=TEXT(IF(Настройки!S68="",TEXT(Настройки!$J4,"ч:мм"),TEXT(Настройки!S68,"ч:мм")),"ч:мм"),"",TEXT(IF(Настройки!S68="",TEXT(Настройки!$J4,"ч:мм"),TEXT(Настройки!S68,"ч:мм")),"ч:мм")&amp;"-"&amp;TEXT(IF(Настройки!S68="",TEXT(Настройки!$J4,"ч:мм"),TEXT(Настройки!S68,"ч:мм"))+TIME(0,Июнь!Q15,0),"ч::мм"))</f>
        <v/>
      </c>
      <c r="O16" s="30" t="str">
        <f ca="1">IF(TEXT(IF(Настройки!T68="",TEXT(Настройки!$J4,"ч:мм"),TEXT(Настройки!T68,"ч:мм"))+TIME(0,Июнь!R15,0),"ч::мм")=TEXT(IF(Настройки!T68="",TEXT(Настройки!$J4,"ч:мм"),TEXT(Настройки!T68,"ч:мм")),"ч:мм"),"",TEXT(IF(Настройки!T68="",TEXT(Настройки!$J4,"ч:мм"),TEXT(Настройки!T68,"ч:мм")),"ч:мм")&amp;"-"&amp;TEXT(IF(Настройки!T68="",TEXT(Настройки!$J4,"ч:мм"),TEXT(Настройки!T68,"ч:мм"))+TIME(0,Июнь!R15,0),"ч::мм"))</f>
        <v/>
      </c>
      <c r="P16" s="30" t="str">
        <f ca="1">IF(TEXT(IF(Настройки!U68="",TEXT(Настройки!$J4,"ч:мм"),TEXT(Настройки!U68,"ч:мм"))+TIME(0,Июнь!S15,0),"ч::мм")=TEXT(IF(Настройки!U68="",TEXT(Настройки!$J4,"ч:мм"),TEXT(Настройки!U68,"ч:мм")),"ч:мм"),"",TEXT(IF(Настройки!U68="",TEXT(Настройки!$J4,"ч:мм"),TEXT(Настройки!U68,"ч:мм")),"ч:мм")&amp;"-"&amp;TEXT(IF(Настройки!U68="",TEXT(Настройки!$J4,"ч:мм"),TEXT(Настройки!U68,"ч:мм"))+TIME(0,Июнь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Настройки!V12</f>
        <v>45459</v>
      </c>
      <c r="C20" s="29">
        <f>Настройки!W12</f>
        <v>45460</v>
      </c>
      <c r="D20" s="29">
        <f>Настройки!X12</f>
        <v>45461</v>
      </c>
      <c r="E20" s="29">
        <f>Настройки!Y12</f>
        <v>45462</v>
      </c>
      <c r="F20" s="29">
        <f>Настройки!Z12</f>
        <v>45463</v>
      </c>
      <c r="G20" s="29">
        <f>Настройки!AA12</f>
        <v>45464</v>
      </c>
      <c r="H20" s="29">
        <f>Настройки!AB12</f>
        <v>45465</v>
      </c>
      <c r="I20" s="29">
        <f>Настройки!AC12</f>
        <v>45466</v>
      </c>
      <c r="J20" s="29">
        <f>Настройки!AD12</f>
        <v>45467</v>
      </c>
      <c r="K20" s="29">
        <f>Настройки!AE12</f>
        <v>45468</v>
      </c>
      <c r="L20" s="29">
        <f>Настройки!AF12</f>
        <v>45469</v>
      </c>
      <c r="M20" s="29">
        <f>Настройки!AG12</f>
        <v>45470</v>
      </c>
      <c r="N20" s="29">
        <f>Настройки!AH12</f>
        <v>45471</v>
      </c>
      <c r="O20" s="29">
        <f>Настройки!AI12</f>
        <v>45472</v>
      </c>
      <c r="P20" s="29">
        <f>Настройки!AJ12</f>
        <v>45473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66="",TEXT(Настройки!$J2,"ч:мм"),TEXT(Настройки!V66,"ч:мм"))+TIME(0,Июнь!T13,0),"ч::мм")=TEXT(IF(Настройки!V66="",TEXT(Настройки!$J2,"ч:мм"),TEXT(Настройки!V66,"ч:мм")),"ч:мм"),"",TEXT(IF(Настройки!V66="",TEXT(Настройки!$J2,"ч:мм"),TEXT(Настройки!V66,"ч:мм")),"ч:мм")&amp;"-"&amp;TEXT(IF(Настройки!V66="",TEXT(Настройки!$J2,"ч:мм"),TEXT(Настройки!V66,"ч:мм"))+TIME(0,Июнь!T13,0),"ч::мм"))</f>
        <v/>
      </c>
      <c r="C24" s="3" t="str">
        <f>IF(TEXT(IF(Настройки!W66="",TEXT(Настройки!$J2,"ч:мм"),TEXT(Настройки!W66,"ч:мм"))+TIME(0,Июнь!U13,0),"ч::мм")=TEXT(IF(Настройки!W66="",TEXT(Настройки!$J2,"ч:мм"),TEXT(Настройки!W66,"ч:мм")),"ч:мм"),"",TEXT(IF(Настройки!W66="",TEXT(Настройки!$J2,"ч:мм"),TEXT(Настройки!W66,"ч:мм")),"ч:мм")&amp;"-"&amp;TEXT(IF(Настройки!W66="",TEXT(Настройки!$J2,"ч:мм"),TEXT(Настройки!W66,"ч:мм"))+TIME(0,Июнь!U13,0),"ч::мм"))</f>
        <v/>
      </c>
      <c r="D24" s="3" t="str">
        <f>IF(TEXT(IF(Настройки!X66="",TEXT(Настройки!$J2,"ч:мм"),TEXT(Настройки!X66,"ч:мм"))+TIME(0,Июнь!V13,0),"ч::мм")=TEXT(IF(Настройки!X66="",TEXT(Настройки!$J2,"ч:мм"),TEXT(Настройки!X66,"ч:мм")),"ч:мм"),"",TEXT(IF(Настройки!X66="",TEXT(Настройки!$J2,"ч:мм"),TEXT(Настройки!X66,"ч:мм")),"ч:мм")&amp;"-"&amp;TEXT(IF(Настройки!X66="",TEXT(Настройки!$J2,"ч:мм"),TEXT(Настройки!X66,"ч:мм"))+TIME(0,Июнь!V13,0),"ч::мм"))</f>
        <v/>
      </c>
      <c r="E24" s="3" t="str">
        <f>IF(TEXT(IF(Настройки!Y66="",TEXT(Настройки!$J2,"ч:мм"),TEXT(Настройки!Y66,"ч:мм"))+TIME(0,Июнь!W13,0),"ч::мм")=TEXT(IF(Настройки!Y66="",TEXT(Настройки!$J2,"ч:мм"),TEXT(Настройки!Y66,"ч:мм")),"ч:мм"),"",TEXT(IF(Настройки!Y66="",TEXT(Настройки!$J2,"ч:мм"),TEXT(Настройки!Y66,"ч:мм")),"ч:мм")&amp;"-"&amp;TEXT(IF(Настройки!Y66="",TEXT(Настройки!$J2,"ч:мм"),TEXT(Настройки!Y66,"ч:мм"))+TIME(0,Июнь!W13,0),"ч::мм"))</f>
        <v/>
      </c>
      <c r="F24" s="3" t="str">
        <f>IF(TEXT(IF(Настройки!Z66="",TEXT(Настройки!$J2,"ч:мм"),TEXT(Настройки!Z66,"ч:мм"))+TIME(0,Июнь!X13,0),"ч::мм")=TEXT(IF(Настройки!Z66="",TEXT(Настройки!$J2,"ч:мм"),TEXT(Настройки!Z66,"ч:мм")),"ч:мм"),"",TEXT(IF(Настройки!Z66="",TEXT(Настройки!$J2,"ч:мм"),TEXT(Настройки!Z66,"ч:мм")),"ч:мм")&amp;"-"&amp;TEXT(IF(Настройки!Z66="",TEXT(Настройки!$J2,"ч:мм"),TEXT(Настройки!Z66,"ч:мм"))+TIME(0,Июнь!X13,0),"ч::мм"))</f>
        <v/>
      </c>
      <c r="G24" s="3" t="str">
        <f>IF(TEXT(IF(Настройки!AA66="",TEXT(Настройки!$J2,"ч:мм"),TEXT(Настройки!AA66,"ч:мм"))+TIME(0,Июнь!Y13,0),"ч::мм")=TEXT(IF(Настройки!AA66="",TEXT(Настройки!$J2,"ч:мм"),TEXT(Настройки!AA66,"ч:мм")),"ч:мм"),"",TEXT(IF(Настройки!AA66="",TEXT(Настройки!$J2,"ч:мм"),TEXT(Настройки!AA66,"ч:мм")),"ч:мм")&amp;"-"&amp;TEXT(IF(Настройки!AA66="",TEXT(Настройки!$J2,"ч:мм"),TEXT(Настройки!AA66,"ч:мм"))+TIME(0,Июнь!Y13,0),"ч::мм"))</f>
        <v/>
      </c>
      <c r="H24" s="3" t="str">
        <f>IF(TEXT(IF(Настройки!AB66="",TEXT(Настройки!$J2,"ч:мм"),TEXT(Настройки!AB66,"ч:мм"))+TIME(0,Июнь!Z13,0),"ч::мм")=TEXT(IF(Настройки!AB66="",TEXT(Настройки!$J2,"ч:мм"),TEXT(Настройки!AB66,"ч:мм")),"ч:мм"),"",TEXT(IF(Настройки!AB66="",TEXT(Настройки!$J2,"ч:мм"),TEXT(Настройки!AB66,"ч:мм")),"ч:мм")&amp;"-"&amp;TEXT(IF(Настройки!AB66="",TEXT(Настройки!$J2,"ч:мм"),TEXT(Настройки!AB66,"ч:мм"))+TIME(0,Июнь!Z13,0),"ч::мм"))</f>
        <v/>
      </c>
      <c r="I24" s="3" t="str">
        <f>IF(TEXT(IF(Настройки!AC66="",TEXT(Настройки!$J2,"ч:мм"),TEXT(Настройки!AC66,"ч:мм"))+TIME(0,Июнь!AA13,0),"ч::мм")=TEXT(IF(Настройки!AC66="",TEXT(Настройки!$J2,"ч:мм"),TEXT(Настройки!AC66,"ч:мм")),"ч:мм"),"",TEXT(IF(Настройки!AC66="",TEXT(Настройки!$J2,"ч:мм"),TEXT(Настройки!AC66,"ч:мм")),"ч:мм")&amp;"-"&amp;TEXT(IF(Настройки!AC66="",TEXT(Настройки!$J2,"ч:мм"),TEXT(Настройки!AC66,"ч:мм"))+TIME(0,Июнь!AA13,0),"ч::мм"))</f>
        <v/>
      </c>
      <c r="J24" s="3" t="str">
        <f>IF(TEXT(IF(Настройки!AD66="",TEXT(Настройки!$J2,"ч:мм"),TEXT(Настройки!AD66,"ч:мм"))+TIME(0,Июнь!AB13,0),"ч::мм")=TEXT(IF(Настройки!AD66="",TEXT(Настройки!$J2,"ч:мм"),TEXT(Настройки!AD66,"ч:мм")),"ч:мм"),"",TEXT(IF(Настройки!AD66="",TEXT(Настройки!$J2,"ч:мм"),TEXT(Настройки!AD66,"ч:мм")),"ч:мм")&amp;"-"&amp;TEXT(IF(Настройки!AD66="",TEXT(Настройки!$J2,"ч:мм"),TEXT(Настройки!AD66,"ч:мм"))+TIME(0,Июнь!AB13,0),"ч::мм"))</f>
        <v/>
      </c>
      <c r="K24" s="3" t="str">
        <f>IF(TEXT(IF(Настройки!AE66="",TEXT(Настройки!$J2,"ч:мм"),TEXT(Настройки!AE66,"ч:мм"))+TIME(0,Июнь!AC13,0),"ч::мм")=TEXT(IF(Настройки!AE66="",TEXT(Настройки!$J2,"ч:мм"),TEXT(Настройки!AE66,"ч:мм")),"ч:мм"),"",TEXT(IF(Настройки!AE66="",TEXT(Настройки!$J2,"ч:мм"),TEXT(Настройки!AE66,"ч:мм")),"ч:мм")&amp;"-"&amp;TEXT(IF(Настройки!AE66="",TEXT(Настройки!$J2,"ч:мм"),TEXT(Настройки!AE66,"ч:мм"))+TIME(0,Июнь!AC13,0),"ч::мм"))</f>
        <v/>
      </c>
      <c r="L24" s="3" t="str">
        <f>IF(TEXT(IF(Настройки!AF66="",TEXT(Настройки!$J2,"ч:мм"),TEXT(Настройки!AF66,"ч:мм"))+TIME(0,Июнь!AD13,0),"ч::мм")=TEXT(IF(Настройки!AF66="",TEXT(Настройки!$J2,"ч:мм"),TEXT(Настройки!AF66,"ч:мм")),"ч:мм"),"",TEXT(IF(Настройки!AF66="",TEXT(Настройки!$J2,"ч:мм"),TEXT(Настройки!AF66,"ч:мм")),"ч:мм")&amp;"-"&amp;TEXT(IF(Настройки!AF66="",TEXT(Настройки!$J2,"ч:мм"),TEXT(Настройки!AF66,"ч:мм"))+TIME(0,Июнь!AD13,0),"ч::мм"))</f>
        <v/>
      </c>
      <c r="M24" s="3" t="str">
        <f>IF(TEXT(IF(Настройки!AG66="",TEXT(Настройки!$J2,"ч:мм"),TEXT(Настройки!AG66,"ч:мм"))+TIME(0,Июнь!AE13,0),"ч::мм")=TEXT(IF(Настройки!AG66="",TEXT(Настройки!$J2,"ч:мм"),TEXT(Настройки!AG66,"ч:мм")),"ч:мм"),"",TEXT(IF(Настройки!AG66="",TEXT(Настройки!$J2,"ч:мм"),TEXT(Настройки!AG66,"ч:мм")),"ч:мм")&amp;"-"&amp;TEXT(IF(Настройки!AG66="",TEXT(Настройки!$J2,"ч:мм"),TEXT(Настройки!AG66,"ч:мм"))+TIME(0,Июнь!AE13,0),"ч::мм"))</f>
        <v/>
      </c>
      <c r="N24" s="3" t="str">
        <f>IF(TEXT(IF(Настройки!AH66="",TEXT(Настройки!$J2,"ч:мм"),TEXT(Настройки!AH66,"ч:мм"))+TIME(0,Июнь!AF13,0),"ч::мм")=TEXT(IF(Настройки!AH66="",TEXT(Настройки!$J2,"ч:мм"),TEXT(Настройки!AH66,"ч:мм")),"ч:мм"),"",TEXT(IF(Настройки!AH66="",TEXT(Настройки!$J2,"ч:мм"),TEXT(Настройки!AH66,"ч:мм")),"ч:мм")&amp;"-"&amp;TEXT(IF(Настройки!AH66="",TEXT(Настройки!$J2,"ч:мм"),TEXT(Настройки!AH66,"ч:мм"))+TIME(0,Июнь!AF13,0),"ч::мм"))</f>
        <v/>
      </c>
      <c r="O24" s="3" t="str">
        <f>IF(TEXT(IF(Настройки!AI66="",TEXT(Настройки!$J2,"ч:мм"),TEXT(Настройки!AI66,"ч:мм"))+TIME(0,Июнь!AG13,0),"ч::мм")=TEXT(IF(Настройки!AI66="",TEXT(Настройки!$J2,"ч:мм"),TEXT(Настройки!AI66,"ч:мм")),"ч:мм"),"",TEXT(IF(Настройки!AI66="",TEXT(Настройки!$J2,"ч:мм"),TEXT(Настройки!AI66,"ч:мм")),"ч:мм")&amp;"-"&amp;TEXT(IF(Настройки!AI66="",TEXT(Настройки!$J2,"ч:мм"),TEXT(Настройки!AI66,"ч:мм"))+TIME(0,Июнь!AG13,0),"ч::мм"))</f>
        <v/>
      </c>
      <c r="P24" s="3" t="str">
        <f>IF(TEXT(IF(Настройки!AJ66="",TEXT(Настройки!$J2,"ч:мм"),TEXT(Настройки!AJ66,"ч:мм"))+TIME(0,Июнь!AH13,0),"ч::мм")=TEXT(IF(Настройки!AJ66="",TEXT(Настройки!$J2,"ч:мм"),TEXT(Настройки!AJ66,"ч:мм")),"ч:мм"),"",TEXT(IF(Настройки!AJ66="",TEXT(Настройки!$J2,"ч:мм"),TEXT(Настройки!AJ66,"ч:мм")),"ч:мм")&amp;"-"&amp;TEXT(IF(Настройки!AJ66="",TEXT(Настройки!$J2,"ч:мм"),TEXT(Настройки!AJ66,"ч:мм"))+TIME(0,Июнь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67="",TEXT(Настройки!$J3,"ч:мм"),TEXT(Настройки!V67,"ч:мм"))+TIME(0,Июнь!T14,0),"ч::мм")=TEXT(IF(Настройки!V67="",TEXT(Настройки!$J3,"ч:мм"),TEXT(Настройки!V67,"ч:мм")),"ч:мм"),"",TEXT(IF(Настройки!V67="",TEXT(Настройки!$J3,"ч:мм"),TEXT(Настройки!V67,"ч:мм")),"ч:мм")&amp;"-"&amp;TEXT(IF(Настройки!V67="",TEXT(Настройки!$J3,"ч:мм"),TEXT(Настройки!V67,"ч:мм"))+TIME(0,Июнь!T14,0),"ч::мм"))</f>
        <v/>
      </c>
      <c r="C25" s="3" t="str">
        <f ca="1">IF(TEXT(IF(Настройки!W67="",TEXT(Настройки!$J3,"ч:мм"),TEXT(Настройки!W67,"ч:мм"))+TIME(0,Июнь!U14,0),"ч::мм")=TEXT(IF(Настройки!W67="",TEXT(Настройки!$J3,"ч:мм"),TEXT(Настройки!W67,"ч:мм")),"ч:мм"),"",TEXT(IF(Настройки!W67="",TEXT(Настройки!$J3,"ч:мм"),TEXT(Настройки!W67,"ч:мм")),"ч:мм")&amp;"-"&amp;TEXT(IF(Настройки!W67="",TEXT(Настройки!$J3,"ч:мм"),TEXT(Настройки!W67,"ч:мм"))+TIME(0,Июнь!U14,0),"ч::мм"))</f>
        <v/>
      </c>
      <c r="D25" s="3" t="str">
        <f ca="1">IF(TEXT(IF(Настройки!X67="",TEXT(Настройки!$J3,"ч:мм"),TEXT(Настройки!X67,"ч:мм"))+TIME(0,Июнь!V14,0),"ч::мм")=TEXT(IF(Настройки!X67="",TEXT(Настройки!$J3,"ч:мм"),TEXT(Настройки!X67,"ч:мм")),"ч:мм"),"",TEXT(IF(Настройки!X67="",TEXT(Настройки!$J3,"ч:мм"),TEXT(Настройки!X67,"ч:мм")),"ч:мм")&amp;"-"&amp;TEXT(IF(Настройки!X67="",TEXT(Настройки!$J3,"ч:мм"),TEXT(Настройки!X67,"ч:мм"))+TIME(0,Июнь!V14,0),"ч::мм"))</f>
        <v/>
      </c>
      <c r="E25" s="3" t="str">
        <f ca="1">IF(TEXT(IF(Настройки!Y67="",TEXT(Настройки!$J3,"ч:мм"),TEXT(Настройки!Y67,"ч:мм"))+TIME(0,Июнь!W14,0),"ч::мм")=TEXT(IF(Настройки!Y67="",TEXT(Настройки!$J3,"ч:мм"),TEXT(Настройки!Y67,"ч:мм")),"ч:мм"),"",TEXT(IF(Настройки!Y67="",TEXT(Настройки!$J3,"ч:мм"),TEXT(Настройки!Y67,"ч:мм")),"ч:мм")&amp;"-"&amp;TEXT(IF(Настройки!Y67="",TEXT(Настройки!$J3,"ч:мм"),TEXT(Настройки!Y67,"ч:мм"))+TIME(0,Июнь!W14,0),"ч::мм"))</f>
        <v/>
      </c>
      <c r="F25" s="3" t="str">
        <f ca="1">IF(TEXT(IF(Настройки!Z67="",TEXT(Настройки!$J3,"ч:мм"),TEXT(Настройки!Z67,"ч:мм"))+TIME(0,Июнь!X14,0),"ч::мм")=TEXT(IF(Настройки!Z67="",TEXT(Настройки!$J3,"ч:мм"),TEXT(Настройки!Z67,"ч:мм")),"ч:мм"),"",TEXT(IF(Настройки!Z67="",TEXT(Настройки!$J3,"ч:мм"),TEXT(Настройки!Z67,"ч:мм")),"ч:мм")&amp;"-"&amp;TEXT(IF(Настройки!Z67="",TEXT(Настройки!$J3,"ч:мм"),TEXT(Настройки!Z67,"ч:мм"))+TIME(0,Июнь!X14,0),"ч::мм"))</f>
        <v/>
      </c>
      <c r="G25" s="3" t="str">
        <f ca="1">IF(TEXT(IF(Настройки!AA67="",TEXT(Настройки!$J3,"ч:мм"),TEXT(Настройки!AA67,"ч:мм"))+TIME(0,Июнь!Y14,0),"ч::мм")=TEXT(IF(Настройки!AA67="",TEXT(Настройки!$J3,"ч:мм"),TEXT(Настройки!AA67,"ч:мм")),"ч:мм"),"",TEXT(IF(Настройки!AA67="",TEXT(Настройки!$J3,"ч:мм"),TEXT(Настройки!AA67,"ч:мм")),"ч:мм")&amp;"-"&amp;TEXT(IF(Настройки!AA67="",TEXT(Настройки!$J3,"ч:мм"),TEXT(Настройки!AA67,"ч:мм"))+TIME(0,Июнь!Y14,0),"ч::мм"))</f>
        <v/>
      </c>
      <c r="H25" s="3" t="str">
        <f ca="1">IF(TEXT(IF(Настройки!AB67="",TEXT(Настройки!$J3,"ч:мм"),TEXT(Настройки!AB67,"ч:мм"))+TIME(0,Июнь!Z14,0),"ч::мм")=TEXT(IF(Настройки!AB67="",TEXT(Настройки!$J3,"ч:мм"),TEXT(Настройки!AB67,"ч:мм")),"ч:мм"),"",TEXT(IF(Настройки!AB67="",TEXT(Настройки!$J3,"ч:мм"),TEXT(Настройки!AB67,"ч:мм")),"ч:мм")&amp;"-"&amp;TEXT(IF(Настройки!AB67="",TEXT(Настройки!$J3,"ч:мм"),TEXT(Настройки!AB67,"ч:мм"))+TIME(0,Июнь!Z14,0),"ч::мм"))</f>
        <v/>
      </c>
      <c r="I25" s="3" t="str">
        <f ca="1">IF(TEXT(IF(Настройки!AC67="",TEXT(Настройки!$J3,"ч:мм"),TEXT(Настройки!AC67,"ч:мм"))+TIME(0,Июнь!AA14,0),"ч::мм")=TEXT(IF(Настройки!AC67="",TEXT(Настройки!$J3,"ч:мм"),TEXT(Настройки!AC67,"ч:мм")),"ч:мм"),"",TEXT(IF(Настройки!AC67="",TEXT(Настройки!$J3,"ч:мм"),TEXT(Настройки!AC67,"ч:мм")),"ч:мм")&amp;"-"&amp;TEXT(IF(Настройки!AC67="",TEXT(Настройки!$J3,"ч:мм"),TEXT(Настройки!AC67,"ч:мм"))+TIME(0,Июнь!AA14,0),"ч::мм"))</f>
        <v/>
      </c>
      <c r="J25" s="3" t="str">
        <f ca="1">IF(TEXT(IF(Настройки!AD67="",TEXT(Настройки!$J3,"ч:мм"),TEXT(Настройки!AD67,"ч:мм"))+TIME(0,Июнь!AB14,0),"ч::мм")=TEXT(IF(Настройки!AD67="",TEXT(Настройки!$J3,"ч:мм"),TEXT(Настройки!AD67,"ч:мм")),"ч:мм"),"",TEXT(IF(Настройки!AD67="",TEXT(Настройки!$J3,"ч:мм"),TEXT(Настройки!AD67,"ч:мм")),"ч:мм")&amp;"-"&amp;TEXT(IF(Настройки!AD67="",TEXT(Настройки!$J3,"ч:мм"),TEXT(Настройки!AD67,"ч:мм"))+TIME(0,Июнь!AB14,0),"ч::мм"))</f>
        <v/>
      </c>
      <c r="K25" s="3" t="str">
        <f ca="1">IF(TEXT(IF(Настройки!AE67="",TEXT(Настройки!$J3,"ч:мм"),TEXT(Настройки!AE67,"ч:мм"))+TIME(0,Июнь!AC14,0),"ч::мм")=TEXT(IF(Настройки!AE67="",TEXT(Настройки!$J3,"ч:мм"),TEXT(Настройки!AE67,"ч:мм")),"ч:мм"),"",TEXT(IF(Настройки!AE67="",TEXT(Настройки!$J3,"ч:мм"),TEXT(Настройки!AE67,"ч:мм")),"ч:мм")&amp;"-"&amp;TEXT(IF(Настройки!AE67="",TEXT(Настройки!$J3,"ч:мм"),TEXT(Настройки!AE67,"ч:мм"))+TIME(0,Июнь!AC14,0),"ч::мм"))</f>
        <v/>
      </c>
      <c r="L25" s="3" t="str">
        <f ca="1">IF(TEXT(IF(Настройки!AF67="",TEXT(Настройки!$J3,"ч:мм"),TEXT(Настройки!AF67,"ч:мм"))+TIME(0,Июнь!AD14,0),"ч::мм")=TEXT(IF(Настройки!AF67="",TEXT(Настройки!$J3,"ч:мм"),TEXT(Настройки!AF67,"ч:мм")),"ч:мм"),"",TEXT(IF(Настройки!AF67="",TEXT(Настройки!$J3,"ч:мм"),TEXT(Настройки!AF67,"ч:мм")),"ч:мм")&amp;"-"&amp;TEXT(IF(Настройки!AF67="",TEXT(Настройки!$J3,"ч:мм"),TEXT(Настройки!AF67,"ч:мм"))+TIME(0,Июнь!AD14,0),"ч::мм"))</f>
        <v/>
      </c>
      <c r="M25" s="3" t="str">
        <f ca="1">IF(TEXT(IF(Настройки!AG67="",TEXT(Настройки!$J3,"ч:мм"),TEXT(Настройки!AG67,"ч:мм"))+TIME(0,Июнь!AE14,0),"ч::мм")=TEXT(IF(Настройки!AG67="",TEXT(Настройки!$J3,"ч:мм"),TEXT(Настройки!AG67,"ч:мм")),"ч:мм"),"",TEXT(IF(Настройки!AG67="",TEXT(Настройки!$J3,"ч:мм"),TEXT(Настройки!AG67,"ч:мм")),"ч:мм")&amp;"-"&amp;TEXT(IF(Настройки!AG67="",TEXT(Настройки!$J3,"ч:мм"),TEXT(Настройки!AG67,"ч:мм"))+TIME(0,Июнь!AE14,0),"ч::мм"))</f>
        <v/>
      </c>
      <c r="N25" s="3" t="str">
        <f ca="1">IF(TEXT(IF(Настройки!AH67="",TEXT(Настройки!$J3,"ч:мм"),TEXT(Настройки!AH67,"ч:мм"))+TIME(0,Июнь!AF14,0),"ч::мм")=TEXT(IF(Настройки!AH67="",TEXT(Настройки!$J3,"ч:мм"),TEXT(Настройки!AH67,"ч:мм")),"ч:мм"),"",TEXT(IF(Настройки!AH67="",TEXT(Настройки!$J3,"ч:мм"),TEXT(Настройки!AH67,"ч:мм")),"ч:мм")&amp;"-"&amp;TEXT(IF(Настройки!AH67="",TEXT(Настройки!$J3,"ч:мм"),TEXT(Настройки!AH67,"ч:мм"))+TIME(0,Июнь!AF14,0),"ч::мм"))</f>
        <v/>
      </c>
      <c r="O25" s="3" t="str">
        <f ca="1">IF(TEXT(IF(Настройки!AI67="",TEXT(Настройки!$J3,"ч:мм"),TEXT(Настройки!AI67,"ч:мм"))+TIME(0,Июнь!AG14,0),"ч::мм")=TEXT(IF(Настройки!AI67="",TEXT(Настройки!$J3,"ч:мм"),TEXT(Настройки!AI67,"ч:мм")),"ч:мм"),"",TEXT(IF(Настройки!AI67="",TEXT(Настройки!$J3,"ч:мм"),TEXT(Настройки!AI67,"ч:мм")),"ч:мм")&amp;"-"&amp;TEXT(IF(Настройки!AI67="",TEXT(Настройки!$J3,"ч:мм"),TEXT(Настройки!AI67,"ч:мм"))+TIME(0,Июнь!AG14,0),"ч::мм"))</f>
        <v/>
      </c>
      <c r="P25" s="3" t="str">
        <f ca="1">IF(TEXT(IF(Настройки!AJ67="",TEXT(Настройки!$J3,"ч:мм"),TEXT(Настройки!AJ67,"ч:мм"))+TIME(0,Июнь!AH14,0),"ч::мм")=TEXT(IF(Настройки!AJ67="",TEXT(Настройки!$J3,"ч:мм"),TEXT(Настройки!AJ67,"ч:мм")),"ч:мм"),"",TEXT(IF(Настройки!AJ67="",TEXT(Настройки!$J3,"ч:мм"),TEXT(Настройки!AJ67,"ч:мм")),"ч:мм")&amp;"-"&amp;TEXT(IF(Настройки!AJ67="",TEXT(Настройки!$J3,"ч:мм"),TEXT(Настройки!AJ67,"ч:мм"))+TIME(0,Июнь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68="",TEXT(Настройки!$J4,"ч:мм"),TEXT(Настройки!V68,"ч:мм"))+TIME(0,Июнь!T15,0),"ч::мм")=TEXT(IF(Настройки!V68="",TEXT(Настройки!$J4,"ч:мм"),TEXT(Настройки!V68,"ч:мм")),"ч:мм"),"",TEXT(IF(Настройки!V68="",TEXT(Настройки!$J4,"ч:мм"),TEXT(Настройки!V68,"ч:мм")),"ч:мм")&amp;"-"&amp;TEXT(IF(Настройки!V68="",TEXT(Настройки!$J4,"ч:мм"),TEXT(Настройки!V68,"ч:мм"))+TIME(0,Июнь!T15,0),"ч::мм"))</f>
        <v/>
      </c>
      <c r="C26" s="3" t="str">
        <f ca="1">IF(TEXT(IF(Настройки!W68="",TEXT(Настройки!$J4,"ч:мм"),TEXT(Настройки!W68,"ч:мм"))+TIME(0,Июнь!U15,0),"ч::мм")=TEXT(IF(Настройки!W68="",TEXT(Настройки!$J4,"ч:мм"),TEXT(Настройки!W68,"ч:мм")),"ч:мм"),"",TEXT(IF(Настройки!W68="",TEXT(Настройки!$J4,"ч:мм"),TEXT(Настройки!W68,"ч:мм")),"ч:мм")&amp;"-"&amp;TEXT(IF(Настройки!W68="",TEXT(Настройки!$J4,"ч:мм"),TEXT(Настройки!W68,"ч:мм"))+TIME(0,Июнь!U15,0),"ч::мм"))</f>
        <v/>
      </c>
      <c r="D26" s="3" t="str">
        <f ca="1">IF(TEXT(IF(Настройки!X68="",TEXT(Настройки!$J4,"ч:мм"),TEXT(Настройки!X68,"ч:мм"))+TIME(0,Июнь!V15,0),"ч::мм")=TEXT(IF(Настройки!X68="",TEXT(Настройки!$J4,"ч:мм"),TEXT(Настройки!X68,"ч:мм")),"ч:мм"),"",TEXT(IF(Настройки!X68="",TEXT(Настройки!$J4,"ч:мм"),TEXT(Настройки!X68,"ч:мм")),"ч:мм")&amp;"-"&amp;TEXT(IF(Настройки!X68="",TEXT(Настройки!$J4,"ч:мм"),TEXT(Настройки!X68,"ч:мм"))+TIME(0,Июнь!V15,0),"ч::мм"))</f>
        <v/>
      </c>
      <c r="E26" s="3" t="str">
        <f ca="1">IF(TEXT(IF(Настройки!Y68="",TEXT(Настройки!$J4,"ч:мм"),TEXT(Настройки!Y68,"ч:мм"))+TIME(0,Июнь!W15,0),"ч::мм")=TEXT(IF(Настройки!Y68="",TEXT(Настройки!$J4,"ч:мм"),TEXT(Настройки!Y68,"ч:мм")),"ч:мм"),"",TEXT(IF(Настройки!Y68="",TEXT(Настройки!$J4,"ч:мм"),TEXT(Настройки!Y68,"ч:мм")),"ч:мм")&amp;"-"&amp;TEXT(IF(Настройки!Y68="",TEXT(Настройки!$J4,"ч:мм"),TEXT(Настройки!Y68,"ч:мм"))+TIME(0,Июнь!W15,0),"ч::мм"))</f>
        <v/>
      </c>
      <c r="F26" s="3" t="str">
        <f ca="1">IF(TEXT(IF(Настройки!Z68="",TEXT(Настройки!$J4,"ч:мм"),TEXT(Настройки!Z68,"ч:мм"))+TIME(0,Июнь!X15,0),"ч::мм")=TEXT(IF(Настройки!Z68="",TEXT(Настройки!$J4,"ч:мм"),TEXT(Настройки!Z68,"ч:мм")),"ч:мм"),"",TEXT(IF(Настройки!Z68="",TEXT(Настройки!$J4,"ч:мм"),TEXT(Настройки!Z68,"ч:мм")),"ч:мм")&amp;"-"&amp;TEXT(IF(Настройки!Z68="",TEXT(Настройки!$J4,"ч:мм"),TEXT(Настройки!Z68,"ч:мм"))+TIME(0,Июнь!X15,0),"ч::мм"))</f>
        <v/>
      </c>
      <c r="G26" s="3" t="str">
        <f ca="1">IF(TEXT(IF(Настройки!AA68="",TEXT(Настройки!$J4,"ч:мм"),TEXT(Настройки!AA68,"ч:мм"))+TIME(0,Июнь!Y15,0),"ч::мм")=TEXT(IF(Настройки!AA68="",TEXT(Настройки!$J4,"ч:мм"),TEXT(Настройки!AA68,"ч:мм")),"ч:мм"),"",TEXT(IF(Настройки!AA68="",TEXT(Настройки!$J4,"ч:мм"),TEXT(Настройки!AA68,"ч:мм")),"ч:мм")&amp;"-"&amp;TEXT(IF(Настройки!AA68="",TEXT(Настройки!$J4,"ч:мм"),TEXT(Настройки!AA68,"ч:мм"))+TIME(0,Июнь!Y15,0),"ч::мм"))</f>
        <v/>
      </c>
      <c r="H26" s="3" t="str">
        <f ca="1">IF(TEXT(IF(Настройки!AB68="",TEXT(Настройки!$J4,"ч:мм"),TEXT(Настройки!AB68,"ч:мм"))+TIME(0,Июнь!Z15,0),"ч::мм")=TEXT(IF(Настройки!AB68="",TEXT(Настройки!$J4,"ч:мм"),TEXT(Настройки!AB68,"ч:мм")),"ч:мм"),"",TEXT(IF(Настройки!AB68="",TEXT(Настройки!$J4,"ч:мм"),TEXT(Настройки!AB68,"ч:мм")),"ч:мм")&amp;"-"&amp;TEXT(IF(Настройки!AB68="",TEXT(Настройки!$J4,"ч:мм"),TEXT(Настройки!AB68,"ч:мм"))+TIME(0,Июнь!Z15,0),"ч::мм"))</f>
        <v/>
      </c>
      <c r="I26" s="3" t="str">
        <f ca="1">IF(TEXT(IF(Настройки!AC68="",TEXT(Настройки!$J4,"ч:мм"),TEXT(Настройки!AC68,"ч:мм"))+TIME(0,Июнь!AA15,0),"ч::мм")=TEXT(IF(Настройки!AC68="",TEXT(Настройки!$J4,"ч:мм"),TEXT(Настройки!AC68,"ч:мм")),"ч:мм"),"",TEXT(IF(Настройки!AC68="",TEXT(Настройки!$J4,"ч:мм"),TEXT(Настройки!AC68,"ч:мм")),"ч:мм")&amp;"-"&amp;TEXT(IF(Настройки!AC68="",TEXT(Настройки!$J4,"ч:мм"),TEXT(Настройки!AC68,"ч:мм"))+TIME(0,Июнь!AA15,0),"ч::мм"))</f>
        <v/>
      </c>
      <c r="J26" s="3" t="str">
        <f ca="1">IF(TEXT(IF(Настройки!AD68="",TEXT(Настройки!$J4,"ч:мм"),TEXT(Настройки!AD68,"ч:мм"))+TIME(0,Июнь!AB15,0),"ч::мм")=TEXT(IF(Настройки!AD68="",TEXT(Настройки!$J4,"ч:мм"),TEXT(Настройки!AD68,"ч:мм")),"ч:мм"),"",TEXT(IF(Настройки!AD68="",TEXT(Настройки!$J4,"ч:мм"),TEXT(Настройки!AD68,"ч:мм")),"ч:мм")&amp;"-"&amp;TEXT(IF(Настройки!AD68="",TEXT(Настройки!$J4,"ч:мм"),TEXT(Настройки!AD68,"ч:мм"))+TIME(0,Июнь!AB15,0),"ч::мм"))</f>
        <v/>
      </c>
      <c r="K26" s="3" t="str">
        <f ca="1">IF(TEXT(IF(Настройки!AE68="",TEXT(Настройки!$J4,"ч:мм"),TEXT(Настройки!AE68,"ч:мм"))+TIME(0,Июнь!AC15,0),"ч::мм")=TEXT(IF(Настройки!AE68="",TEXT(Настройки!$J4,"ч:мм"),TEXT(Настройки!AE68,"ч:мм")),"ч:мм"),"",TEXT(IF(Настройки!AE68="",TEXT(Настройки!$J4,"ч:мм"),TEXT(Настройки!AE68,"ч:мм")),"ч:мм")&amp;"-"&amp;TEXT(IF(Настройки!AE68="",TEXT(Настройки!$J4,"ч:мм"),TEXT(Настройки!AE68,"ч:мм"))+TIME(0,Июнь!AC15,0),"ч::мм"))</f>
        <v/>
      </c>
      <c r="L26" s="3" t="str">
        <f ca="1">IF(TEXT(IF(Настройки!AF68="",TEXT(Настройки!$J4,"ч:мм"),TEXT(Настройки!AF68,"ч:мм"))+TIME(0,Июнь!AD15,0),"ч::мм")=TEXT(IF(Настройки!AF68="",TEXT(Настройки!$J4,"ч:мм"),TEXT(Настройки!AF68,"ч:мм")),"ч:мм"),"",TEXT(IF(Настройки!AF68="",TEXT(Настройки!$J4,"ч:мм"),TEXT(Настройки!AF68,"ч:мм")),"ч:мм")&amp;"-"&amp;TEXT(IF(Настройки!AF68="",TEXT(Настройки!$J4,"ч:мм"),TEXT(Настройки!AF68,"ч:мм"))+TIME(0,Июнь!AD15,0),"ч::мм"))</f>
        <v/>
      </c>
      <c r="M26" s="3" t="str">
        <f ca="1">IF(TEXT(IF(Настройки!AG68="",TEXT(Настройки!$J4,"ч:мм"),TEXT(Настройки!AG68,"ч:мм"))+TIME(0,Июнь!AE15,0),"ч::мм")=TEXT(IF(Настройки!AG68="",TEXT(Настройки!$J4,"ч:мм"),TEXT(Настройки!AG68,"ч:мм")),"ч:мм"),"",TEXT(IF(Настройки!AG68="",TEXT(Настройки!$J4,"ч:мм"),TEXT(Настройки!AG68,"ч:мм")),"ч:мм")&amp;"-"&amp;TEXT(IF(Настройки!AG68="",TEXT(Настройки!$J4,"ч:мм"),TEXT(Настройки!AG68,"ч:мм"))+TIME(0,Июнь!AE15,0),"ч::мм"))</f>
        <v/>
      </c>
      <c r="N26" s="3" t="str">
        <f ca="1">IF(TEXT(IF(Настройки!AH68="",TEXT(Настройки!$J4,"ч:мм"),TEXT(Настройки!AH68,"ч:мм"))+TIME(0,Июнь!AF15,0),"ч::мм")=TEXT(IF(Настройки!AH68="",TEXT(Настройки!$J4,"ч:мм"),TEXT(Настройки!AH68,"ч:мм")),"ч:мм"),"",TEXT(IF(Настройки!AH68="",TEXT(Настройки!$J4,"ч:мм"),TEXT(Настройки!AH68,"ч:мм")),"ч:мм")&amp;"-"&amp;TEXT(IF(Настройки!AH68="",TEXT(Настройки!$J4,"ч:мм"),TEXT(Настройки!AH68,"ч:мм"))+TIME(0,Июнь!AF15,0),"ч::мм"))</f>
        <v/>
      </c>
      <c r="O26" s="3" t="str">
        <f ca="1">IF(TEXT(IF(Настройки!AI68="",TEXT(Настройки!$J4,"ч:мм"),TEXT(Настройки!AI68,"ч:мм"))+TIME(0,Июнь!AG15,0),"ч::мм")=TEXT(IF(Настройки!AI68="",TEXT(Настройки!$J4,"ч:мм"),TEXT(Настройки!AI68,"ч:мм")),"ч:мм"),"",TEXT(IF(Настройки!AI68="",TEXT(Настройки!$J4,"ч:мм"),TEXT(Настройки!AI68,"ч:мм")),"ч:мм")&amp;"-"&amp;TEXT(IF(Настройки!AI68="",TEXT(Настройки!$J4,"ч:мм"),TEXT(Настройки!AI68,"ч:мм"))+TIME(0,Июнь!AG15,0),"ч::мм"))</f>
        <v/>
      </c>
      <c r="P26" s="3" t="str">
        <f ca="1">IF(TEXT(IF(Настройки!AJ68="",TEXT(Настройки!$J4,"ч:мм"),TEXT(Настройки!AJ68,"ч:мм"))+TIME(0,Июнь!AH15,0),"ч::мм")=TEXT(IF(Настройки!AJ68="",TEXT(Настройки!$J4,"ч:мм"),TEXT(Настройки!AJ68,"ч:мм")),"ч:мм"),"",TEXT(IF(Настройки!AJ68="",TEXT(Настройки!$J4,"ч:мм"),TEXT(Настройки!AJ68,"ч:мм")),"ч:мм")&amp;"-"&amp;TEXT(IF(Настройки!AJ68="",TEXT(Настройки!$J4,"ч:мм"),TEXT(Настройки!AJ68,"ч:мм"))+TIME(0,Июнь!AH15,0),"ч::мм"))</f>
        <v/>
      </c>
    </row>
    <row r="27" spans="1:18" x14ac:dyDescent="0.25">
      <c r="Q27" s="9"/>
      <c r="R27" s="9"/>
    </row>
  </sheetData>
  <mergeCells count="9">
    <mergeCell ref="A18:A22"/>
    <mergeCell ref="B18:P19"/>
    <mergeCell ref="B21:P22"/>
    <mergeCell ref="A2:P2"/>
    <mergeCell ref="F6:G6"/>
    <mergeCell ref="H6:I6"/>
    <mergeCell ref="A8:A12"/>
    <mergeCell ref="B8:P9"/>
    <mergeCell ref="B11:P12"/>
  </mergeCells>
  <conditionalFormatting sqref="B10:P10">
    <cfRule type="expression" dxfId="695" priority="3">
      <formula>WEEKDAY(B10:P10,2)&gt;5</formula>
    </cfRule>
  </conditionalFormatting>
  <conditionalFormatting sqref="B20:P20">
    <cfRule type="expression" dxfId="694" priority="2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4" tint="0.39997558519241921"/>
    <pageSetUpPr fitToPage="1"/>
  </sheetPr>
  <dimension ref="A2:AL28"/>
  <sheetViews>
    <sheetView zoomScale="70" zoomScaleNormal="70" workbookViewId="0">
      <selection activeCell="D1" sqref="D1"/>
    </sheetView>
  </sheetViews>
  <sheetFormatPr defaultRowHeight="15.75" x14ac:dyDescent="0.25"/>
  <cols>
    <col min="1" max="1" width="21.42578125" style="3" customWidth="1"/>
    <col min="2" max="2" width="18.28515625" style="3" bestFit="1" customWidth="1"/>
    <col min="3" max="3" width="14.42578125" style="3" bestFit="1" customWidth="1"/>
    <col min="4" max="4" width="9.28515625" style="3" customWidth="1"/>
    <col min="5" max="17" width="4.42578125" style="3" bestFit="1" customWidth="1"/>
    <col min="18" max="18" width="6.42578125" style="3" bestFit="1" customWidth="1"/>
    <col min="19" max="35" width="4.42578125" style="3" bestFit="1" customWidth="1"/>
    <col min="36" max="36" width="9.5703125" style="3" bestFit="1" customWidth="1"/>
    <col min="37" max="37" width="10" style="3" bestFit="1" customWidth="1"/>
    <col min="38" max="38" width="14" style="3" bestFit="1" customWidth="1"/>
    <col min="39" max="16384" width="9.140625" style="3"/>
  </cols>
  <sheetData>
    <row r="2" spans="1:38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8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8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8" ht="18.75" x14ac:dyDescent="0.25">
      <c r="L5" s="10" t="s">
        <v>69</v>
      </c>
      <c r="M5" s="61" t="s">
        <v>72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7" spans="1:38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9"/>
      <c r="AJ7" s="63" t="s">
        <v>64</v>
      </c>
      <c r="AK7" s="64" t="s">
        <v>64</v>
      </c>
    </row>
    <row r="8" spans="1:38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78"/>
      <c r="AJ8" s="63"/>
      <c r="AK8" s="65"/>
    </row>
    <row r="9" spans="1:38" x14ac:dyDescent="0.25">
      <c r="A9" s="73"/>
      <c r="B9" s="76"/>
      <c r="C9" s="76"/>
      <c r="D9" s="82"/>
      <c r="E9" s="17">
        <f>Настройки!G13</f>
        <v>45474</v>
      </c>
      <c r="F9" s="17">
        <f>Настройки!H13</f>
        <v>45475</v>
      </c>
      <c r="G9" s="17">
        <f>Настройки!I13</f>
        <v>45476</v>
      </c>
      <c r="H9" s="17">
        <f>Настройки!J13</f>
        <v>45477</v>
      </c>
      <c r="I9" s="17">
        <f>Настройки!K13</f>
        <v>45478</v>
      </c>
      <c r="J9" s="17">
        <f>Настройки!L13</f>
        <v>45479</v>
      </c>
      <c r="K9" s="17">
        <f>Настройки!M13</f>
        <v>45480</v>
      </c>
      <c r="L9" s="17">
        <f>Настройки!N13</f>
        <v>45481</v>
      </c>
      <c r="M9" s="17">
        <f>Настройки!O13</f>
        <v>45482</v>
      </c>
      <c r="N9" s="17">
        <f>Настройки!P13</f>
        <v>45483</v>
      </c>
      <c r="O9" s="17">
        <f>Настройки!Q13</f>
        <v>45484</v>
      </c>
      <c r="P9" s="17">
        <f>Настройки!R13</f>
        <v>45485</v>
      </c>
      <c r="Q9" s="17">
        <f>Настройки!S13</f>
        <v>45486</v>
      </c>
      <c r="R9" s="17">
        <f>Настройки!T13</f>
        <v>45487</v>
      </c>
      <c r="S9" s="17">
        <f>Настройки!U13</f>
        <v>45488</v>
      </c>
      <c r="T9" s="17">
        <f>Настройки!V13</f>
        <v>45489</v>
      </c>
      <c r="U9" s="17">
        <f>Настройки!W13</f>
        <v>45490</v>
      </c>
      <c r="V9" s="17">
        <f>Настройки!X13</f>
        <v>45491</v>
      </c>
      <c r="W9" s="17">
        <f>Настройки!Y13</f>
        <v>45492</v>
      </c>
      <c r="X9" s="17">
        <f>Настройки!Z13</f>
        <v>45493</v>
      </c>
      <c r="Y9" s="17">
        <f>Настройки!AA13</f>
        <v>45494</v>
      </c>
      <c r="Z9" s="17">
        <f>Настройки!AB13</f>
        <v>45495</v>
      </c>
      <c r="AA9" s="17">
        <f>Настройки!AC13</f>
        <v>45496</v>
      </c>
      <c r="AB9" s="17">
        <f>Настройки!AD13</f>
        <v>45497</v>
      </c>
      <c r="AC9" s="17">
        <f>Настройки!AE13</f>
        <v>45498</v>
      </c>
      <c r="AD9" s="17">
        <f>Настройки!AF13</f>
        <v>45499</v>
      </c>
      <c r="AE9" s="17">
        <f>Настройки!AG13</f>
        <v>45500</v>
      </c>
      <c r="AF9" s="17">
        <f>Настройки!AH13</f>
        <v>45501</v>
      </c>
      <c r="AG9" s="17">
        <f>Настройки!AI13</f>
        <v>45502</v>
      </c>
      <c r="AH9" s="17">
        <f>Настройки!AJ13</f>
        <v>45503</v>
      </c>
      <c r="AI9" s="17">
        <f>Настройки!AK13</f>
        <v>45504</v>
      </c>
      <c r="AJ9" s="63"/>
      <c r="AK9" s="65"/>
    </row>
    <row r="10" spans="1:38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9"/>
      <c r="AJ10" s="63"/>
      <c r="AK10" s="65"/>
    </row>
    <row r="11" spans="1:38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2"/>
      <c r="AJ11" s="63"/>
      <c r="AK11" s="66"/>
    </row>
    <row r="12" spans="1:38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SUMPRODUCT((Настройки!$G$27:$AK$27=1)*E16:AI16)</f>
        <v>0</v>
      </c>
      <c r="D13" s="5">
        <v>1</v>
      </c>
      <c r="E13" s="23">
        <f>SUMPRODUCT((Июль[№]=1)*Июль[1],Июль[Объем])</f>
        <v>0</v>
      </c>
      <c r="F13" s="23">
        <f>SUMPRODUCT((Июль[№]=1)*Июль[2],Июль[Объем])</f>
        <v>0</v>
      </c>
      <c r="G13" s="23">
        <f>SUMPRODUCT((Июль[№]=1)*Июль[3],Июль[Объем])</f>
        <v>0</v>
      </c>
      <c r="H13" s="23">
        <f>SUMPRODUCT((Июль[№]=1)*Июль[4],Июль[Объем])</f>
        <v>0</v>
      </c>
      <c r="I13" s="23">
        <f>SUMPRODUCT((Июль[№]=1)*Июль[5],Июль[Объем])</f>
        <v>0</v>
      </c>
      <c r="J13" s="23">
        <f>SUMPRODUCT((Июль[№]=1)*Июль[6],Июль[Объем])</f>
        <v>0</v>
      </c>
      <c r="K13" s="23">
        <f>SUMPRODUCT((Июль[№]=1)*Июль[7],Июль[Объем])</f>
        <v>0</v>
      </c>
      <c r="L13" s="23">
        <f>SUMPRODUCT((Июль[№]=1)*Июль[8],Июль[Объем])</f>
        <v>0</v>
      </c>
      <c r="M13" s="23">
        <f>SUMPRODUCT((Июль[№]=1)*Июль[9],Июль[Объем])</f>
        <v>0</v>
      </c>
      <c r="N13" s="23">
        <f>SUMPRODUCT((Июль[№]=1)*Июль[10],Июль[Объем])</f>
        <v>0</v>
      </c>
      <c r="O13" s="23">
        <f>SUMPRODUCT((Июль[№]=1)*Июль[11],Июль[Объем])</f>
        <v>0</v>
      </c>
      <c r="P13" s="23">
        <f>SUMPRODUCT((Июль[№]=1)*Июль[12],Июль[Объем])</f>
        <v>0</v>
      </c>
      <c r="Q13" s="23">
        <f>SUMPRODUCT((Июль[№]=1)*Июль[13],Июль[Объем])</f>
        <v>0</v>
      </c>
      <c r="R13" s="23">
        <f>SUMPRODUCT((Июль[№]=1)*Июль[14],Июль[Объем])</f>
        <v>0</v>
      </c>
      <c r="S13" s="23">
        <f>SUMPRODUCT((Июль[№]=1)*Июль[15],Июль[Объем])</f>
        <v>0</v>
      </c>
      <c r="T13" s="23">
        <f>SUMPRODUCT((Июль[№]=1)*Июль[16],Июль[Объем])</f>
        <v>0</v>
      </c>
      <c r="U13" s="23">
        <f>SUMPRODUCT((Июль[№]=1)*Июль[17],Июль[Объем])</f>
        <v>0</v>
      </c>
      <c r="V13" s="23">
        <f>SUMPRODUCT((Июль[№]=1)*Июль[18],Июль[Объем])</f>
        <v>0</v>
      </c>
      <c r="W13" s="23">
        <f>SUMPRODUCT((Июль[№]=1)*Июль[19],Июль[Объем])</f>
        <v>0</v>
      </c>
      <c r="X13" s="23">
        <f>SUMPRODUCT((Июль[№]=1)*Июль[20],Июль[Объем])</f>
        <v>0</v>
      </c>
      <c r="Y13" s="23">
        <f>SUMPRODUCT((Июль[№]=1)*Июль[21],Июль[Объем])</f>
        <v>0</v>
      </c>
      <c r="Z13" s="23">
        <f>SUMPRODUCT((Июль[№]=1)*Июль[22],Июль[Объем])</f>
        <v>0</v>
      </c>
      <c r="AA13" s="23">
        <f>SUMPRODUCT((Июль[№]=1)*Июль[23],Июль[Объем])</f>
        <v>0</v>
      </c>
      <c r="AB13" s="23">
        <f>SUMPRODUCT((Июль[№]=1)*Июль[24],Июль[Объем])</f>
        <v>0</v>
      </c>
      <c r="AC13" s="23">
        <f>SUMPRODUCT((Июль[№]=1)*Июль[25],Июль[Объем])</f>
        <v>0</v>
      </c>
      <c r="AD13" s="23">
        <f>SUMPRODUCT((Июль[№]=1)*Июль[26],Июль[Объем])</f>
        <v>0</v>
      </c>
      <c r="AE13" s="23">
        <f>SUMPRODUCT((Июль[№]=1)*Июль[27],Июль[Объем])</f>
        <v>0</v>
      </c>
      <c r="AF13" s="23">
        <f>SUMPRODUCT((Июль[№]=1)*Июль[28],Июль[Объем])</f>
        <v>0</v>
      </c>
      <c r="AG13" s="23">
        <f>SUMPRODUCT((Июль[№]=1)*Июль[29],Июль[Объем])</f>
        <v>0</v>
      </c>
      <c r="AH13" s="23">
        <f>SUMPRODUCT((Июль[№]=1)*Июль[30],Июль[Объем])</f>
        <v>0</v>
      </c>
      <c r="AI13" s="23">
        <f>SUMPRODUCT((Июль[№]=1)*Июль[31],Июль[Объем])</f>
        <v>0</v>
      </c>
      <c r="AL13" s="4"/>
    </row>
    <row r="14" spans="1:38" x14ac:dyDescent="0.25">
      <c r="B14" s="3">
        <f ca="1">SUMPRODUCT((Настройки!$G$27:$AK$27=2)*E16:AI16)</f>
        <v>0</v>
      </c>
      <c r="D14" s="5">
        <v>2</v>
      </c>
      <c r="E14" s="23">
        <f ca="1">SUMPRODUCT((Июль[№]=2)*Июль[1],OFFSET(Июль[Объем],-1,0))</f>
        <v>0</v>
      </c>
      <c r="F14" s="23">
        <f ca="1">SUMPRODUCT((Июль[№]=2)*Июль[2],OFFSET(Июль[Объем],-1,0))</f>
        <v>0</v>
      </c>
      <c r="G14" s="23">
        <f ca="1">SUMPRODUCT((Июль[№]=2)*Июль[3],OFFSET(Июль[Объем],-1,0))</f>
        <v>0</v>
      </c>
      <c r="H14" s="23">
        <f ca="1">SUMPRODUCT((Июль[№]=2)*Июль[4],OFFSET(Июль[Объем],-1,0))</f>
        <v>0</v>
      </c>
      <c r="I14" s="23">
        <f ca="1">SUMPRODUCT((Июль[№]=2)*Июль[5],OFFSET(Июль[Объем],-1,0))</f>
        <v>0</v>
      </c>
      <c r="J14" s="23">
        <f ca="1">SUMPRODUCT((Июль[№]=2)*Июль[6],OFFSET(Июль[Объем],-1,0))</f>
        <v>0</v>
      </c>
      <c r="K14" s="23">
        <f ca="1">SUMPRODUCT((Июль[№]=2)*Июль[7],OFFSET(Июль[Объем],-1,0))</f>
        <v>0</v>
      </c>
      <c r="L14" s="23">
        <f ca="1">SUMPRODUCT((Июль[№]=2)*Июль[8],OFFSET(Июль[Объем],-1,0))</f>
        <v>0</v>
      </c>
      <c r="M14" s="23">
        <f ca="1">SUMPRODUCT((Июль[№]=2)*Июль[9],OFFSET(Июль[Объем],-1,0))</f>
        <v>0</v>
      </c>
      <c r="N14" s="23">
        <f ca="1">SUMPRODUCT((Июль[№]=2)*Июль[10],OFFSET(Июль[Объем],-1,0))</f>
        <v>0</v>
      </c>
      <c r="O14" s="23">
        <f ca="1">SUMPRODUCT((Июль[№]=2)*Июль[11],OFFSET(Июль[Объем],-1,0))</f>
        <v>0</v>
      </c>
      <c r="P14" s="23">
        <f ca="1">SUMPRODUCT((Июль[№]=2)*Июль[12],OFFSET(Июль[Объем],-1,0))</f>
        <v>0</v>
      </c>
      <c r="Q14" s="23">
        <f ca="1">SUMPRODUCT((Июль[№]=2)*Июль[13],OFFSET(Июль[Объем],-1,0))</f>
        <v>0</v>
      </c>
      <c r="R14" s="23">
        <f ca="1">SUMPRODUCT((Июль[№]=2)*Июль[14],OFFSET(Июль[Объем],-1,0))</f>
        <v>0</v>
      </c>
      <c r="S14" s="23">
        <f ca="1">SUMPRODUCT((Июль[№]=2)*Июль[15],OFFSET(Июль[Объем],-1,0))</f>
        <v>0</v>
      </c>
      <c r="T14" s="23">
        <f ca="1">SUMPRODUCT((Июль[№]=2)*Июль[16],OFFSET(Июль[Объем],-1,0))</f>
        <v>0</v>
      </c>
      <c r="U14" s="23">
        <f ca="1">SUMPRODUCT((Июль[№]=2)*Июль[17],OFFSET(Июль[Объем],-1,0))</f>
        <v>0</v>
      </c>
      <c r="V14" s="23">
        <f ca="1">SUMPRODUCT((Июль[№]=2)*Июль[18],OFFSET(Июль[Объем],-1,0))</f>
        <v>0</v>
      </c>
      <c r="W14" s="23">
        <f ca="1">SUMPRODUCT((Июль[№]=2)*Июль[19],OFFSET(Июль[Объем],-1,0))</f>
        <v>0</v>
      </c>
      <c r="X14" s="23">
        <f ca="1">SUMPRODUCT((Июль[№]=2)*Июль[20],OFFSET(Июль[Объем],-1,0))</f>
        <v>0</v>
      </c>
      <c r="Y14" s="23">
        <f ca="1">SUMPRODUCT((Июль[№]=2)*Июль[21],OFFSET(Июль[Объем],-1,0))</f>
        <v>0</v>
      </c>
      <c r="Z14" s="23">
        <f ca="1">SUMPRODUCT((Июль[№]=2)*Июль[22],OFFSET(Июль[Объем],-1,0))</f>
        <v>0</v>
      </c>
      <c r="AA14" s="23">
        <f ca="1">SUMPRODUCT((Июль[№]=2)*Июль[23],OFFSET(Июль[Объем],-1,0))</f>
        <v>0</v>
      </c>
      <c r="AB14" s="23">
        <f ca="1">SUMPRODUCT((Июль[№]=2)*Июль[24],OFFSET(Июль[Объем],-1,0))</f>
        <v>0</v>
      </c>
      <c r="AC14" s="23">
        <f ca="1">SUMPRODUCT((Июль[№]=2)*Июль[25],OFFSET(Июль[Объем],-1,0))</f>
        <v>0</v>
      </c>
      <c r="AD14" s="23">
        <f ca="1">SUMPRODUCT((Июль[№]=2)*Июль[26],OFFSET(Июль[Объем],-1,0))</f>
        <v>0</v>
      </c>
      <c r="AE14" s="23">
        <f ca="1">SUMPRODUCT((Июль[№]=2)*Июль[27],OFFSET(Июль[Объем],-1,0))</f>
        <v>0</v>
      </c>
      <c r="AF14" s="23">
        <f ca="1">SUMPRODUCT((Июль[№]=2)*Июль[28],OFFSET(Июль[Объем],-1,0))</f>
        <v>0</v>
      </c>
      <c r="AG14" s="23">
        <f ca="1">SUMPRODUCT((Июль[№]=2)*Июль[29],OFFSET(Июль[Объем],-1,0))</f>
        <v>0</v>
      </c>
      <c r="AH14" s="23">
        <f ca="1">SUMPRODUCT((Июль[№]=2)*Июль[30],OFFSET(Июль[Объем],-1,0))</f>
        <v>0</v>
      </c>
      <c r="AI14" s="23">
        <f ca="1">SUMPRODUCT((Июль[№]=2)*Июль[31],OFFSET(Июль[Объем],-1,0))</f>
        <v>0</v>
      </c>
      <c r="AL14" s="4"/>
    </row>
    <row r="15" spans="1:38" x14ac:dyDescent="0.25">
      <c r="B15" s="3">
        <f ca="1">SUMPRODUCT((Настройки!$G$27:$AK$27=3)*E16:AI16)</f>
        <v>0</v>
      </c>
      <c r="D15" s="5">
        <v>3</v>
      </c>
      <c r="E15" s="23">
        <f ca="1">SUMPRODUCT((Июль[№]=3)*Июль[1],OFFSET(Июль[Объем],-2,0))</f>
        <v>0</v>
      </c>
      <c r="F15" s="23">
        <f ca="1">SUMPRODUCT((Июль[№]=3)*Июль[2],OFFSET(Июль[Объем],-2,0))</f>
        <v>0</v>
      </c>
      <c r="G15" s="23">
        <f ca="1">SUMPRODUCT((Июль[№]=3)*Июль[3],OFFSET(Июль[Объем],-2,0))</f>
        <v>0</v>
      </c>
      <c r="H15" s="23">
        <f ca="1">SUMPRODUCT((Июль[№]=3)*Июль[4],OFFSET(Июль[Объем],-2,0))</f>
        <v>0</v>
      </c>
      <c r="I15" s="23">
        <f ca="1">SUMPRODUCT((Июль[№]=3)*Июль[5],OFFSET(Июль[Объем],-2,0))</f>
        <v>0</v>
      </c>
      <c r="J15" s="23">
        <f ca="1">SUMPRODUCT((Июль[№]=3)*Июль[6],OFFSET(Июль[Объем],-2,0))</f>
        <v>0</v>
      </c>
      <c r="K15" s="23">
        <f ca="1">SUMPRODUCT((Июль[№]=3)*Июль[7],OFFSET(Июль[Объем],-2,0))</f>
        <v>0</v>
      </c>
      <c r="L15" s="23">
        <f ca="1">SUMPRODUCT((Июль[№]=3)*Июль[8],OFFSET(Июль[Объем],-2,0))</f>
        <v>0</v>
      </c>
      <c r="M15" s="23">
        <f ca="1">SUMPRODUCT((Июль[№]=3)*Июль[9],OFFSET(Июль[Объем],-2,0))</f>
        <v>0</v>
      </c>
      <c r="N15" s="23">
        <f ca="1">SUMPRODUCT((Июль[№]=3)*Июль[10],OFFSET(Июль[Объем],-2,0))</f>
        <v>0</v>
      </c>
      <c r="O15" s="23">
        <f ca="1">SUMPRODUCT((Июль[№]=3)*Июль[11],OFFSET(Июль[Объем],-2,0))</f>
        <v>0</v>
      </c>
      <c r="P15" s="23">
        <f ca="1">SUMPRODUCT((Июль[№]=3)*Июль[12],OFFSET(Июль[Объем],-2,0))</f>
        <v>0</v>
      </c>
      <c r="Q15" s="23">
        <f ca="1">SUMPRODUCT((Июль[№]=3)*Июль[13],OFFSET(Июль[Объем],-2,0))</f>
        <v>0</v>
      </c>
      <c r="R15" s="23">
        <f ca="1">SUMPRODUCT((Июль[№]=3)*Июль[14],OFFSET(Июль[Объем],-2,0))</f>
        <v>0</v>
      </c>
      <c r="S15" s="23">
        <f ca="1">SUMPRODUCT((Июль[№]=3)*Июль[15],OFFSET(Июль[Объем],-2,0))</f>
        <v>0</v>
      </c>
      <c r="T15" s="23">
        <f ca="1">SUMPRODUCT((Июль[№]=3)*Июль[16],OFFSET(Июль[Объем],-2,0))</f>
        <v>0</v>
      </c>
      <c r="U15" s="23">
        <f ca="1">SUMPRODUCT((Июль[№]=3)*Июль[17],OFFSET(Июль[Объем],-2,0))</f>
        <v>0</v>
      </c>
      <c r="V15" s="23">
        <f ca="1">SUMPRODUCT((Июль[№]=3)*Июль[18],OFFSET(Июль[Объем],-2,0))</f>
        <v>0</v>
      </c>
      <c r="W15" s="23">
        <f ca="1">SUMPRODUCT((Июль[№]=3)*Июль[19],OFFSET(Июль[Объем],-2,0))</f>
        <v>0</v>
      </c>
      <c r="X15" s="23">
        <f ca="1">SUMPRODUCT((Июль[№]=3)*Июль[20],OFFSET(Июль[Объем],-2,0))</f>
        <v>0</v>
      </c>
      <c r="Y15" s="23">
        <f ca="1">SUMPRODUCT((Июль[№]=3)*Июль[21],OFFSET(Июль[Объем],-2,0))</f>
        <v>0</v>
      </c>
      <c r="Z15" s="23">
        <f ca="1">SUMPRODUCT((Июль[№]=3)*Июль[22],OFFSET(Июль[Объем],-2,0))</f>
        <v>0</v>
      </c>
      <c r="AA15" s="23">
        <f ca="1">SUMPRODUCT((Июль[№]=3)*Июль[23],OFFSET(Июль[Объем],-2,0))</f>
        <v>0</v>
      </c>
      <c r="AB15" s="23">
        <f ca="1">SUMPRODUCT((Июль[№]=3)*Июль[24],OFFSET(Июль[Объем],-2,0))</f>
        <v>0</v>
      </c>
      <c r="AC15" s="23">
        <f ca="1">SUMPRODUCT((Июль[№]=3)*Июль[25],OFFSET(Июль[Объем],-2,0))</f>
        <v>0</v>
      </c>
      <c r="AD15" s="23">
        <f ca="1">SUMPRODUCT((Июль[№]=3)*Июль[26],OFFSET(Июль[Объем],-2,0))</f>
        <v>0</v>
      </c>
      <c r="AE15" s="23">
        <f ca="1">SUMPRODUCT((Июль[№]=3)*Июль[27],OFFSET(Июль[Объем],-2,0))</f>
        <v>0</v>
      </c>
      <c r="AF15" s="23">
        <f ca="1">SUMPRODUCT((Июль[№]=3)*Июль[28],OFFSET(Июль[Объем],-2,0))</f>
        <v>0</v>
      </c>
      <c r="AG15" s="23">
        <f ca="1">SUMPRODUCT((Июль[№]=3)*Июль[29],OFFSET(Июль[Объем],-2,0))</f>
        <v>0</v>
      </c>
      <c r="AH15" s="23">
        <f ca="1">SUMPRODUCT((Июль[№]=3)*Июль[30],OFFSET(Июль[Объем],-2,0))</f>
        <v>0</v>
      </c>
      <c r="AI15" s="23">
        <f ca="1">SUMPRODUCT((Июль[№]=3)*Июль[31],OFFSET(Июль[Объем],-2,0))</f>
        <v>0</v>
      </c>
      <c r="AK15" s="9"/>
    </row>
    <row r="16" spans="1:38" x14ac:dyDescent="0.25">
      <c r="B16" s="3">
        <f ca="1">SUMPRODUCT((Настройки!$G$27:$AK$27=4)*E16:AI16)</f>
        <v>0</v>
      </c>
      <c r="D16" s="5"/>
      <c r="E16" s="2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I16" s="23">
        <f ca="1">SUM(AI13:AI15)</f>
        <v>0</v>
      </c>
      <c r="AK16" s="9"/>
    </row>
    <row r="17" spans="1:37" x14ac:dyDescent="0.25">
      <c r="B17" s="3">
        <f ca="1">SUMPRODUCT((Настройки!$G$27:$AK$27=5)*E16:AI16)</f>
        <v>0</v>
      </c>
      <c r="C17" s="5">
        <f ca="1">ИюльИтоги[[#This Row],[№]]*60</f>
        <v>0</v>
      </c>
      <c r="D17" s="7">
        <f ca="1">SUM(ИюльИтоги[[#This Row],[1]:[31]])</f>
        <v>0</v>
      </c>
      <c r="E17" s="24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24">
        <f ca="1">AI16/60</f>
        <v>0</v>
      </c>
      <c r="AJ17" s="5">
        <f ca="1">SUM(Июль[УСЛУГ])</f>
        <v>0</v>
      </c>
      <c r="AK17" s="15">
        <f ca="1">SUM(Июль[МИНУТ])</f>
        <v>0</v>
      </c>
    </row>
    <row r="18" spans="1:37" x14ac:dyDescent="0.25">
      <c r="B18" s="13">
        <f ca="1">SUMPRODUCT((Настройки!$G$27:$AK$27=6)*E16:AI16)</f>
        <v>0</v>
      </c>
      <c r="C18" s="13"/>
      <c r="D18" s="7"/>
      <c r="E18" s="46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46"/>
      <c r="AJ18" s="13"/>
      <c r="AK18" s="45"/>
    </row>
    <row r="20" spans="1:37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9"/>
      <c r="AJ20" s="63" t="s">
        <v>64</v>
      </c>
      <c r="AK20" s="64" t="s">
        <v>64</v>
      </c>
    </row>
    <row r="21" spans="1:37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78"/>
      <c r="AJ21" s="63"/>
      <c r="AK21" s="65"/>
    </row>
    <row r="22" spans="1:37" x14ac:dyDescent="0.25">
      <c r="A22" s="73"/>
      <c r="B22" s="73"/>
      <c r="C22" s="74"/>
      <c r="D22" s="76"/>
      <c r="E22" s="20">
        <f>Настройки!G13</f>
        <v>45474</v>
      </c>
      <c r="F22" s="20">
        <f>Настройки!H13</f>
        <v>45475</v>
      </c>
      <c r="G22" s="20">
        <f>Настройки!I13</f>
        <v>45476</v>
      </c>
      <c r="H22" s="20">
        <f>Настройки!J13</f>
        <v>45477</v>
      </c>
      <c r="I22" s="20">
        <f>Настройки!K13</f>
        <v>45478</v>
      </c>
      <c r="J22" s="20">
        <f>Настройки!L13</f>
        <v>45479</v>
      </c>
      <c r="K22" s="20">
        <f>Настройки!M13</f>
        <v>45480</v>
      </c>
      <c r="L22" s="20">
        <f>Настройки!N13</f>
        <v>45481</v>
      </c>
      <c r="M22" s="20">
        <f>Настройки!O13</f>
        <v>45482</v>
      </c>
      <c r="N22" s="20">
        <f>Настройки!P13</f>
        <v>45483</v>
      </c>
      <c r="O22" s="20">
        <f>Настройки!Q13</f>
        <v>45484</v>
      </c>
      <c r="P22" s="20">
        <f>Настройки!R13</f>
        <v>45485</v>
      </c>
      <c r="Q22" s="20">
        <f>Настройки!S13</f>
        <v>45486</v>
      </c>
      <c r="R22" s="20">
        <f>Настройки!T13</f>
        <v>45487</v>
      </c>
      <c r="S22" s="20">
        <f>Настройки!U13</f>
        <v>45488</v>
      </c>
      <c r="T22" s="20">
        <f>Настройки!V13</f>
        <v>45489</v>
      </c>
      <c r="U22" s="20">
        <f>Настройки!W13</f>
        <v>45490</v>
      </c>
      <c r="V22" s="20">
        <f>Настройки!X13</f>
        <v>45491</v>
      </c>
      <c r="W22" s="20">
        <f>Настройки!Y13</f>
        <v>45492</v>
      </c>
      <c r="X22" s="20">
        <f>Настройки!Z13</f>
        <v>45493</v>
      </c>
      <c r="Y22" s="20">
        <f>Настройки!AA13</f>
        <v>45494</v>
      </c>
      <c r="Z22" s="20">
        <f>Настройки!AB13</f>
        <v>45495</v>
      </c>
      <c r="AA22" s="20">
        <f>Настройки!AC13</f>
        <v>45496</v>
      </c>
      <c r="AB22" s="20">
        <f>Настройки!AD13</f>
        <v>45497</v>
      </c>
      <c r="AC22" s="20">
        <f>Настройки!AE13</f>
        <v>45498</v>
      </c>
      <c r="AD22" s="20">
        <f>Настройки!AF13</f>
        <v>45499</v>
      </c>
      <c r="AE22" s="20">
        <f>Настройки!AG13</f>
        <v>45500</v>
      </c>
      <c r="AF22" s="20">
        <f>Настройки!AH13</f>
        <v>45501</v>
      </c>
      <c r="AG22" s="20">
        <f>Настройки!AI13</f>
        <v>45502</v>
      </c>
      <c r="AH22" s="20">
        <f>Настройки!AJ13</f>
        <v>45503</v>
      </c>
      <c r="AI22" s="20">
        <f>Настройки!AK13</f>
        <v>45504</v>
      </c>
      <c r="AJ22" s="63"/>
      <c r="AK22" s="65"/>
    </row>
    <row r="23" spans="1:37" x14ac:dyDescent="0.25">
      <c r="A23" s="73"/>
      <c r="B23" s="73"/>
      <c r="C23" s="74"/>
      <c r="D23" s="76"/>
      <c r="E23" s="73" t="s">
        <v>54</v>
      </c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9"/>
      <c r="AJ23" s="63"/>
      <c r="AK23" s="65"/>
    </row>
    <row r="24" spans="1:37" x14ac:dyDescent="0.25">
      <c r="A24" s="73"/>
      <c r="B24" s="73"/>
      <c r="C24" s="74"/>
      <c r="D24" s="76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9"/>
      <c r="AJ24" s="63"/>
      <c r="AK24" s="66"/>
    </row>
    <row r="25" spans="1:37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IF(Июль[[#This Row],[№]]=1,SUM(Июль[[#This Row],[1]:[31]])+SUM(OFFSET(Июль[[#This Row],[1]:[31]],1,0))+SUM(OFFSET(Июль[[#This Row],[1]:[31]],2,0)),"")</f>
        <v>0</v>
      </c>
      <c r="AK26" s="5">
        <f ca="1">IF(Июль[[#This Row],[УСЛУГ]]&lt;&gt;"",Июль[[#This Row],[УСЛУГ]]*Июль[[#This Row],[Объем]],"")</f>
        <v>0</v>
      </c>
    </row>
    <row r="27" spans="1:37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IF(Июль[[#This Row],[№]]=1,SUM(Июль[[#This Row],[1]:[31]])+SUM(OFFSET(Июль[[#This Row],[1]:[31]],1,0))+SUM(OFFSET(Июль[[#This Row],[1]:[31]],2,0)),"")</f>
        <v/>
      </c>
      <c r="AK27" s="5" t="str">
        <f ca="1">IF(Июль[[#This Row],[УСЛУГ]]&lt;&gt;"",Июль[[#This Row],[УСЛУГ]]*Июль[[#This Row],[Объем]],"")</f>
        <v/>
      </c>
    </row>
    <row r="28" spans="1:37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IF(Июль[[#This Row],[№]]=1,SUM(Июль[[#This Row],[1]:[31]])+SUM(OFFSET(Июль[[#This Row],[1]:[31]],1,0))+SUM(OFFSET(Июль[[#This Row],[1]:[31]],2,0)),"")</f>
        <v/>
      </c>
      <c r="AK28" s="5" t="str">
        <f ca="1">IF(Июль[[#This Row],[УСЛУГ]]&lt;&gt;"",Июль[[#This Row],[УСЛУГ]]*Июль[[#This Row],[Объем]],"")</f>
        <v/>
      </c>
    </row>
  </sheetData>
  <mergeCells count="20">
    <mergeCell ref="A2:AJ2"/>
    <mergeCell ref="A3:AJ3"/>
    <mergeCell ref="J4:L4"/>
    <mergeCell ref="M4:U4"/>
    <mergeCell ref="M5:Q5"/>
    <mergeCell ref="E20:AI21"/>
    <mergeCell ref="E23:AI24"/>
    <mergeCell ref="AK7:AK11"/>
    <mergeCell ref="A20:A24"/>
    <mergeCell ref="B20:C24"/>
    <mergeCell ref="D20:D24"/>
    <mergeCell ref="AJ20:AJ24"/>
    <mergeCell ref="AK20:AK24"/>
    <mergeCell ref="A7:A11"/>
    <mergeCell ref="B7:B11"/>
    <mergeCell ref="C7:C11"/>
    <mergeCell ref="D7:D11"/>
    <mergeCell ref="AJ7:AJ11"/>
    <mergeCell ref="E10:AI11"/>
    <mergeCell ref="E7:AI8"/>
  </mergeCells>
  <conditionalFormatting sqref="E9:AI9">
    <cfRule type="expression" dxfId="657" priority="3">
      <formula>WEEKDAY(E9:AI9,2)&gt;5</formula>
    </cfRule>
  </conditionalFormatting>
  <conditionalFormatting sqref="E22:AI22">
    <cfRule type="expression" dxfId="656" priority="1">
      <formula>WEEKDAY(E22:AI22,2)&gt;5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AI13:AK13 E13 B13:B18 E16:E17 AI16:AK17 AJ14:AK14 AJ15:AK15 E14:AI15" calculatedColumn="1"/>
  </ignoredErrors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7" tint="0.39997558519241921"/>
    <pageSetUpPr fitToPage="1"/>
  </sheetPr>
  <dimension ref="A2:AF36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72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Настройки!G13</f>
        <v>45474</v>
      </c>
      <c r="C10" s="29">
        <f>Настройки!H13</f>
        <v>45475</v>
      </c>
      <c r="D10" s="29">
        <f>Настройки!I13</f>
        <v>45476</v>
      </c>
      <c r="E10" s="29">
        <f>Настройки!J13</f>
        <v>45477</v>
      </c>
      <c r="F10" s="29">
        <f>Настройки!K13</f>
        <v>45478</v>
      </c>
      <c r="G10" s="29">
        <f>Настройки!L13</f>
        <v>45479</v>
      </c>
      <c r="H10" s="29">
        <f>Настройки!M13</f>
        <v>45480</v>
      </c>
      <c r="I10" s="29">
        <f>Настройки!N13</f>
        <v>45481</v>
      </c>
      <c r="J10" s="29">
        <f>Настройки!O13</f>
        <v>45482</v>
      </c>
      <c r="K10" s="29">
        <f>Настройки!P13</f>
        <v>45483</v>
      </c>
      <c r="L10" s="29">
        <f>Настройки!Q13</f>
        <v>45484</v>
      </c>
      <c r="M10" s="29">
        <f>Настройки!R13</f>
        <v>45485</v>
      </c>
      <c r="N10" s="29">
        <f>Настройки!S13</f>
        <v>45486</v>
      </c>
      <c r="O10" s="29">
        <f>Настройки!T13</f>
        <v>45487</v>
      </c>
      <c r="P10" s="29">
        <f>Настройки!U13</f>
        <v>45488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IF(Настройки!J2&lt;&gt;"",TEXT(MIN(Настройки!G72:AK72,Настройки!J2),"ч:мм")&amp;"-"&amp;TEXT(MAX(Настройки!G72:AK72,Настройки!J2)+TIME(0,MAX(Июль!E13:AI13),0),"ч:мм"),"")</f>
        <v>9:00-9:00</v>
      </c>
      <c r="B14" s="30" t="str">
        <f>IF(TEXT(IF(Настройки!G72="",TEXT(Настройки!$J2,"ч:мм"),TEXT(Настройки!G72,"ч:мм"))+TIME(0,Июль!E13,0),"ч::мм")=TEXT(IF(Настройки!G72="",TEXT(Настройки!$J2,"ч:мм"),TEXT(Настройки!G72,"ч:мм")),"ч:мм"),"",TEXT(IF(Настройки!G72="",TEXT(Настройки!$J2,"ч:мм"),TEXT(Настройки!G72,"ч:мм")),"ч:мм")&amp;"-"&amp;TEXT(IF(Настройки!G72="",TEXT(Настройки!$J2,"ч:мм"),TEXT(Настройки!G72,"ч:мм"))+TIME(0,Июль!E13,0),"ч::мм"))</f>
        <v/>
      </c>
      <c r="C14" s="30" t="str">
        <f>IF(TEXT(IF(Настройки!H72="",TEXT(Настройки!$J2,"ч:мм"),TEXT(Настройки!H72,"ч:мм"))+TIME(0,Июль!F13,0),"ч::мм")=TEXT(IF(Настройки!H72="",TEXT(Настройки!$J2,"ч:мм"),TEXT(Настройки!H72,"ч:мм")),"ч:мм"),"",TEXT(IF(Настройки!H72="",TEXT(Настройки!$J2,"ч:мм"),TEXT(Настройки!H72,"ч:мм")),"ч:мм")&amp;"-"&amp;TEXT(IF(Настройки!H72="",TEXT(Настройки!$J2,"ч:мм"),TEXT(Настройки!H72,"ч:мм"))+TIME(0,Июль!F13,0),"ч::мм"))</f>
        <v/>
      </c>
      <c r="D14" s="30" t="str">
        <f>IF(TEXT(IF(Настройки!I72="",TEXT(Настройки!$J2,"ч:мм"),TEXT(Настройки!I72,"ч:мм"))+TIME(0,Июль!G13,0),"ч::мм")=TEXT(IF(Настройки!I72="",TEXT(Настройки!$J2,"ч:мм"),TEXT(Настройки!I72,"ч:мм")),"ч:мм"),"",TEXT(IF(Настройки!I72="",TEXT(Настройки!$J2,"ч:мм"),TEXT(Настройки!I72,"ч:мм")),"ч:мм")&amp;"-"&amp;TEXT(IF(Настройки!I72="",TEXT(Настройки!$J2,"ч:мм"),TEXT(Настройки!I72,"ч:мм"))+TIME(0,Июль!G13,0),"ч::мм"))</f>
        <v/>
      </c>
      <c r="E14" s="30" t="str">
        <f>IF(TEXT(IF(Настройки!J72="",TEXT(Настройки!$J2,"ч:мм"),TEXT(Настройки!J72,"ч:мм"))+TIME(0,Июль!H13,0),"ч::мм")=TEXT(IF(Настройки!J72="",TEXT(Настройки!$J2,"ч:мм"),TEXT(Настройки!J72,"ч:мм")),"ч:мм"),"",TEXT(IF(Настройки!J72="",TEXT(Настройки!$J2,"ч:мм"),TEXT(Настройки!J72,"ч:мм")),"ч:мм")&amp;"-"&amp;TEXT(IF(Настройки!J72="",TEXT(Настройки!$J2,"ч:мм"),TEXT(Настройки!J72,"ч:мм"))+TIME(0,Июль!H13,0),"ч::мм"))</f>
        <v/>
      </c>
      <c r="F14" s="30" t="str">
        <f>IF(TEXT(IF(Настройки!K72="",TEXT(Настройки!$J2,"ч:мм"),TEXT(Настройки!K72,"ч:мм"))+TIME(0,Июль!I13,0),"ч::мм")=TEXT(IF(Настройки!K72="",TEXT(Настройки!$J2,"ч:мм"),TEXT(Настройки!K72,"ч:мм")),"ч:мм"),"",TEXT(IF(Настройки!K72="",TEXT(Настройки!$J2,"ч:мм"),TEXT(Настройки!K72,"ч:мм")),"ч:мм")&amp;"-"&amp;TEXT(IF(Настройки!K72="",TEXT(Настройки!$J2,"ч:мм"),TEXT(Настройки!K72,"ч:мм"))+TIME(0,Июль!I13,0),"ч::мм"))</f>
        <v/>
      </c>
      <c r="G14" s="30" t="str">
        <f>IF(TEXT(IF(Настройки!L72="",TEXT(Настройки!$J2,"ч:мм"),TEXT(Настройки!L72,"ч:мм"))+TIME(0,Июль!J13,0),"ч::мм")=TEXT(IF(Настройки!L72="",TEXT(Настройки!$J2,"ч:мм"),TEXT(Настройки!L72,"ч:мм")),"ч:мм"),"",TEXT(IF(Настройки!L72="",TEXT(Настройки!$J2,"ч:мм"),TEXT(Настройки!L72,"ч:мм")),"ч:мм")&amp;"-"&amp;TEXT(IF(Настройки!L72="",TEXT(Настройки!$J2,"ч:мм"),TEXT(Настройки!L72,"ч:мм"))+TIME(0,Июль!J13,0),"ч::мм"))</f>
        <v/>
      </c>
      <c r="H14" s="30" t="str">
        <f>IF(TEXT(IF(Настройки!M72="",TEXT(Настройки!$J2,"ч:мм"),TEXT(Настройки!M72,"ч:мм"))+TIME(0,Июль!K13,0),"ч::мм")=TEXT(IF(Настройки!M72="",TEXT(Настройки!$J2,"ч:мм"),TEXT(Настройки!M72,"ч:мм")),"ч:мм"),"",TEXT(IF(Настройки!M72="",TEXT(Настройки!$J2,"ч:мм"),TEXT(Настройки!M72,"ч:мм")),"ч:мм")&amp;"-"&amp;TEXT(IF(Настройки!M72="",TEXT(Настройки!$J2,"ч:мм"),TEXT(Настройки!M72,"ч:мм"))+TIME(0,Июль!K13,0),"ч::мм"))</f>
        <v/>
      </c>
      <c r="I14" s="30" t="str">
        <f>IF(TEXT(IF(Настройки!N72="",TEXT(Настройки!$J2,"ч:мм"),TEXT(Настройки!N72,"ч:мм"))+TIME(0,Июль!L13,0),"ч::мм")=TEXT(IF(Настройки!N72="",TEXT(Настройки!$J2,"ч:мм"),TEXT(Настройки!N72,"ч:мм")),"ч:мм"),"",TEXT(IF(Настройки!N72="",TEXT(Настройки!$J2,"ч:мм"),TEXT(Настройки!N72,"ч:мм")),"ч:мм")&amp;"-"&amp;TEXT(IF(Настройки!N72="",TEXT(Настройки!$J2,"ч:мм"),TEXT(Настройки!N72,"ч:мм"))+TIME(0,Июль!L13,0),"ч::мм"))</f>
        <v/>
      </c>
      <c r="J14" s="30" t="str">
        <f>IF(TEXT(IF(Настройки!O72="",TEXT(Настройки!$J2,"ч:мм"),TEXT(Настройки!O72,"ч:мм"))+TIME(0,Июль!M13,0),"ч::мм")=TEXT(IF(Настройки!O72="",TEXT(Настройки!$J2,"ч:мм"),TEXT(Настройки!O72,"ч:мм")),"ч:мм"),"",TEXT(IF(Настройки!O72="",TEXT(Настройки!$J2,"ч:мм"),TEXT(Настройки!O72,"ч:мм")),"ч:мм")&amp;"-"&amp;TEXT(IF(Настройки!O72="",TEXT(Настройки!$J2,"ч:мм"),TEXT(Настройки!O72,"ч:мм"))+TIME(0,Июль!M13,0),"ч::мм"))</f>
        <v/>
      </c>
      <c r="K14" s="30" t="str">
        <f>IF(TEXT(IF(Настройки!P72="",TEXT(Настройки!$J2,"ч:мм"),TEXT(Настройки!P72,"ч:мм"))+TIME(0,Июль!N13,0),"ч::мм")=TEXT(IF(Настройки!P72="",TEXT(Настройки!$J2,"ч:мм"),TEXT(Настройки!P72,"ч:мм")),"ч:мм"),"",TEXT(IF(Настройки!P72="",TEXT(Настройки!$J2,"ч:мм"),TEXT(Настройки!P72,"ч:мм")),"ч:мм")&amp;"-"&amp;TEXT(IF(Настройки!P72="",TEXT(Настройки!$J2,"ч:мм"),TEXT(Настройки!P72,"ч:мм"))+TIME(0,Июль!N13,0),"ч::мм"))</f>
        <v/>
      </c>
      <c r="L14" s="30" t="str">
        <f>IF(TEXT(IF(Настройки!Q72="",TEXT(Настройки!$J2,"ч:мм"),TEXT(Настройки!Q72,"ч:мм"))+TIME(0,Июль!O13,0),"ч::мм")=TEXT(IF(Настройки!Q72="",TEXT(Настройки!$J2,"ч:мм"),TEXT(Настройки!Q72,"ч:мм")),"ч:мм"),"",TEXT(IF(Настройки!Q72="",TEXT(Настройки!$J2,"ч:мм"),TEXT(Настройки!Q72,"ч:мм")),"ч:мм")&amp;"-"&amp;TEXT(IF(Настройки!Q72="",TEXT(Настройки!$J2,"ч:мм"),TEXT(Настройки!Q72,"ч:мм"))+TIME(0,Июль!O13,0),"ч::мм"))</f>
        <v/>
      </c>
      <c r="M14" s="30" t="str">
        <f>IF(TEXT(IF(Настройки!R72="",TEXT(Настройки!$J2,"ч:мм"),TEXT(Настройки!R72,"ч:мм"))+TIME(0,Июль!P13,0),"ч::мм")=TEXT(IF(Настройки!R72="",TEXT(Настройки!$J2,"ч:мм"),TEXT(Настройки!R72,"ч:мм")),"ч:мм"),"",TEXT(IF(Настройки!R72="",TEXT(Настройки!$J2,"ч:мм"),TEXT(Настройки!R72,"ч:мм")),"ч:мм")&amp;"-"&amp;TEXT(IF(Настройки!R72="",TEXT(Настройки!$J2,"ч:мм"),TEXT(Настройки!R72,"ч:мм"))+TIME(0,Июль!P13,0),"ч::мм"))</f>
        <v/>
      </c>
      <c r="N14" s="30" t="str">
        <f>IF(TEXT(IF(Настройки!S72="",TEXT(Настройки!$J2,"ч:мм"),TEXT(Настройки!S72,"ч:мм"))+TIME(0,Июль!Q13,0),"ч::мм")=TEXT(IF(Настройки!S72="",TEXT(Настройки!$J2,"ч:мм"),TEXT(Настройки!S72,"ч:мм")),"ч:мм"),"",TEXT(IF(Настройки!S72="",TEXT(Настройки!$J2,"ч:мм"),TEXT(Настройки!S72,"ч:мм")),"ч:мм")&amp;"-"&amp;TEXT(IF(Настройки!S72="",TEXT(Настройки!$J2,"ч:мм"),TEXT(Настройки!S72,"ч:мм"))+TIME(0,Июль!Q13,0),"ч::мм"))</f>
        <v/>
      </c>
      <c r="O14" s="30" t="str">
        <f>IF(TEXT(IF(Настройки!T72="",TEXT(Настройки!$J2,"ч:мм"),TEXT(Настройки!T72,"ч:мм"))+TIME(0,Июль!R13,0),"ч::мм")=TEXT(IF(Настройки!T72="",TEXT(Настройки!$J2,"ч:мм"),TEXT(Настройки!T72,"ч:мм")),"ч:мм"),"",TEXT(IF(Настройки!T72="",TEXT(Настройки!$J2,"ч:мм"),TEXT(Настройки!T72,"ч:мм")),"ч:мм")&amp;"-"&amp;TEXT(IF(Настройки!T72="",TEXT(Настройки!$J2,"ч:мм"),TEXT(Настройки!T72,"ч:мм"))+TIME(0,Июль!R13,0),"ч::мм"))</f>
        <v/>
      </c>
      <c r="P14" s="30" t="str">
        <f>IF(TEXT(IF(Настройки!U72="",TEXT(Настройки!$J2,"ч:мм"),TEXT(Настройки!U72,"ч:мм"))+TIME(0,Июль!S13,0),"ч::мм")=TEXT(IF(Настройки!U72="",TEXT(Настройки!$J2,"ч:мм"),TEXT(Настройки!U72,"ч:мм")),"ч:мм"),"",TEXT(IF(Настройки!U72="",TEXT(Настройки!$J2,"ч:мм"),TEXT(Настройки!U72,"ч:мм")),"ч:мм")&amp;"-"&amp;TEXT(IF(Настройки!U72="",TEXT(Настройки!$J2,"ч:мм"),TEXT(Настройки!U72,"ч:мм"))+TIME(0,Июль!S13,0),"ч::мм"))</f>
        <v/>
      </c>
      <c r="R14" s="30"/>
    </row>
    <row r="15" spans="1:32" x14ac:dyDescent="0.25">
      <c r="A15" s="32" t="str">
        <f ca="1">IF(Настройки!J3&lt;&gt;"",TEXT(MIN(Настройки!G73:AK73,Настройки!J3),"ч:мм")&amp;"-"&amp;TEXT(MAX(Настройки!G73:AK73,Настройки!J3)+TIME(0,MAX(Июль!E14:AI14),0),"ч:мм"),"")</f>
        <v>13:00-13:00</v>
      </c>
      <c r="B15" s="30" t="str">
        <f ca="1">IF(TEXT(IF(Настройки!G73="",TEXT(Настройки!$J3,"ч:мм"),TEXT(Настройки!G73,"ч:мм"))+TIME(0,Июль!E14,0),"ч::мм")=TEXT(IF(Настройки!G73="",TEXT(Настройки!$J3,"ч:мм"),TEXT(Настройки!G73,"ч:мм")),"ч:мм"),"",TEXT(IF(Настройки!G73="",TEXT(Настройки!$J3,"ч:мм"),TEXT(Настройки!G73,"ч:мм")),"ч:мм")&amp;"-"&amp;TEXT(IF(Настройки!G73="",TEXT(Настройки!$J3,"ч:мм"),TEXT(Настройки!G73,"ч:мм"))+TIME(0,Июль!E14,0),"ч::мм"))</f>
        <v/>
      </c>
      <c r="C15" s="30" t="str">
        <f ca="1">IF(TEXT(IF(Настройки!H73="",TEXT(Настройки!$J3,"ч:мм"),TEXT(Настройки!H73,"ч:мм"))+TIME(0,Июль!F14,0),"ч::мм")=TEXT(IF(Настройки!H73="",TEXT(Настройки!$J3,"ч:мм"),TEXT(Настройки!H73,"ч:мм")),"ч:мм"),"",TEXT(IF(Настройки!H73="",TEXT(Настройки!$J3,"ч:мм"),TEXT(Настройки!H73,"ч:мм")),"ч:мм")&amp;"-"&amp;TEXT(IF(Настройки!H73="",TEXT(Настройки!$J3,"ч:мм"),TEXT(Настройки!H73,"ч:мм"))+TIME(0,Июль!F14,0),"ч::мм"))</f>
        <v/>
      </c>
      <c r="D15" s="30" t="str">
        <f ca="1">IF(TEXT(IF(Настройки!I73="",TEXT(Настройки!$J3,"ч:мм"),TEXT(Настройки!I73,"ч:мм"))+TIME(0,Июль!G14,0),"ч::мм")=TEXT(IF(Настройки!I73="",TEXT(Настройки!$J3,"ч:мм"),TEXT(Настройки!I73,"ч:мм")),"ч:мм"),"",TEXT(IF(Настройки!I73="",TEXT(Настройки!$J3,"ч:мм"),TEXT(Настройки!I73,"ч:мм")),"ч:мм")&amp;"-"&amp;TEXT(IF(Настройки!I73="",TEXT(Настройки!$J3,"ч:мм"),TEXT(Настройки!I73,"ч:мм"))+TIME(0,Июль!G14,0),"ч::мм"))</f>
        <v/>
      </c>
      <c r="E15" s="30" t="str">
        <f ca="1">IF(TEXT(IF(Настройки!J73="",TEXT(Настройки!$J3,"ч:мм"),TEXT(Настройки!J73,"ч:мм"))+TIME(0,Июль!H14,0),"ч::мм")=TEXT(IF(Настройки!J73="",TEXT(Настройки!$J3,"ч:мм"),TEXT(Настройки!J73,"ч:мм")),"ч:мм"),"",TEXT(IF(Настройки!J73="",TEXT(Настройки!$J3,"ч:мм"),TEXT(Настройки!J73,"ч:мм")),"ч:мм")&amp;"-"&amp;TEXT(IF(Настройки!J73="",TEXT(Настройки!$J3,"ч:мм"),TEXT(Настройки!J73,"ч:мм"))+TIME(0,Июль!H14,0),"ч::мм"))</f>
        <v/>
      </c>
      <c r="F15" s="30" t="str">
        <f ca="1">IF(TEXT(IF(Настройки!K73="",TEXT(Настройки!$J3,"ч:мм"),TEXT(Настройки!K73,"ч:мм"))+TIME(0,Июль!I14,0),"ч::мм")=TEXT(IF(Настройки!K73="",TEXT(Настройки!$J3,"ч:мм"),TEXT(Настройки!K73,"ч:мм")),"ч:мм"),"",TEXT(IF(Настройки!K73="",TEXT(Настройки!$J3,"ч:мм"),TEXT(Настройки!K73,"ч:мм")),"ч:мм")&amp;"-"&amp;TEXT(IF(Настройки!K73="",TEXT(Настройки!$J3,"ч:мм"),TEXT(Настройки!K73,"ч:мм"))+TIME(0,Июль!I14,0),"ч::мм"))</f>
        <v/>
      </c>
      <c r="G15" s="30" t="str">
        <f ca="1">IF(TEXT(IF(Настройки!L73="",TEXT(Настройки!$J3,"ч:мм"),TEXT(Настройки!L73,"ч:мм"))+TIME(0,Июль!J14,0),"ч::мм")=TEXT(IF(Настройки!L73="",TEXT(Настройки!$J3,"ч:мм"),TEXT(Настройки!L73,"ч:мм")),"ч:мм"),"",TEXT(IF(Настройки!L73="",TEXT(Настройки!$J3,"ч:мм"),TEXT(Настройки!L73,"ч:мм")),"ч:мм")&amp;"-"&amp;TEXT(IF(Настройки!L73="",TEXT(Настройки!$J3,"ч:мм"),TEXT(Настройки!L73,"ч:мм"))+TIME(0,Июль!J14,0),"ч::мм"))</f>
        <v/>
      </c>
      <c r="H15" s="30" t="str">
        <f ca="1">IF(TEXT(IF(Настройки!M73="",TEXT(Настройки!$J3,"ч:мм"),TEXT(Настройки!M73,"ч:мм"))+TIME(0,Июль!K14,0),"ч::мм")=TEXT(IF(Настройки!M73="",TEXT(Настройки!$J3,"ч:мм"),TEXT(Настройки!M73,"ч:мм")),"ч:мм"),"",TEXT(IF(Настройки!M73="",TEXT(Настройки!$J3,"ч:мм"),TEXT(Настройки!M73,"ч:мм")),"ч:мм")&amp;"-"&amp;TEXT(IF(Настройки!M73="",TEXT(Настройки!$J3,"ч:мм"),TEXT(Настройки!M73,"ч:мм"))+TIME(0,Июль!K14,0),"ч::мм"))</f>
        <v/>
      </c>
      <c r="I15" s="30" t="str">
        <f ca="1">IF(TEXT(IF(Настройки!N73="",TEXT(Настройки!$J3,"ч:мм"),TEXT(Настройки!N73,"ч:мм"))+TIME(0,Июль!L14,0),"ч::мм")=TEXT(IF(Настройки!N73="",TEXT(Настройки!$J3,"ч:мм"),TEXT(Настройки!N73,"ч:мм")),"ч:мм"),"",TEXT(IF(Настройки!N73="",TEXT(Настройки!$J3,"ч:мм"),TEXT(Настройки!N73,"ч:мм")),"ч:мм")&amp;"-"&amp;TEXT(IF(Настройки!N73="",TEXT(Настройки!$J3,"ч:мм"),TEXT(Настройки!N73,"ч:мм"))+TIME(0,Июль!L14,0),"ч::мм"))</f>
        <v/>
      </c>
      <c r="J15" s="30" t="str">
        <f ca="1">IF(TEXT(IF(Настройки!O73="",TEXT(Настройки!$J3,"ч:мм"),TEXT(Настройки!O73,"ч:мм"))+TIME(0,Июль!M14,0),"ч::мм")=TEXT(IF(Настройки!O73="",TEXT(Настройки!$J3,"ч:мм"),TEXT(Настройки!O73,"ч:мм")),"ч:мм"),"",TEXT(IF(Настройки!O73="",TEXT(Настройки!$J3,"ч:мм"),TEXT(Настройки!O73,"ч:мм")),"ч:мм")&amp;"-"&amp;TEXT(IF(Настройки!O73="",TEXT(Настройки!$J3,"ч:мм"),TEXT(Настройки!O73,"ч:мм"))+TIME(0,Июль!M14,0),"ч::мм"))</f>
        <v/>
      </c>
      <c r="K15" s="30" t="str">
        <f ca="1">IF(TEXT(IF(Настройки!P73="",TEXT(Настройки!$J3,"ч:мм"),TEXT(Настройки!P73,"ч:мм"))+TIME(0,Июль!N14,0),"ч::мм")=TEXT(IF(Настройки!P73="",TEXT(Настройки!$J3,"ч:мм"),TEXT(Настройки!P73,"ч:мм")),"ч:мм"),"",TEXT(IF(Настройки!P73="",TEXT(Настройки!$J3,"ч:мм"),TEXT(Настройки!P73,"ч:мм")),"ч:мм")&amp;"-"&amp;TEXT(IF(Настройки!P73="",TEXT(Настройки!$J3,"ч:мм"),TEXT(Настройки!P73,"ч:мм"))+TIME(0,Июль!N14,0),"ч::мм"))</f>
        <v/>
      </c>
      <c r="L15" s="30" t="str">
        <f ca="1">IF(TEXT(IF(Настройки!Q73="",TEXT(Настройки!$J3,"ч:мм"),TEXT(Настройки!Q73,"ч:мм"))+TIME(0,Июль!O14,0),"ч::мм")=TEXT(IF(Настройки!Q73="",TEXT(Настройки!$J3,"ч:мм"),TEXT(Настройки!Q73,"ч:мм")),"ч:мм"),"",TEXT(IF(Настройки!Q73="",TEXT(Настройки!$J3,"ч:мм"),TEXT(Настройки!Q73,"ч:мм")),"ч:мм")&amp;"-"&amp;TEXT(IF(Настройки!Q73="",TEXT(Настройки!$J3,"ч:мм"),TEXT(Настройки!Q73,"ч:мм"))+TIME(0,Июль!O14,0),"ч::мм"))</f>
        <v/>
      </c>
      <c r="M15" s="30" t="str">
        <f ca="1">IF(TEXT(IF(Настройки!R73="",TEXT(Настройки!$J3,"ч:мм"),TEXT(Настройки!R73,"ч:мм"))+TIME(0,Июль!P14,0),"ч::мм")=TEXT(IF(Настройки!R73="",TEXT(Настройки!$J3,"ч:мм"),TEXT(Настройки!R73,"ч:мм")),"ч:мм"),"",TEXT(IF(Настройки!R73="",TEXT(Настройки!$J3,"ч:мм"),TEXT(Настройки!R73,"ч:мм")),"ч:мм")&amp;"-"&amp;TEXT(IF(Настройки!R73="",TEXT(Настройки!$J3,"ч:мм"),TEXT(Настройки!R73,"ч:мм"))+TIME(0,Июль!P14,0),"ч::мм"))</f>
        <v/>
      </c>
      <c r="N15" s="30" t="str">
        <f ca="1">IF(TEXT(IF(Настройки!S73="",TEXT(Настройки!$J3,"ч:мм"),TEXT(Настройки!S73,"ч:мм"))+TIME(0,Июль!Q14,0),"ч::мм")=TEXT(IF(Настройки!S73="",TEXT(Настройки!$J3,"ч:мм"),TEXT(Настройки!S73,"ч:мм")),"ч:мм"),"",TEXT(IF(Настройки!S73="",TEXT(Настройки!$J3,"ч:мм"),TEXT(Настройки!S73,"ч:мм")),"ч:мм")&amp;"-"&amp;TEXT(IF(Настройки!S73="",TEXT(Настройки!$J3,"ч:мм"),TEXT(Настройки!S73,"ч:мм"))+TIME(0,Июль!Q14,0),"ч::мм"))</f>
        <v/>
      </c>
      <c r="O15" s="30" t="str">
        <f ca="1">IF(TEXT(IF(Настройки!T73="",TEXT(Настройки!$J3,"ч:мм"),TEXT(Настройки!T73,"ч:мм"))+TIME(0,Июль!R14,0),"ч::мм")=TEXT(IF(Настройки!T73="",TEXT(Настройки!$J3,"ч:мм"),TEXT(Настройки!T73,"ч:мм")),"ч:мм"),"",TEXT(IF(Настройки!T73="",TEXT(Настройки!$J3,"ч:мм"),TEXT(Настройки!T73,"ч:мм")),"ч:мм")&amp;"-"&amp;TEXT(IF(Настройки!T73="",TEXT(Настройки!$J3,"ч:мм"),TEXT(Настройки!T73,"ч:мм"))+TIME(0,Июль!R14,0),"ч::мм"))</f>
        <v/>
      </c>
      <c r="P15" s="30" t="str">
        <f ca="1">IF(TEXT(IF(Настройки!U73="",TEXT(Настройки!$J3,"ч:мм"),TEXT(Настройки!U73,"ч:мм"))+TIME(0,Июль!S14,0),"ч::мм")=TEXT(IF(Настройки!U73="",TEXT(Настройки!$J3,"ч:мм"),TEXT(Настройки!U73,"ч:мм")),"ч:мм"),"",TEXT(IF(Настройки!U73="",TEXT(Настройки!$J3,"ч:мм"),TEXT(Настройки!U73,"ч:мм")),"ч:мм")&amp;"-"&amp;TEXT(IF(Настройки!U73="",TEXT(Настройки!$J3,"ч:мм"),TEXT(Настройки!U73,"ч:мм"))+TIME(0,Июль!S14,0),"ч::мм"))</f>
        <v/>
      </c>
      <c r="S15" s="30"/>
    </row>
    <row r="16" spans="1:32" x14ac:dyDescent="0.25">
      <c r="A16" s="32" t="str">
        <f ca="1">IF(Настройки!J4&lt;&gt;"",TEXT(MIN(Настройки!G74:AK74,Настройки!J4),"ч:мм")&amp;"-"&amp;TEXT(MAX(Настройки!G74:AK74,Настройки!J4)+TIME(0,MAX(Июль!E15:AI15),0),"ч:мм"),"")</f>
        <v>16:00-16:00</v>
      </c>
      <c r="B16" s="30" t="str">
        <f ca="1">IF(TEXT(IF(Настройки!G74="",TEXT(Настройки!$J4,"ч:мм"),TEXT(Настройки!G74,"ч:мм"))+TIME(0,Июль!E15,0),"ч::мм")=TEXT(IF(Настройки!G74="",TEXT(Настройки!$J4,"ч:мм"),TEXT(Настройки!G74,"ч:мм")),"ч:мм"),"",TEXT(IF(Настройки!G74="",TEXT(Настройки!$J4,"ч:мм"),TEXT(Настройки!G74,"ч:мм")),"ч:мм")&amp;"-"&amp;TEXT(IF(Настройки!G74="",TEXT(Настройки!$J4,"ч:мм"),TEXT(Настройки!G74,"ч:мм"))+TIME(0,Июль!E15,0),"ч::мм"))</f>
        <v/>
      </c>
      <c r="C16" s="30" t="str">
        <f ca="1">IF(TEXT(IF(Настройки!H74="",TEXT(Настройки!$J4,"ч:мм"),TEXT(Настройки!H74,"ч:мм"))+TIME(0,Июль!F15,0),"ч::мм")=TEXT(IF(Настройки!H74="",TEXT(Настройки!$J4,"ч:мм"),TEXT(Настройки!H74,"ч:мм")),"ч:мм"),"",TEXT(IF(Настройки!H74="",TEXT(Настройки!$J4,"ч:мм"),TEXT(Настройки!H74,"ч:мм")),"ч:мм")&amp;"-"&amp;TEXT(IF(Настройки!H74="",TEXT(Настройки!$J4,"ч:мм"),TEXT(Настройки!H74,"ч:мм"))+TIME(0,Июль!F15,0),"ч::мм"))</f>
        <v/>
      </c>
      <c r="D16" s="30" t="str">
        <f ca="1">IF(TEXT(IF(Настройки!I74="",TEXT(Настройки!$J4,"ч:мм"),TEXT(Настройки!I74,"ч:мм"))+TIME(0,Июль!G15,0),"ч::мм")=TEXT(IF(Настройки!I74="",TEXT(Настройки!$J4,"ч:мм"),TEXT(Настройки!I74,"ч:мм")),"ч:мм"),"",TEXT(IF(Настройки!I74="",TEXT(Настройки!$J4,"ч:мм"),TEXT(Настройки!I74,"ч:мм")),"ч:мм")&amp;"-"&amp;TEXT(IF(Настройки!I74="",TEXT(Настройки!$J4,"ч:мм"),TEXT(Настройки!I74,"ч:мм"))+TIME(0,Июль!G15,0),"ч::мм"))</f>
        <v/>
      </c>
      <c r="E16" s="30" t="str">
        <f ca="1">IF(TEXT(IF(Настройки!J74="",TEXT(Настройки!$J4,"ч:мм"),TEXT(Настройки!J74,"ч:мм"))+TIME(0,Июль!H15,0),"ч::мм")=TEXT(IF(Настройки!J74="",TEXT(Настройки!$J4,"ч:мм"),TEXT(Настройки!J74,"ч:мм")),"ч:мм"),"",TEXT(IF(Настройки!J74="",TEXT(Настройки!$J4,"ч:мм"),TEXT(Настройки!J74,"ч:мм")),"ч:мм")&amp;"-"&amp;TEXT(IF(Настройки!J74="",TEXT(Настройки!$J4,"ч:мм"),TEXT(Настройки!J74,"ч:мм"))+TIME(0,Июль!H15,0),"ч::мм"))</f>
        <v/>
      </c>
      <c r="F16" s="30" t="str">
        <f ca="1">IF(TEXT(IF(Настройки!K74="",TEXT(Настройки!$J4,"ч:мм"),TEXT(Настройки!K74,"ч:мм"))+TIME(0,Июль!I15,0),"ч::мм")=TEXT(IF(Настройки!K74="",TEXT(Настройки!$J4,"ч:мм"),TEXT(Настройки!K74,"ч:мм")),"ч:мм"),"",TEXT(IF(Настройки!K74="",TEXT(Настройки!$J4,"ч:мм"),TEXT(Настройки!K74,"ч:мм")),"ч:мм")&amp;"-"&amp;TEXT(IF(Настройки!K74="",TEXT(Настройки!$J4,"ч:мм"),TEXT(Настройки!K74,"ч:мм"))+TIME(0,Июль!I15,0),"ч::мм"))</f>
        <v/>
      </c>
      <c r="G16" s="30" t="str">
        <f ca="1">IF(TEXT(IF(Настройки!L74="",TEXT(Настройки!$J4,"ч:мм"),TEXT(Настройки!L74,"ч:мм"))+TIME(0,Июль!J15,0),"ч::мм")=TEXT(IF(Настройки!L74="",TEXT(Настройки!$J4,"ч:мм"),TEXT(Настройки!L74,"ч:мм")),"ч:мм"),"",TEXT(IF(Настройки!L74="",TEXT(Настройки!$J4,"ч:мм"),TEXT(Настройки!L74,"ч:мм")),"ч:мм")&amp;"-"&amp;TEXT(IF(Настройки!L74="",TEXT(Настройки!$J4,"ч:мм"),TEXT(Настройки!L74,"ч:мм"))+TIME(0,Июль!J15,0),"ч::мм"))</f>
        <v/>
      </c>
      <c r="H16" s="30" t="str">
        <f ca="1">IF(TEXT(IF(Настройки!M74="",TEXT(Настройки!$J4,"ч:мм"),TEXT(Настройки!M74,"ч:мм"))+TIME(0,Июль!K15,0),"ч::мм")=TEXT(IF(Настройки!M74="",TEXT(Настройки!$J4,"ч:мм"),TEXT(Настройки!M74,"ч:мм")),"ч:мм"),"",TEXT(IF(Настройки!M74="",TEXT(Настройки!$J4,"ч:мм"),TEXT(Настройки!M74,"ч:мм")),"ч:мм")&amp;"-"&amp;TEXT(IF(Настройки!M74="",TEXT(Настройки!$J4,"ч:мм"),TEXT(Настройки!M74,"ч:мм"))+TIME(0,Июль!K15,0),"ч::мм"))</f>
        <v/>
      </c>
      <c r="I16" s="30" t="str">
        <f ca="1">IF(TEXT(IF(Настройки!N74="",TEXT(Настройки!$J4,"ч:мм"),TEXT(Настройки!N74,"ч:мм"))+TIME(0,Июль!L15,0),"ч::мм")=TEXT(IF(Настройки!N74="",TEXT(Настройки!$J4,"ч:мм"),TEXT(Настройки!N74,"ч:мм")),"ч:мм"),"",TEXT(IF(Настройки!N74="",TEXT(Настройки!$J4,"ч:мм"),TEXT(Настройки!N74,"ч:мм")),"ч:мм")&amp;"-"&amp;TEXT(IF(Настройки!N74="",TEXT(Настройки!$J4,"ч:мм"),TEXT(Настройки!N74,"ч:мм"))+TIME(0,Июль!L15,0),"ч::мм"))</f>
        <v/>
      </c>
      <c r="J16" s="30" t="str">
        <f ca="1">IF(TEXT(IF(Настройки!O74="",TEXT(Настройки!$J4,"ч:мм"),TEXT(Настройки!O74,"ч:мм"))+TIME(0,Июль!M15,0),"ч::мм")=TEXT(IF(Настройки!O74="",TEXT(Настройки!$J4,"ч:мм"),TEXT(Настройки!O74,"ч:мм")),"ч:мм"),"",TEXT(IF(Настройки!O74="",TEXT(Настройки!$J4,"ч:мм"),TEXT(Настройки!O74,"ч:мм")),"ч:мм")&amp;"-"&amp;TEXT(IF(Настройки!O74="",TEXT(Настройки!$J4,"ч:мм"),TEXT(Настройки!O74,"ч:мм"))+TIME(0,Июль!M15,0),"ч::мм"))</f>
        <v/>
      </c>
      <c r="K16" s="30" t="str">
        <f ca="1">IF(TEXT(IF(Настройки!P74="",TEXT(Настройки!$J4,"ч:мм"),TEXT(Настройки!P74,"ч:мм"))+TIME(0,Июль!N15,0),"ч::мм")=TEXT(IF(Настройки!P74="",TEXT(Настройки!$J4,"ч:мм"),TEXT(Настройки!P74,"ч:мм")),"ч:мм"),"",TEXT(IF(Настройки!P74="",TEXT(Настройки!$J4,"ч:мм"),TEXT(Настройки!P74,"ч:мм")),"ч:мм")&amp;"-"&amp;TEXT(IF(Настройки!P74="",TEXT(Настройки!$J4,"ч:мм"),TEXT(Настройки!P74,"ч:мм"))+TIME(0,Июль!N15,0),"ч::мм"))</f>
        <v/>
      </c>
      <c r="L16" s="30" t="str">
        <f ca="1">IF(TEXT(IF(Настройки!Q74="",TEXT(Настройки!$J4,"ч:мм"),TEXT(Настройки!Q74,"ч:мм"))+TIME(0,Июль!O15,0),"ч::мм")=TEXT(IF(Настройки!Q74="",TEXT(Настройки!$J4,"ч:мм"),TEXT(Настройки!Q74,"ч:мм")),"ч:мм"),"",TEXT(IF(Настройки!Q74="",TEXT(Настройки!$J4,"ч:мм"),TEXT(Настройки!Q74,"ч:мм")),"ч:мм")&amp;"-"&amp;TEXT(IF(Настройки!Q74="",TEXT(Настройки!$J4,"ч:мм"),TEXT(Настройки!Q74,"ч:мм"))+TIME(0,Июль!O15,0),"ч::мм"))</f>
        <v/>
      </c>
      <c r="M16" s="30" t="str">
        <f ca="1">IF(TEXT(IF(Настройки!R74="",TEXT(Настройки!$J4,"ч:мм"),TEXT(Настройки!R74,"ч:мм"))+TIME(0,Июль!P15,0),"ч::мм")=TEXT(IF(Настройки!R74="",TEXT(Настройки!$J4,"ч:мм"),TEXT(Настройки!R74,"ч:мм")),"ч:мм"),"",TEXT(IF(Настройки!R74="",TEXT(Настройки!$J4,"ч:мм"),TEXT(Настройки!R74,"ч:мм")),"ч:мм")&amp;"-"&amp;TEXT(IF(Настройки!R74="",TEXT(Настройки!$J4,"ч:мм"),TEXT(Настройки!R74,"ч:мм"))+TIME(0,Июль!P15,0),"ч::мм"))</f>
        <v/>
      </c>
      <c r="N16" s="30" t="str">
        <f ca="1">IF(TEXT(IF(Настройки!S74="",TEXT(Настройки!$J4,"ч:мм"),TEXT(Настройки!S74,"ч:мм"))+TIME(0,Июль!Q15,0),"ч::мм")=TEXT(IF(Настройки!S74="",TEXT(Настройки!$J4,"ч:мм"),TEXT(Настройки!S74,"ч:мм")),"ч:мм"),"",TEXT(IF(Настройки!S74="",TEXT(Настройки!$J4,"ч:мм"),TEXT(Настройки!S74,"ч:мм")),"ч:мм")&amp;"-"&amp;TEXT(IF(Настройки!S74="",TEXT(Настройки!$J4,"ч:мм"),TEXT(Настройки!S74,"ч:мм"))+TIME(0,Июль!Q15,0),"ч::мм"))</f>
        <v/>
      </c>
      <c r="O16" s="30" t="str">
        <f ca="1">IF(TEXT(IF(Настройки!T74="",TEXT(Настройки!$J4,"ч:мм"),TEXT(Настройки!T74,"ч:мм"))+TIME(0,Июль!R15,0),"ч::мм")=TEXT(IF(Настройки!T74="",TEXT(Настройки!$J4,"ч:мм"),TEXT(Настройки!T74,"ч:мм")),"ч:мм"),"",TEXT(IF(Настройки!T74="",TEXT(Настройки!$J4,"ч:мм"),TEXT(Настройки!T74,"ч:мм")),"ч:мм")&amp;"-"&amp;TEXT(IF(Настройки!T74="",TEXT(Настройки!$J4,"ч:мм"),TEXT(Настройки!T74,"ч:мм"))+TIME(0,Июль!R15,0),"ч::мм"))</f>
        <v/>
      </c>
      <c r="P16" s="30" t="str">
        <f ca="1">IF(TEXT(IF(Настройки!U74="",TEXT(Настройки!$J4,"ч:мм"),TEXT(Настройки!U74,"ч:мм"))+TIME(0,Июль!S15,0),"ч::мм")=TEXT(IF(Настройки!U74="",TEXT(Настройки!$J4,"ч:мм"),TEXT(Настройки!U74,"ч:мм")),"ч:мм"),"",TEXT(IF(Настройки!U74="",TEXT(Настройки!$J4,"ч:мм"),TEXT(Настройки!U74,"ч:мм")),"ч:мм")&amp;"-"&amp;TEXT(IF(Настройки!U74="",TEXT(Настройки!$J4,"ч:мм"),TEXT(Настройки!U74,"ч:мм"))+TIME(0,Июль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Настройки!V13</f>
        <v>45489</v>
      </c>
      <c r="C20" s="29">
        <f>Настройки!W13</f>
        <v>45490</v>
      </c>
      <c r="D20" s="29">
        <f>Настройки!X13</f>
        <v>45491</v>
      </c>
      <c r="E20" s="29">
        <f>Настройки!Y13</f>
        <v>45492</v>
      </c>
      <c r="F20" s="29">
        <f>Настройки!Z13</f>
        <v>45493</v>
      </c>
      <c r="G20" s="29">
        <f>Настройки!AA13</f>
        <v>45494</v>
      </c>
      <c r="H20" s="29">
        <f>Настройки!AB13</f>
        <v>45495</v>
      </c>
      <c r="I20" s="29">
        <f>Настройки!AC13</f>
        <v>45496</v>
      </c>
      <c r="J20" s="29">
        <f>Настройки!AD13</f>
        <v>45497</v>
      </c>
      <c r="K20" s="29">
        <f>Настройки!AE13</f>
        <v>45498</v>
      </c>
      <c r="L20" s="29">
        <f>Настройки!AF13</f>
        <v>45499</v>
      </c>
      <c r="M20" s="29">
        <f>Настройки!AG13</f>
        <v>45500</v>
      </c>
      <c r="N20" s="29">
        <f>Настройки!AH13</f>
        <v>45501</v>
      </c>
      <c r="O20" s="29">
        <f>Настройки!AI13</f>
        <v>45502</v>
      </c>
      <c r="P20" s="29">
        <f>Настройки!AJ13</f>
        <v>45503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72="",TEXT(Настройки!$J2,"ч:мм"),TEXT(Настройки!V72,"ч:мм"))+TIME(0,Июль!T13,0),"ч::мм")=TEXT(IF(Настройки!V72="",TEXT(Настройки!$J2,"ч:мм"),TEXT(Настройки!V72,"ч:мм")),"ч:мм"),"",TEXT(IF(Настройки!V72="",TEXT(Настройки!$J2,"ч:мм"),TEXT(Настройки!V72,"ч:мм")),"ч:мм")&amp;"-"&amp;TEXT(IF(Настройки!V72="",TEXT(Настройки!$J2,"ч:мм"),TEXT(Настройки!V72,"ч:мм"))+TIME(0,Июль!T13,0),"ч::мм"))</f>
        <v/>
      </c>
      <c r="C24" s="3" t="str">
        <f>IF(TEXT(IF(Настройки!W72="",TEXT(Настройки!$J2,"ч:мм"),TEXT(Настройки!W72,"ч:мм"))+TIME(0,Июль!U13,0),"ч::мм")=TEXT(IF(Настройки!W72="",TEXT(Настройки!$J2,"ч:мм"),TEXT(Настройки!W72,"ч:мм")),"ч:мм"),"",TEXT(IF(Настройки!W72="",TEXT(Настройки!$J2,"ч:мм"),TEXT(Настройки!W72,"ч:мм")),"ч:мм")&amp;"-"&amp;TEXT(IF(Настройки!W72="",TEXT(Настройки!$J2,"ч:мм"),TEXT(Настройки!W72,"ч:мм"))+TIME(0,Июль!U13,0),"ч::мм"))</f>
        <v/>
      </c>
      <c r="D24" s="3" t="str">
        <f>IF(TEXT(IF(Настройки!X72="",TEXT(Настройки!$J2,"ч:мм"),TEXT(Настройки!X72,"ч:мм"))+TIME(0,Июль!V13,0),"ч::мм")=TEXT(IF(Настройки!X72="",TEXT(Настройки!$J2,"ч:мм"),TEXT(Настройки!X72,"ч:мм")),"ч:мм"),"",TEXT(IF(Настройки!X72="",TEXT(Настройки!$J2,"ч:мм"),TEXT(Настройки!X72,"ч:мм")),"ч:мм")&amp;"-"&amp;TEXT(IF(Настройки!X72="",TEXT(Настройки!$J2,"ч:мм"),TEXT(Настройки!X72,"ч:мм"))+TIME(0,Июль!V13,0),"ч::мм"))</f>
        <v/>
      </c>
      <c r="E24" s="3" t="str">
        <f>IF(TEXT(IF(Настройки!Y72="",TEXT(Настройки!$J2,"ч:мм"),TEXT(Настройки!Y72,"ч:мм"))+TIME(0,Июль!W13,0),"ч::мм")=TEXT(IF(Настройки!Y72="",TEXT(Настройки!$J2,"ч:мм"),TEXT(Настройки!Y72,"ч:мм")),"ч:мм"),"",TEXT(IF(Настройки!Y72="",TEXT(Настройки!$J2,"ч:мм"),TEXT(Настройки!Y72,"ч:мм")),"ч:мм")&amp;"-"&amp;TEXT(IF(Настройки!Y72="",TEXT(Настройки!$J2,"ч:мм"),TEXT(Настройки!Y72,"ч:мм"))+TIME(0,Июль!W13,0),"ч::мм"))</f>
        <v/>
      </c>
      <c r="F24" s="3" t="str">
        <f>IF(TEXT(IF(Настройки!Z72="",TEXT(Настройки!$J2,"ч:мм"),TEXT(Настройки!Z72,"ч:мм"))+TIME(0,Июль!X13,0),"ч::мм")=TEXT(IF(Настройки!Z72="",TEXT(Настройки!$J2,"ч:мм"),TEXT(Настройки!Z72,"ч:мм")),"ч:мм"),"",TEXT(IF(Настройки!Z72="",TEXT(Настройки!$J2,"ч:мм"),TEXT(Настройки!Z72,"ч:мм")),"ч:мм")&amp;"-"&amp;TEXT(IF(Настройки!Z72="",TEXT(Настройки!$J2,"ч:мм"),TEXT(Настройки!Z72,"ч:мм"))+TIME(0,Июль!X13,0),"ч::мм"))</f>
        <v/>
      </c>
      <c r="G24" s="3" t="str">
        <f>IF(TEXT(IF(Настройки!AA72="",TEXT(Настройки!$J2,"ч:мм"),TEXT(Настройки!AA72,"ч:мм"))+TIME(0,Июль!Y13,0),"ч::мм")=TEXT(IF(Настройки!AA72="",TEXT(Настройки!$J2,"ч:мм"),TEXT(Настройки!AA72,"ч:мм")),"ч:мм"),"",TEXT(IF(Настройки!AA72="",TEXT(Настройки!$J2,"ч:мм"),TEXT(Настройки!AA72,"ч:мм")),"ч:мм")&amp;"-"&amp;TEXT(IF(Настройки!AA72="",TEXT(Настройки!$J2,"ч:мм"),TEXT(Настройки!AA72,"ч:мм"))+TIME(0,Июль!Y13,0),"ч::мм"))</f>
        <v/>
      </c>
      <c r="H24" s="3" t="str">
        <f>IF(TEXT(IF(Настройки!AB72="",TEXT(Настройки!$J2,"ч:мм"),TEXT(Настройки!AB72,"ч:мм"))+TIME(0,Июль!Z13,0),"ч::мм")=TEXT(IF(Настройки!AB72="",TEXT(Настройки!$J2,"ч:мм"),TEXT(Настройки!AB72,"ч:мм")),"ч:мм"),"",TEXT(IF(Настройки!AB72="",TEXT(Настройки!$J2,"ч:мм"),TEXT(Настройки!AB72,"ч:мм")),"ч:мм")&amp;"-"&amp;TEXT(IF(Настройки!AB72="",TEXT(Настройки!$J2,"ч:мм"),TEXT(Настройки!AB72,"ч:мм"))+TIME(0,Июль!Z13,0),"ч::мм"))</f>
        <v/>
      </c>
      <c r="I24" s="3" t="str">
        <f>IF(TEXT(IF(Настройки!AC72="",TEXT(Настройки!$J2,"ч:мм"),TEXT(Настройки!AC72,"ч:мм"))+TIME(0,Июль!AA13,0),"ч::мм")=TEXT(IF(Настройки!AC72="",TEXT(Настройки!$J2,"ч:мм"),TEXT(Настройки!AC72,"ч:мм")),"ч:мм"),"",TEXT(IF(Настройки!AC72="",TEXT(Настройки!$J2,"ч:мм"),TEXT(Настройки!AC72,"ч:мм")),"ч:мм")&amp;"-"&amp;TEXT(IF(Настройки!AC72="",TEXT(Настройки!$J2,"ч:мм"),TEXT(Настройки!AC72,"ч:мм"))+TIME(0,Июль!AA13,0),"ч::мм"))</f>
        <v/>
      </c>
      <c r="J24" s="3" t="str">
        <f>IF(TEXT(IF(Настройки!AD72="",TEXT(Настройки!$J2,"ч:мм"),TEXT(Настройки!AD72,"ч:мм"))+TIME(0,Июль!AB13,0),"ч::мм")=TEXT(IF(Настройки!AD72="",TEXT(Настройки!$J2,"ч:мм"),TEXT(Настройки!AD72,"ч:мм")),"ч:мм"),"",TEXT(IF(Настройки!AD72="",TEXT(Настройки!$J2,"ч:мм"),TEXT(Настройки!AD72,"ч:мм")),"ч:мм")&amp;"-"&amp;TEXT(IF(Настройки!AD72="",TEXT(Настройки!$J2,"ч:мм"),TEXT(Настройки!AD72,"ч:мм"))+TIME(0,Июль!AB13,0),"ч::мм"))</f>
        <v/>
      </c>
      <c r="K24" s="3" t="str">
        <f>IF(TEXT(IF(Настройки!AE72="",TEXT(Настройки!$J2,"ч:мм"),TEXT(Настройки!AE72,"ч:мм"))+TIME(0,Июль!AC13,0),"ч::мм")=TEXT(IF(Настройки!AE72="",TEXT(Настройки!$J2,"ч:мм"),TEXT(Настройки!AE72,"ч:мм")),"ч:мм"),"",TEXT(IF(Настройки!AE72="",TEXT(Настройки!$J2,"ч:мм"),TEXT(Настройки!AE72,"ч:мм")),"ч:мм")&amp;"-"&amp;TEXT(IF(Настройки!AE72="",TEXT(Настройки!$J2,"ч:мм"),TEXT(Настройки!AE72,"ч:мм"))+TIME(0,Июль!AC13,0),"ч::мм"))</f>
        <v/>
      </c>
      <c r="L24" s="3" t="str">
        <f>IF(TEXT(IF(Настройки!AF72="",TEXT(Настройки!$J2,"ч:мм"),TEXT(Настройки!AF72,"ч:мм"))+TIME(0,Июль!AD13,0),"ч::мм")=TEXT(IF(Настройки!AF72="",TEXT(Настройки!$J2,"ч:мм"),TEXT(Настройки!AF72,"ч:мм")),"ч:мм"),"",TEXT(IF(Настройки!AF72="",TEXT(Настройки!$J2,"ч:мм"),TEXT(Настройки!AF72,"ч:мм")),"ч:мм")&amp;"-"&amp;TEXT(IF(Настройки!AF72="",TEXT(Настройки!$J2,"ч:мм"),TEXT(Настройки!AF72,"ч:мм"))+TIME(0,Июль!AD13,0),"ч::мм"))</f>
        <v/>
      </c>
      <c r="M24" s="3" t="str">
        <f>IF(TEXT(IF(Настройки!AG72="",TEXT(Настройки!$J2,"ч:мм"),TEXT(Настройки!AG72,"ч:мм"))+TIME(0,Июль!AE13,0),"ч::мм")=TEXT(IF(Настройки!AG72="",TEXT(Настройки!$J2,"ч:мм"),TEXT(Настройки!AG72,"ч:мм")),"ч:мм"),"",TEXT(IF(Настройки!AG72="",TEXT(Настройки!$J2,"ч:мм"),TEXT(Настройки!AG72,"ч:мм")),"ч:мм")&amp;"-"&amp;TEXT(IF(Настройки!AG72="",TEXT(Настройки!$J2,"ч:мм"),TEXT(Настройки!AG72,"ч:мм"))+TIME(0,Июль!AE13,0),"ч::мм"))</f>
        <v/>
      </c>
      <c r="N24" s="3" t="str">
        <f>IF(TEXT(IF(Настройки!AH72="",TEXT(Настройки!$J2,"ч:мм"),TEXT(Настройки!AH72,"ч:мм"))+TIME(0,Июль!AF13,0),"ч::мм")=TEXT(IF(Настройки!AH72="",TEXT(Настройки!$J2,"ч:мм"),TEXT(Настройки!AH72,"ч:мм")),"ч:мм"),"",TEXT(IF(Настройки!AH72="",TEXT(Настройки!$J2,"ч:мм"),TEXT(Настройки!AH72,"ч:мм")),"ч:мм")&amp;"-"&amp;TEXT(IF(Настройки!AH72="",TEXT(Настройки!$J2,"ч:мм"),TEXT(Настройки!AH72,"ч:мм"))+TIME(0,Июль!AF13,0),"ч::мм"))</f>
        <v/>
      </c>
      <c r="O24" s="3" t="str">
        <f>IF(TEXT(IF(Настройки!AI72="",TEXT(Настройки!$J2,"ч:мм"),TEXT(Настройки!AI72,"ч:мм"))+TIME(0,Июль!AG13,0),"ч::мм")=TEXT(IF(Настройки!AI72="",TEXT(Настройки!$J2,"ч:мм"),TEXT(Настройки!AI72,"ч:мм")),"ч:мм"),"",TEXT(IF(Настройки!AI72="",TEXT(Настройки!$J2,"ч:мм"),TEXT(Настройки!AI72,"ч:мм")),"ч:мм")&amp;"-"&amp;TEXT(IF(Настройки!AI72="",TEXT(Настройки!$J2,"ч:мм"),TEXT(Настройки!AI72,"ч:мм"))+TIME(0,Июль!AG13,0),"ч::мм"))</f>
        <v/>
      </c>
      <c r="P24" s="3" t="str">
        <f>IF(TEXT(IF(Настройки!AJ72="",TEXT(Настройки!$J2,"ч:мм"),TEXT(Настройки!AJ72,"ч:мм"))+TIME(0,Июль!AH13,0),"ч::мм")=TEXT(IF(Настройки!AJ72="",TEXT(Настройки!$J2,"ч:мм"),TEXT(Настройки!AJ72,"ч:мм")),"ч:мм"),"",TEXT(IF(Настройки!AJ72="",TEXT(Настройки!$J2,"ч:мм"),TEXT(Настройки!AJ72,"ч:мм")),"ч:мм")&amp;"-"&amp;TEXT(IF(Настройки!AJ72="",TEXT(Настройки!$J2,"ч:мм"),TEXT(Настройки!AJ72,"ч:мм"))+TIME(0,Июль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73="",TEXT(Настройки!$J3,"ч:мм"),TEXT(Настройки!V73,"ч:мм"))+TIME(0,Июль!T14,0),"ч::мм")=TEXT(IF(Настройки!V73="",TEXT(Настройки!$J3,"ч:мм"),TEXT(Настройки!V73,"ч:мм")),"ч:мм"),"",TEXT(IF(Настройки!V73="",TEXT(Настройки!$J3,"ч:мм"),TEXT(Настройки!V73,"ч:мм")),"ч:мм")&amp;"-"&amp;TEXT(IF(Настройки!V73="",TEXT(Настройки!$J3,"ч:мм"),TEXT(Настройки!V73,"ч:мм"))+TIME(0,Июль!T14,0),"ч::мм"))</f>
        <v/>
      </c>
      <c r="C25" s="3" t="str">
        <f ca="1">IF(TEXT(IF(Настройки!W73="",TEXT(Настройки!$J3,"ч:мм"),TEXT(Настройки!W73,"ч:мм"))+TIME(0,Июль!U14,0),"ч::мм")=TEXT(IF(Настройки!W73="",TEXT(Настройки!$J3,"ч:мм"),TEXT(Настройки!W73,"ч:мм")),"ч:мм"),"",TEXT(IF(Настройки!W73="",TEXT(Настройки!$J3,"ч:мм"),TEXT(Настройки!W73,"ч:мм")),"ч:мм")&amp;"-"&amp;TEXT(IF(Настройки!W73="",TEXT(Настройки!$J3,"ч:мм"),TEXT(Настройки!W73,"ч:мм"))+TIME(0,Июль!U14,0),"ч::мм"))</f>
        <v/>
      </c>
      <c r="D25" s="3" t="str">
        <f ca="1">IF(TEXT(IF(Настройки!X73="",TEXT(Настройки!$J3,"ч:мм"),TEXT(Настройки!X73,"ч:мм"))+TIME(0,Июль!V14,0),"ч::мм")=TEXT(IF(Настройки!X73="",TEXT(Настройки!$J3,"ч:мм"),TEXT(Настройки!X73,"ч:мм")),"ч:мм"),"",TEXT(IF(Настройки!X73="",TEXT(Настройки!$J3,"ч:мм"),TEXT(Настройки!X73,"ч:мм")),"ч:мм")&amp;"-"&amp;TEXT(IF(Настройки!X73="",TEXT(Настройки!$J3,"ч:мм"),TEXT(Настройки!X73,"ч:мм"))+TIME(0,Июль!V14,0),"ч::мм"))</f>
        <v/>
      </c>
      <c r="E25" s="3" t="str">
        <f ca="1">IF(TEXT(IF(Настройки!Y73="",TEXT(Настройки!$J3,"ч:мм"),TEXT(Настройки!Y73,"ч:мм"))+TIME(0,Июль!W14,0),"ч::мм")=TEXT(IF(Настройки!Y73="",TEXT(Настройки!$J3,"ч:мм"),TEXT(Настройки!Y73,"ч:мм")),"ч:мм"),"",TEXT(IF(Настройки!Y73="",TEXT(Настройки!$J3,"ч:мм"),TEXT(Настройки!Y73,"ч:мм")),"ч:мм")&amp;"-"&amp;TEXT(IF(Настройки!Y73="",TEXT(Настройки!$J3,"ч:мм"),TEXT(Настройки!Y73,"ч:мм"))+TIME(0,Июль!W14,0),"ч::мм"))</f>
        <v/>
      </c>
      <c r="F25" s="3" t="str">
        <f ca="1">IF(TEXT(IF(Настройки!Z73="",TEXT(Настройки!$J3,"ч:мм"),TEXT(Настройки!Z73,"ч:мм"))+TIME(0,Июль!X14,0),"ч::мм")=TEXT(IF(Настройки!Z73="",TEXT(Настройки!$J3,"ч:мм"),TEXT(Настройки!Z73,"ч:мм")),"ч:мм"),"",TEXT(IF(Настройки!Z73="",TEXT(Настройки!$J3,"ч:мм"),TEXT(Настройки!Z73,"ч:мм")),"ч:мм")&amp;"-"&amp;TEXT(IF(Настройки!Z73="",TEXT(Настройки!$J3,"ч:мм"),TEXT(Настройки!Z73,"ч:мм"))+TIME(0,Июль!X14,0),"ч::мм"))</f>
        <v/>
      </c>
      <c r="G25" s="3" t="str">
        <f ca="1">IF(TEXT(IF(Настройки!AA73="",TEXT(Настройки!$J3,"ч:мм"),TEXT(Настройки!AA73,"ч:мм"))+TIME(0,Июль!Y14,0),"ч::мм")=TEXT(IF(Настройки!AA73="",TEXT(Настройки!$J3,"ч:мм"),TEXT(Настройки!AA73,"ч:мм")),"ч:мм"),"",TEXT(IF(Настройки!AA73="",TEXT(Настройки!$J3,"ч:мм"),TEXT(Настройки!AA73,"ч:мм")),"ч:мм")&amp;"-"&amp;TEXT(IF(Настройки!AA73="",TEXT(Настройки!$J3,"ч:мм"),TEXT(Настройки!AA73,"ч:мм"))+TIME(0,Июль!Y14,0),"ч::мм"))</f>
        <v/>
      </c>
      <c r="H25" s="3" t="str">
        <f ca="1">IF(TEXT(IF(Настройки!AB73="",TEXT(Настройки!$J3,"ч:мм"),TEXT(Настройки!AB73,"ч:мм"))+TIME(0,Июль!Z14,0),"ч::мм")=TEXT(IF(Настройки!AB73="",TEXT(Настройки!$J3,"ч:мм"),TEXT(Настройки!AB73,"ч:мм")),"ч:мм"),"",TEXT(IF(Настройки!AB73="",TEXT(Настройки!$J3,"ч:мм"),TEXT(Настройки!AB73,"ч:мм")),"ч:мм")&amp;"-"&amp;TEXT(IF(Настройки!AB73="",TEXT(Настройки!$J3,"ч:мм"),TEXT(Настройки!AB73,"ч:мм"))+TIME(0,Июль!Z14,0),"ч::мм"))</f>
        <v/>
      </c>
      <c r="I25" s="3" t="str">
        <f ca="1">IF(TEXT(IF(Настройки!AC73="",TEXT(Настройки!$J3,"ч:мм"),TEXT(Настройки!AC73,"ч:мм"))+TIME(0,Июль!AA14,0),"ч::мм")=TEXT(IF(Настройки!AC73="",TEXT(Настройки!$J3,"ч:мм"),TEXT(Настройки!AC73,"ч:мм")),"ч:мм"),"",TEXT(IF(Настройки!AC73="",TEXT(Настройки!$J3,"ч:мм"),TEXT(Настройки!AC73,"ч:мм")),"ч:мм")&amp;"-"&amp;TEXT(IF(Настройки!AC73="",TEXT(Настройки!$J3,"ч:мм"),TEXT(Настройки!AC73,"ч:мм"))+TIME(0,Июль!AA14,0),"ч::мм"))</f>
        <v/>
      </c>
      <c r="J25" s="3" t="str">
        <f ca="1">IF(TEXT(IF(Настройки!AD73="",TEXT(Настройки!$J3,"ч:мм"),TEXT(Настройки!AD73,"ч:мм"))+TIME(0,Июль!AB14,0),"ч::мм")=TEXT(IF(Настройки!AD73="",TEXT(Настройки!$J3,"ч:мм"),TEXT(Настройки!AD73,"ч:мм")),"ч:мм"),"",TEXT(IF(Настройки!AD73="",TEXT(Настройки!$J3,"ч:мм"),TEXT(Настройки!AD73,"ч:мм")),"ч:мм")&amp;"-"&amp;TEXT(IF(Настройки!AD73="",TEXT(Настройки!$J3,"ч:мм"),TEXT(Настройки!AD73,"ч:мм"))+TIME(0,Июль!AB14,0),"ч::мм"))</f>
        <v/>
      </c>
      <c r="K25" s="3" t="str">
        <f ca="1">IF(TEXT(IF(Настройки!AE73="",TEXT(Настройки!$J3,"ч:мм"),TEXT(Настройки!AE73,"ч:мм"))+TIME(0,Июль!AC14,0),"ч::мм")=TEXT(IF(Настройки!AE73="",TEXT(Настройки!$J3,"ч:мм"),TEXT(Настройки!AE73,"ч:мм")),"ч:мм"),"",TEXT(IF(Настройки!AE73="",TEXT(Настройки!$J3,"ч:мм"),TEXT(Настройки!AE73,"ч:мм")),"ч:мм")&amp;"-"&amp;TEXT(IF(Настройки!AE73="",TEXT(Настройки!$J3,"ч:мм"),TEXT(Настройки!AE73,"ч:мм"))+TIME(0,Июль!AC14,0),"ч::мм"))</f>
        <v/>
      </c>
      <c r="L25" s="3" t="str">
        <f ca="1">IF(TEXT(IF(Настройки!AF73="",TEXT(Настройки!$J3,"ч:мм"),TEXT(Настройки!AF73,"ч:мм"))+TIME(0,Июль!AD14,0),"ч::мм")=TEXT(IF(Настройки!AF73="",TEXT(Настройки!$J3,"ч:мм"),TEXT(Настройки!AF73,"ч:мм")),"ч:мм"),"",TEXT(IF(Настройки!AF73="",TEXT(Настройки!$J3,"ч:мм"),TEXT(Настройки!AF73,"ч:мм")),"ч:мм")&amp;"-"&amp;TEXT(IF(Настройки!AF73="",TEXT(Настройки!$J3,"ч:мм"),TEXT(Настройки!AF73,"ч:мм"))+TIME(0,Июль!AD14,0),"ч::мм"))</f>
        <v/>
      </c>
      <c r="M25" s="3" t="str">
        <f ca="1">IF(TEXT(IF(Настройки!AG73="",TEXT(Настройки!$J3,"ч:мм"),TEXT(Настройки!AG73,"ч:мм"))+TIME(0,Июль!AE14,0),"ч::мм")=TEXT(IF(Настройки!AG73="",TEXT(Настройки!$J3,"ч:мм"),TEXT(Настройки!AG73,"ч:мм")),"ч:мм"),"",TEXT(IF(Настройки!AG73="",TEXT(Настройки!$J3,"ч:мм"),TEXT(Настройки!AG73,"ч:мм")),"ч:мм")&amp;"-"&amp;TEXT(IF(Настройки!AG73="",TEXT(Настройки!$J3,"ч:мм"),TEXT(Настройки!AG73,"ч:мм"))+TIME(0,Июль!AE14,0),"ч::мм"))</f>
        <v/>
      </c>
      <c r="N25" s="3" t="str">
        <f ca="1">IF(TEXT(IF(Настройки!AH73="",TEXT(Настройки!$J3,"ч:мм"),TEXT(Настройки!AH73,"ч:мм"))+TIME(0,Июль!AF14,0),"ч::мм")=TEXT(IF(Настройки!AH73="",TEXT(Настройки!$J3,"ч:мм"),TEXT(Настройки!AH73,"ч:мм")),"ч:мм"),"",TEXT(IF(Настройки!AH73="",TEXT(Настройки!$J3,"ч:мм"),TEXT(Настройки!AH73,"ч:мм")),"ч:мм")&amp;"-"&amp;TEXT(IF(Настройки!AH73="",TEXT(Настройки!$J3,"ч:мм"),TEXT(Настройки!AH73,"ч:мм"))+TIME(0,Июль!AF14,0),"ч::мм"))</f>
        <v/>
      </c>
      <c r="O25" s="3" t="str">
        <f ca="1">IF(TEXT(IF(Настройки!AI73="",TEXT(Настройки!$J3,"ч:мм"),TEXT(Настройки!AI73,"ч:мм"))+TIME(0,Июль!AG14,0),"ч::мм")=TEXT(IF(Настройки!AI73="",TEXT(Настройки!$J3,"ч:мм"),TEXT(Настройки!AI73,"ч:мм")),"ч:мм"),"",TEXT(IF(Настройки!AI73="",TEXT(Настройки!$J3,"ч:мм"),TEXT(Настройки!AI73,"ч:мм")),"ч:мм")&amp;"-"&amp;TEXT(IF(Настройки!AI73="",TEXT(Настройки!$J3,"ч:мм"),TEXT(Настройки!AI73,"ч:мм"))+TIME(0,Июль!AG14,0),"ч::мм"))</f>
        <v/>
      </c>
      <c r="P25" s="3" t="str">
        <f ca="1">IF(TEXT(IF(Настройки!AJ73="",TEXT(Настройки!$J3,"ч:мм"),TEXT(Настройки!AJ73,"ч:мм"))+TIME(0,Июль!AH14,0),"ч::мм")=TEXT(IF(Настройки!AJ73="",TEXT(Настройки!$J3,"ч:мм"),TEXT(Настройки!AJ73,"ч:мм")),"ч:мм"),"",TEXT(IF(Настройки!AJ73="",TEXT(Настройки!$J3,"ч:мм"),TEXT(Настройки!AJ73,"ч:мм")),"ч:мм")&amp;"-"&amp;TEXT(IF(Настройки!AJ73="",TEXT(Настройки!$J3,"ч:мм"),TEXT(Настройки!AJ73,"ч:мм"))+TIME(0,Июль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74="",TEXT(Настройки!$J4,"ч:мм"),TEXT(Настройки!V74,"ч:мм"))+TIME(0,Июль!T15,0),"ч::мм")=TEXT(IF(Настройки!V74="",TEXT(Настройки!$J4,"ч:мм"),TEXT(Настройки!V74,"ч:мм")),"ч:мм"),"",TEXT(IF(Настройки!V74="",TEXT(Настройки!$J4,"ч:мм"),TEXT(Настройки!V74,"ч:мм")),"ч:мм")&amp;"-"&amp;TEXT(IF(Настройки!V74="",TEXT(Настройки!$J4,"ч:мм"),TEXT(Настройки!V74,"ч:мм"))+TIME(0,Июль!T15,0),"ч::мм"))</f>
        <v/>
      </c>
      <c r="C26" s="3" t="str">
        <f ca="1">IF(TEXT(IF(Настройки!W74="",TEXT(Настройки!$J4,"ч:мм"),TEXT(Настройки!W74,"ч:мм"))+TIME(0,Июль!U15,0),"ч::мм")=TEXT(IF(Настройки!W74="",TEXT(Настройки!$J4,"ч:мм"),TEXT(Настройки!W74,"ч:мм")),"ч:мм"),"",TEXT(IF(Настройки!W74="",TEXT(Настройки!$J4,"ч:мм"),TEXT(Настройки!W74,"ч:мм")),"ч:мм")&amp;"-"&amp;TEXT(IF(Настройки!W74="",TEXT(Настройки!$J4,"ч:мм"),TEXT(Настройки!W74,"ч:мм"))+TIME(0,Июль!U15,0),"ч::мм"))</f>
        <v/>
      </c>
      <c r="D26" s="3" t="str">
        <f ca="1">IF(TEXT(IF(Настройки!X74="",TEXT(Настройки!$J4,"ч:мм"),TEXT(Настройки!X74,"ч:мм"))+TIME(0,Июль!V15,0),"ч::мм")=TEXT(IF(Настройки!X74="",TEXT(Настройки!$J4,"ч:мм"),TEXT(Настройки!X74,"ч:мм")),"ч:мм"),"",TEXT(IF(Настройки!X74="",TEXT(Настройки!$J4,"ч:мм"),TEXT(Настройки!X74,"ч:мм")),"ч:мм")&amp;"-"&amp;TEXT(IF(Настройки!X74="",TEXT(Настройки!$J4,"ч:мм"),TEXT(Настройки!X74,"ч:мм"))+TIME(0,Июль!V15,0),"ч::мм"))</f>
        <v/>
      </c>
      <c r="E26" s="3" t="str">
        <f ca="1">IF(TEXT(IF(Настройки!Y74="",TEXT(Настройки!$J4,"ч:мм"),TEXT(Настройки!Y74,"ч:мм"))+TIME(0,Июль!W15,0),"ч::мм")=TEXT(IF(Настройки!Y74="",TEXT(Настройки!$J4,"ч:мм"),TEXT(Настройки!Y74,"ч:мм")),"ч:мм"),"",TEXT(IF(Настройки!Y74="",TEXT(Настройки!$J4,"ч:мм"),TEXT(Настройки!Y74,"ч:мм")),"ч:мм")&amp;"-"&amp;TEXT(IF(Настройки!Y74="",TEXT(Настройки!$J4,"ч:мм"),TEXT(Настройки!Y74,"ч:мм"))+TIME(0,Июль!W15,0),"ч::мм"))</f>
        <v/>
      </c>
      <c r="F26" s="3" t="str">
        <f ca="1">IF(TEXT(IF(Настройки!Z74="",TEXT(Настройки!$J4,"ч:мм"),TEXT(Настройки!Z74,"ч:мм"))+TIME(0,Июль!X15,0),"ч::мм")=TEXT(IF(Настройки!Z74="",TEXT(Настройки!$J4,"ч:мм"),TEXT(Настройки!Z74,"ч:мм")),"ч:мм"),"",TEXT(IF(Настройки!Z74="",TEXT(Настройки!$J4,"ч:мм"),TEXT(Настройки!Z74,"ч:мм")),"ч:мм")&amp;"-"&amp;TEXT(IF(Настройки!Z74="",TEXT(Настройки!$J4,"ч:мм"),TEXT(Настройки!Z74,"ч:мм"))+TIME(0,Июль!X15,0),"ч::мм"))</f>
        <v/>
      </c>
      <c r="G26" s="3" t="str">
        <f ca="1">IF(TEXT(IF(Настройки!AA74="",TEXT(Настройки!$J4,"ч:мм"),TEXT(Настройки!AA74,"ч:мм"))+TIME(0,Июль!Y15,0),"ч::мм")=TEXT(IF(Настройки!AA74="",TEXT(Настройки!$J4,"ч:мм"),TEXT(Настройки!AA74,"ч:мм")),"ч:мм"),"",TEXT(IF(Настройки!AA74="",TEXT(Настройки!$J4,"ч:мм"),TEXT(Настройки!AA74,"ч:мм")),"ч:мм")&amp;"-"&amp;TEXT(IF(Настройки!AA74="",TEXT(Настройки!$J4,"ч:мм"),TEXT(Настройки!AA74,"ч:мм"))+TIME(0,Июль!Y15,0),"ч::мм"))</f>
        <v/>
      </c>
      <c r="H26" s="3" t="str">
        <f ca="1">IF(TEXT(IF(Настройки!AB74="",TEXT(Настройки!$J4,"ч:мм"),TEXT(Настройки!AB74,"ч:мм"))+TIME(0,Июль!Z15,0),"ч::мм")=TEXT(IF(Настройки!AB74="",TEXT(Настройки!$J4,"ч:мм"),TEXT(Настройки!AB74,"ч:мм")),"ч:мм"),"",TEXT(IF(Настройки!AB74="",TEXT(Настройки!$J4,"ч:мм"),TEXT(Настройки!AB74,"ч:мм")),"ч:мм")&amp;"-"&amp;TEXT(IF(Настройки!AB74="",TEXT(Настройки!$J4,"ч:мм"),TEXT(Настройки!AB74,"ч:мм"))+TIME(0,Июль!Z15,0),"ч::мм"))</f>
        <v/>
      </c>
      <c r="I26" s="3" t="str">
        <f ca="1">IF(TEXT(IF(Настройки!AC74="",TEXT(Настройки!$J4,"ч:мм"),TEXT(Настройки!AC74,"ч:мм"))+TIME(0,Июль!AA15,0),"ч::мм")=TEXT(IF(Настройки!AC74="",TEXT(Настройки!$J4,"ч:мм"),TEXT(Настройки!AC74,"ч:мм")),"ч:мм"),"",TEXT(IF(Настройки!AC74="",TEXT(Настройки!$J4,"ч:мм"),TEXT(Настройки!AC74,"ч:мм")),"ч:мм")&amp;"-"&amp;TEXT(IF(Настройки!AC74="",TEXT(Настройки!$J4,"ч:мм"),TEXT(Настройки!AC74,"ч:мм"))+TIME(0,Июль!AA15,0),"ч::мм"))</f>
        <v/>
      </c>
      <c r="J26" s="3" t="str">
        <f ca="1">IF(TEXT(IF(Настройки!AD74="",TEXT(Настройки!$J4,"ч:мм"),TEXT(Настройки!AD74,"ч:мм"))+TIME(0,Июль!AB15,0),"ч::мм")=TEXT(IF(Настройки!AD74="",TEXT(Настройки!$J4,"ч:мм"),TEXT(Настройки!AD74,"ч:мм")),"ч:мм"),"",TEXT(IF(Настройки!AD74="",TEXT(Настройки!$J4,"ч:мм"),TEXT(Настройки!AD74,"ч:мм")),"ч:мм")&amp;"-"&amp;TEXT(IF(Настройки!AD74="",TEXT(Настройки!$J4,"ч:мм"),TEXT(Настройки!AD74,"ч:мм"))+TIME(0,Июль!AB15,0),"ч::мм"))</f>
        <v/>
      </c>
      <c r="K26" s="3" t="str">
        <f ca="1">IF(TEXT(IF(Настройки!AE74="",TEXT(Настройки!$J4,"ч:мм"),TEXT(Настройки!AE74,"ч:мм"))+TIME(0,Июль!AC15,0),"ч::мм")=TEXT(IF(Настройки!AE74="",TEXT(Настройки!$J4,"ч:мм"),TEXT(Настройки!AE74,"ч:мм")),"ч:мм"),"",TEXT(IF(Настройки!AE74="",TEXT(Настройки!$J4,"ч:мм"),TEXT(Настройки!AE74,"ч:мм")),"ч:мм")&amp;"-"&amp;TEXT(IF(Настройки!AE74="",TEXT(Настройки!$J4,"ч:мм"),TEXT(Настройки!AE74,"ч:мм"))+TIME(0,Июль!AC15,0),"ч::мм"))</f>
        <v/>
      </c>
      <c r="L26" s="3" t="str">
        <f ca="1">IF(TEXT(IF(Настройки!AF74="",TEXT(Настройки!$J4,"ч:мм"),TEXT(Настройки!AF74,"ч:мм"))+TIME(0,Июль!AD15,0),"ч::мм")=TEXT(IF(Настройки!AF74="",TEXT(Настройки!$J4,"ч:мм"),TEXT(Настройки!AF74,"ч:мм")),"ч:мм"),"",TEXT(IF(Настройки!AF74="",TEXT(Настройки!$J4,"ч:мм"),TEXT(Настройки!AF74,"ч:мм")),"ч:мм")&amp;"-"&amp;TEXT(IF(Настройки!AF74="",TEXT(Настройки!$J4,"ч:мм"),TEXT(Настройки!AF74,"ч:мм"))+TIME(0,Июль!AD15,0),"ч::мм"))</f>
        <v/>
      </c>
      <c r="M26" s="3" t="str">
        <f ca="1">IF(TEXT(IF(Настройки!AG74="",TEXT(Настройки!$J4,"ч:мм"),TEXT(Настройки!AG74,"ч:мм"))+TIME(0,Июль!AE15,0),"ч::мм")=TEXT(IF(Настройки!AG74="",TEXT(Настройки!$J4,"ч:мм"),TEXT(Настройки!AG74,"ч:мм")),"ч:мм"),"",TEXT(IF(Настройки!AG74="",TEXT(Настройки!$J4,"ч:мм"),TEXT(Настройки!AG74,"ч:мм")),"ч:мм")&amp;"-"&amp;TEXT(IF(Настройки!AG74="",TEXT(Настройки!$J4,"ч:мм"),TEXT(Настройки!AG74,"ч:мм"))+TIME(0,Июль!AE15,0),"ч::мм"))</f>
        <v/>
      </c>
      <c r="N26" s="3" t="str">
        <f ca="1">IF(TEXT(IF(Настройки!AH74="",TEXT(Настройки!$J4,"ч:мм"),TEXT(Настройки!AH74,"ч:мм"))+TIME(0,Июль!AF15,0),"ч::мм")=TEXT(IF(Настройки!AH74="",TEXT(Настройки!$J4,"ч:мм"),TEXT(Настройки!AH74,"ч:мм")),"ч:мм"),"",TEXT(IF(Настройки!AH74="",TEXT(Настройки!$J4,"ч:мм"),TEXT(Настройки!AH74,"ч:мм")),"ч:мм")&amp;"-"&amp;TEXT(IF(Настройки!AH74="",TEXT(Настройки!$J4,"ч:мм"),TEXT(Настройки!AH74,"ч:мм"))+TIME(0,Июль!AF15,0),"ч::мм"))</f>
        <v/>
      </c>
      <c r="O26" s="3" t="str">
        <f ca="1">IF(TEXT(IF(Настройки!AI74="",TEXT(Настройки!$J4,"ч:мм"),TEXT(Настройки!AI74,"ч:мм"))+TIME(0,Июль!AG15,0),"ч::мм")=TEXT(IF(Настройки!AI74="",TEXT(Настройки!$J4,"ч:мм"),TEXT(Настройки!AI74,"ч:мм")),"ч:мм"),"",TEXT(IF(Настройки!AI74="",TEXT(Настройки!$J4,"ч:мм"),TEXT(Настройки!AI74,"ч:мм")),"ч:мм")&amp;"-"&amp;TEXT(IF(Настройки!AI74="",TEXT(Настройки!$J4,"ч:мм"),TEXT(Настройки!AI74,"ч:мм"))+TIME(0,Июль!AG15,0),"ч::мм"))</f>
        <v/>
      </c>
      <c r="P26" s="3" t="str">
        <f ca="1">IF(TEXT(IF(Настройки!AJ74="",TEXT(Настройки!$J4,"ч:мм"),TEXT(Настройки!AJ74,"ч:мм"))+TIME(0,Июль!AH15,0),"ч::мм")=TEXT(IF(Настройки!AJ74="",TEXT(Настройки!$J4,"ч:мм"),TEXT(Настройки!AJ74,"ч:мм")),"ч:мм"),"",TEXT(IF(Настройки!AJ74="",TEXT(Настройки!$J4,"ч:мм"),TEXT(Настройки!AJ74,"ч:мм")),"ч:мм")&amp;"-"&amp;TEXT(IF(Настройки!AJ74="",TEXT(Настройки!$J4,"ч:мм"),TEXT(Настройки!AJ74,"ч:мм"))+TIME(0,Июль!AH15,0),"ч::мм"))</f>
        <v/>
      </c>
    </row>
    <row r="27" spans="1:18" x14ac:dyDescent="0.25">
      <c r="Q27" s="9"/>
      <c r="R27" s="9"/>
    </row>
    <row r="28" spans="1:18" x14ac:dyDescent="0.25">
      <c r="A28" s="81"/>
      <c r="B28" s="67" t="s">
        <v>55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4"/>
      <c r="Q28" s="33"/>
      <c r="R28" s="9"/>
    </row>
    <row r="29" spans="1:18" x14ac:dyDescent="0.25">
      <c r="A29" s="83"/>
      <c r="B29" s="95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6"/>
      <c r="Q29" s="33"/>
      <c r="R29" s="9"/>
    </row>
    <row r="30" spans="1:18" x14ac:dyDescent="0.25">
      <c r="A30" s="83"/>
      <c r="B30" s="29">
        <f>Настройки!AK13</f>
        <v>45504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31"/>
      <c r="R30" s="9"/>
    </row>
    <row r="31" spans="1:18" x14ac:dyDescent="0.25">
      <c r="A31" s="83"/>
      <c r="B31" s="67" t="s">
        <v>54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4"/>
      <c r="Q31" s="33"/>
      <c r="R31" s="9"/>
    </row>
    <row r="32" spans="1:18" x14ac:dyDescent="0.25">
      <c r="A32" s="84"/>
      <c r="B32" s="95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6"/>
      <c r="Q32" s="33"/>
      <c r="R32" s="9"/>
    </row>
    <row r="33" spans="1:16" x14ac:dyDescent="0.25">
      <c r="A33" s="3" t="s">
        <v>138</v>
      </c>
      <c r="B33" s="3" t="s">
        <v>113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</row>
    <row r="34" spans="1:16" x14ac:dyDescent="0.25">
      <c r="A34" s="32" t="str">
        <f t="shared" ref="A34:A36" si="1">A14</f>
        <v>9:00-9:00</v>
      </c>
      <c r="B34" s="3" t="str">
        <f>IF(TEXT(IF(Настройки!AK72="",TEXT(Настройки!$J2,"ч:мм"),TEXT(Настройки!AK72,"ч:мм"))+TIME(0,Июль!AI13,0),"ч::мм")=TEXT(IF(Настройки!AK72="",TEXT(Настройки!$J2,"ч:мм"),TEXT(Настройки!AK72,"ч:мм")),"ч:мм"),"",TEXT(IF(Настройки!AK72="",TEXT(Настройки!$J2,"ч:мм"),TEXT(Настройки!AK72,"ч:мм")),"ч:мм")&amp;"-"&amp;TEXT(IF(Настройки!AK72="",TEXT(Настройки!$J2,"ч:мм"),TEXT(Настройки!AK72,"ч:мм"))+TIME(0,Июль!AI13,0),"ч::мм"))</f>
        <v/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</row>
    <row r="35" spans="1:16" x14ac:dyDescent="0.25">
      <c r="A35" s="32" t="str">
        <f t="shared" ca="1" si="1"/>
        <v>13:00-13:00</v>
      </c>
      <c r="B35" s="3" t="str">
        <f ca="1">IF(TEXT(IF(Настройки!AK73="",TEXT(Настройки!$J3,"ч:мм"),TEXT(Настройки!AK73,"ч:мм"))+TIME(0,Июль!AI14,0),"ч::мм")=TEXT(IF(Настройки!AK73="",TEXT(Настройки!$J3,"ч:мм"),TEXT(Настройки!AK73,"ч:мм")),"ч:мм"),"",TEXT(IF(Настройки!AK73="",TEXT(Настройки!$J3,"ч:мм"),TEXT(Настройки!AK73,"ч:мм")),"ч:мм")&amp;"-"&amp;TEXT(IF(Настройки!AK73="",TEXT(Настройки!$J3,"ч:мм"),TEXT(Настройки!AK73,"ч:мм"))+TIME(0,Июль!AI14,0),"ч::мм"))</f>
        <v/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</row>
    <row r="36" spans="1:16" x14ac:dyDescent="0.25">
      <c r="A36" s="32" t="str">
        <f t="shared" ca="1" si="1"/>
        <v>16:00-16:00</v>
      </c>
      <c r="B36" s="3" t="str">
        <f ca="1">IF(TEXT(IF(Настройки!AK74="",TEXT(Настройки!$J4,"ч:мм"),TEXT(Настройки!AK74,"ч:мм"))+TIME(0,Июль!AI15,0),"ч::мм")=TEXT(IF(Настройки!AK74="",TEXT(Настройки!$J4,"ч:мм"),TEXT(Настройки!AK74,"ч:мм")),"ч:мм"),"",TEXT(IF(Настройки!AK74="",TEXT(Настройки!$J4,"ч:мм"),TEXT(Настройки!AK74,"ч:мм")),"ч:мм")&amp;"-"&amp;TEXT(IF(Настройки!AK74="",TEXT(Настройки!$J4,"ч:мм"),TEXT(Настройки!AK74,"ч:мм"))+TIME(0,Июль!AI15,0),"ч::мм"))</f>
        <v/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</row>
  </sheetData>
  <mergeCells count="12">
    <mergeCell ref="A2:P2"/>
    <mergeCell ref="F6:G6"/>
    <mergeCell ref="H6:I6"/>
    <mergeCell ref="A8:A12"/>
    <mergeCell ref="B8:P9"/>
    <mergeCell ref="B11:P12"/>
    <mergeCell ref="A18:A22"/>
    <mergeCell ref="B18:P19"/>
    <mergeCell ref="B21:P22"/>
    <mergeCell ref="A28:A32"/>
    <mergeCell ref="B28:P29"/>
    <mergeCell ref="B31:P32"/>
  </mergeCells>
  <conditionalFormatting sqref="B10:P10">
    <cfRule type="expression" dxfId="589" priority="3">
      <formula>WEEKDAY(B10:P10,2)&gt;5</formula>
    </cfRule>
  </conditionalFormatting>
  <conditionalFormatting sqref="B20:P20">
    <cfRule type="expression" dxfId="588" priority="2">
      <formula>WEEKDAY(B20:P20,2)&gt;5</formula>
    </cfRule>
  </conditionalFormatting>
  <conditionalFormatting sqref="B30">
    <cfRule type="expression" dxfId="587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3">
    <tablePart r:id="rId2"/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4" tint="0.39997558519241921"/>
    <pageSetUpPr fitToPage="1"/>
  </sheetPr>
  <dimension ref="A2:AL28"/>
  <sheetViews>
    <sheetView zoomScale="70" zoomScaleNormal="70" workbookViewId="0">
      <selection activeCell="AI13" sqref="AI13"/>
    </sheetView>
  </sheetViews>
  <sheetFormatPr defaultRowHeight="15.75" x14ac:dyDescent="0.25"/>
  <cols>
    <col min="1" max="1" width="21.42578125" style="3" customWidth="1"/>
    <col min="2" max="2" width="18.28515625" style="3" bestFit="1" customWidth="1"/>
    <col min="3" max="3" width="14.42578125" style="3" bestFit="1" customWidth="1"/>
    <col min="4" max="4" width="9.28515625" style="3" customWidth="1"/>
    <col min="5" max="17" width="4.42578125" style="3" bestFit="1" customWidth="1"/>
    <col min="18" max="18" width="6.42578125" style="3" bestFit="1" customWidth="1"/>
    <col min="19" max="35" width="4.42578125" style="3" bestFit="1" customWidth="1"/>
    <col min="36" max="36" width="9.5703125" style="3" bestFit="1" customWidth="1"/>
    <col min="37" max="37" width="10" style="3" bestFit="1" customWidth="1"/>
    <col min="38" max="38" width="14" style="3" bestFit="1" customWidth="1"/>
    <col min="39" max="16384" width="9.140625" style="3"/>
  </cols>
  <sheetData>
    <row r="2" spans="1:38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8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8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8" ht="18.75" x14ac:dyDescent="0.25">
      <c r="L5" s="10" t="s">
        <v>69</v>
      </c>
      <c r="M5" s="61" t="s">
        <v>71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7" spans="1:38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9"/>
      <c r="AJ7" s="63" t="s">
        <v>64</v>
      </c>
      <c r="AK7" s="64" t="s">
        <v>64</v>
      </c>
    </row>
    <row r="8" spans="1:38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78"/>
      <c r="AJ8" s="63"/>
      <c r="AK8" s="65"/>
    </row>
    <row r="9" spans="1:38" x14ac:dyDescent="0.25">
      <c r="A9" s="73"/>
      <c r="B9" s="76"/>
      <c r="C9" s="76"/>
      <c r="D9" s="82"/>
      <c r="E9" s="20">
        <f>Настройки!G14</f>
        <v>45505</v>
      </c>
      <c r="F9" s="20">
        <f>Настройки!H14</f>
        <v>45506</v>
      </c>
      <c r="G9" s="20">
        <f>Настройки!I14</f>
        <v>45507</v>
      </c>
      <c r="H9" s="20">
        <f>Настройки!J14</f>
        <v>45508</v>
      </c>
      <c r="I9" s="20">
        <f>Настройки!K14</f>
        <v>45509</v>
      </c>
      <c r="J9" s="20">
        <f>Настройки!L14</f>
        <v>45510</v>
      </c>
      <c r="K9" s="20">
        <f>Настройки!M14</f>
        <v>45511</v>
      </c>
      <c r="L9" s="20">
        <f>Настройки!N14</f>
        <v>45512</v>
      </c>
      <c r="M9" s="20">
        <f>Настройки!O14</f>
        <v>45513</v>
      </c>
      <c r="N9" s="20">
        <f>Настройки!P14</f>
        <v>45514</v>
      </c>
      <c r="O9" s="20">
        <f>Настройки!Q14</f>
        <v>45515</v>
      </c>
      <c r="P9" s="20">
        <f>Настройки!R14</f>
        <v>45516</v>
      </c>
      <c r="Q9" s="20">
        <f>Настройки!S14</f>
        <v>45517</v>
      </c>
      <c r="R9" s="20">
        <f>Настройки!T14</f>
        <v>45518</v>
      </c>
      <c r="S9" s="20">
        <f>Настройки!U14</f>
        <v>45519</v>
      </c>
      <c r="T9" s="20">
        <f>Настройки!V14</f>
        <v>45520</v>
      </c>
      <c r="U9" s="20">
        <f>Настройки!W14</f>
        <v>45521</v>
      </c>
      <c r="V9" s="20">
        <f>Настройки!X14</f>
        <v>45522</v>
      </c>
      <c r="W9" s="20">
        <f>Настройки!Y14</f>
        <v>45523</v>
      </c>
      <c r="X9" s="20">
        <f>Настройки!Z14</f>
        <v>45524</v>
      </c>
      <c r="Y9" s="20">
        <f>Настройки!AA14</f>
        <v>45525</v>
      </c>
      <c r="Z9" s="20">
        <f>Настройки!AB14</f>
        <v>45526</v>
      </c>
      <c r="AA9" s="20">
        <f>Настройки!AC14</f>
        <v>45527</v>
      </c>
      <c r="AB9" s="20">
        <f>Настройки!AD14</f>
        <v>45528</v>
      </c>
      <c r="AC9" s="20">
        <f>Настройки!AE14</f>
        <v>45529</v>
      </c>
      <c r="AD9" s="20">
        <f>Настройки!AF14</f>
        <v>45530</v>
      </c>
      <c r="AE9" s="20">
        <f>Настройки!AG14</f>
        <v>45531</v>
      </c>
      <c r="AF9" s="20">
        <f>Настройки!AH14</f>
        <v>45532</v>
      </c>
      <c r="AG9" s="20">
        <f>Настройки!AI14</f>
        <v>45533</v>
      </c>
      <c r="AH9" s="20">
        <f>Настройки!AJ14</f>
        <v>45534</v>
      </c>
      <c r="AI9" s="20">
        <f>Настройки!AK14</f>
        <v>45535</v>
      </c>
      <c r="AJ9" s="63"/>
      <c r="AK9" s="65"/>
    </row>
    <row r="10" spans="1:38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9"/>
      <c r="AJ10" s="63"/>
      <c r="AK10" s="65"/>
    </row>
    <row r="11" spans="1:38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2"/>
      <c r="AJ11" s="63"/>
      <c r="AK11" s="66"/>
    </row>
    <row r="12" spans="1:38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SUMPRODUCT((Настройки!$G$28:$AK$28=1)*E16:AI16)</f>
        <v>0</v>
      </c>
      <c r="D13" s="5">
        <v>1</v>
      </c>
      <c r="E13" s="3">
        <f>SUMPRODUCT((Август[№]=1)*Август[1],Август[Объем])</f>
        <v>0</v>
      </c>
      <c r="F13" s="3">
        <f>SUMPRODUCT((Август[№]=1)*Август[2],Август[Объем])</f>
        <v>0</v>
      </c>
      <c r="G13" s="3">
        <f>SUMPRODUCT((Август[№]=1)*Август[3],Август[Объем])</f>
        <v>0</v>
      </c>
      <c r="H13" s="3">
        <f>SUMPRODUCT((Август[№]=1)*Август[4],Август[Объем])</f>
        <v>0</v>
      </c>
      <c r="I13" s="23">
        <f>SUMPRODUCT((Август[№]=1)*Август[5],Август[Объем])</f>
        <v>0</v>
      </c>
      <c r="J13" s="23">
        <f>SUMPRODUCT((Август[№]=1)*Август[6],Август[Объем])</f>
        <v>0</v>
      </c>
      <c r="K13" s="3">
        <f>SUMPRODUCT((Август[№]=1)*Август[7],Август[Объем])</f>
        <v>0</v>
      </c>
      <c r="L13" s="3">
        <f>SUMPRODUCT((Август[№]=1)*Август[8],Август[Объем])</f>
        <v>0</v>
      </c>
      <c r="M13" s="3">
        <f>SUMPRODUCT((Август[№]=1)*Август[9],Август[Объем])</f>
        <v>0</v>
      </c>
      <c r="N13" s="3">
        <f>SUMPRODUCT((Август[№]=1)*Август[10],Август[Объем])</f>
        <v>0</v>
      </c>
      <c r="O13" s="3">
        <f>SUMPRODUCT((Август[№]=1)*Август[11],Август[Объем])</f>
        <v>0</v>
      </c>
      <c r="P13" s="23">
        <f>SUMPRODUCT((Август[№]=1)*Август[12],Август[Объем])</f>
        <v>0</v>
      </c>
      <c r="Q13" s="23">
        <f>SUMPRODUCT((Август[№]=1)*Август[13],Август[Объем])</f>
        <v>0</v>
      </c>
      <c r="R13" s="3">
        <f>SUMPRODUCT((Август[№]=1)*Август[14],Август[Объем])</f>
        <v>0</v>
      </c>
      <c r="S13" s="3">
        <f>SUMPRODUCT((Август[№]=1)*Август[15],Август[Объем])</f>
        <v>0</v>
      </c>
      <c r="T13" s="3">
        <f>SUMPRODUCT((Август[№]=1)*Август[16],Август[Объем])</f>
        <v>0</v>
      </c>
      <c r="U13" s="3">
        <f>SUMPRODUCT((Август[№]=1)*Август[17],Август[Объем])</f>
        <v>0</v>
      </c>
      <c r="V13" s="3">
        <f>SUMPRODUCT((Август[№]=1)*Август[18],Август[Объем])</f>
        <v>0</v>
      </c>
      <c r="W13" s="23">
        <f>SUMPRODUCT((Август[№]=1)*Август[19],Август[Объем])</f>
        <v>0</v>
      </c>
      <c r="X13" s="23">
        <f>SUMPRODUCT((Август[№]=1)*Август[20],Август[Объем])</f>
        <v>0</v>
      </c>
      <c r="Y13" s="3">
        <f>SUMPRODUCT((Август[№]=1)*Август[21],Август[Объем])</f>
        <v>0</v>
      </c>
      <c r="Z13" s="3">
        <f>SUMPRODUCT((Август[№]=1)*Август[22],Август[Объем])</f>
        <v>0</v>
      </c>
      <c r="AA13" s="3">
        <f>SUMPRODUCT((Август[№]=1)*Август[23],Август[Объем])</f>
        <v>0</v>
      </c>
      <c r="AB13" s="3">
        <f>SUMPRODUCT((Август[№]=1)*Август[24],Август[Объем])</f>
        <v>0</v>
      </c>
      <c r="AC13" s="3">
        <f>SUMPRODUCT((Август[№]=1)*Август[25],Август[Объем])</f>
        <v>0</v>
      </c>
      <c r="AD13" s="23">
        <f>SUMPRODUCT((Август[№]=1)*Август[26],Август[Объем])</f>
        <v>0</v>
      </c>
      <c r="AE13" s="23">
        <f>SUMPRODUCT((Август[№]=1)*Август[27],Август[Объем])</f>
        <v>0</v>
      </c>
      <c r="AF13" s="3">
        <f>SUMPRODUCT((Август[№]=1)*Август[28],Август[Объем])</f>
        <v>0</v>
      </c>
      <c r="AG13" s="3">
        <f>SUMPRODUCT((Август[№]=1)*Август[29],Август[Объем])</f>
        <v>0</v>
      </c>
      <c r="AH13" s="3">
        <f>SUMPRODUCT((Август[№]=1)*Август[30],Август[Объем])</f>
        <v>0</v>
      </c>
      <c r="AI13" s="3">
        <f>SUMPRODUCT((Август[№]=1)*Август[31],Август[Объем])</f>
        <v>0</v>
      </c>
      <c r="AL13" s="4"/>
    </row>
    <row r="14" spans="1:38" x14ac:dyDescent="0.25">
      <c r="B14" s="13">
        <f ca="1">SUMPRODUCT((Настройки!$G$28:$AK$28=2)*E16:AI16)</f>
        <v>0</v>
      </c>
      <c r="D14" s="5">
        <v>2</v>
      </c>
      <c r="E14" s="3">
        <f ca="1">SUMPRODUCT((Август[№]=2)*Август[1],OFFSET(Август[Объем],-1,0))</f>
        <v>0</v>
      </c>
      <c r="F14" s="3">
        <f ca="1">SUMPRODUCT((Август[№]=2)*Август[2],OFFSET(Август[Объем],-1,0))</f>
        <v>0</v>
      </c>
      <c r="G14" s="3">
        <f ca="1">SUMPRODUCT((Август[№]=2)*Август[3],OFFSET(Август[Объем],-1,0))</f>
        <v>0</v>
      </c>
      <c r="H14" s="3">
        <f ca="1">SUMPRODUCT((Август[№]=2)*Август[4],OFFSET(Август[Объем],-1,0))</f>
        <v>0</v>
      </c>
      <c r="I14" s="23">
        <f ca="1">SUMPRODUCT((Август[№]=2)*Август[5],OFFSET(Август[Объем],-1,0))</f>
        <v>0</v>
      </c>
      <c r="J14" s="23">
        <f ca="1">SUMPRODUCT((Август[№]=2)*Август[6],OFFSET(Август[Объем],-1,0))</f>
        <v>0</v>
      </c>
      <c r="K14" s="3">
        <f ca="1">SUMPRODUCT((Август[№]=2)*Август[7],OFFSET(Август[Объем],-1,0))</f>
        <v>0</v>
      </c>
      <c r="L14" s="3">
        <f ca="1">SUMPRODUCT((Август[№]=2)*Август[8],OFFSET(Август[Объем],-1,0))</f>
        <v>0</v>
      </c>
      <c r="M14" s="3">
        <f ca="1">SUMPRODUCT((Август[№]=2)*Август[9],OFFSET(Август[Объем],-1,0))</f>
        <v>0</v>
      </c>
      <c r="N14" s="3">
        <f ca="1">SUMPRODUCT((Август[№]=2)*Август[10],OFFSET(Август[Объем],-1,0))</f>
        <v>0</v>
      </c>
      <c r="O14" s="3">
        <f ca="1">SUMPRODUCT((Август[№]=2)*Август[11],OFFSET(Август[Объем],-1,0))</f>
        <v>0</v>
      </c>
      <c r="P14" s="23">
        <f ca="1">SUMPRODUCT((Август[№]=2)*Август[12],OFFSET(Август[Объем],-1,0))</f>
        <v>0</v>
      </c>
      <c r="Q14" s="23">
        <f ca="1">SUMPRODUCT((Август[№]=2)*Август[13],OFFSET(Август[Объем],-1,0))</f>
        <v>0</v>
      </c>
      <c r="R14" s="3">
        <f ca="1">SUMPRODUCT((Август[№]=2)*Август[14],OFFSET(Август[Объем],-1,0))</f>
        <v>0</v>
      </c>
      <c r="S14" s="3">
        <f ca="1">SUMPRODUCT((Август[№]=2)*Август[15],OFFSET(Август[Объем],-1,0))</f>
        <v>0</v>
      </c>
      <c r="T14" s="3">
        <f ca="1">SUMPRODUCT((Август[№]=2)*Август[16],OFFSET(Август[Объем],-1,0))</f>
        <v>0</v>
      </c>
      <c r="U14" s="3">
        <f ca="1">SUMPRODUCT((Август[№]=2)*Август[17],OFFSET(Август[Объем],-1,0))</f>
        <v>0</v>
      </c>
      <c r="V14" s="3">
        <f ca="1">SUMPRODUCT((Август[№]=2)*Август[18],OFFSET(Август[Объем],-1,0))</f>
        <v>0</v>
      </c>
      <c r="W14" s="23">
        <f ca="1">SUMPRODUCT((Август[№]=2)*Август[19],OFFSET(Август[Объем],-1,0))</f>
        <v>0</v>
      </c>
      <c r="X14" s="23">
        <f ca="1">SUMPRODUCT((Август[№]=2)*Август[20],OFFSET(Август[Объем],-1,0))</f>
        <v>0</v>
      </c>
      <c r="Y14" s="3">
        <f ca="1">SUMPRODUCT((Август[№]=2)*Август[21],OFFSET(Август[Объем],-1,0))</f>
        <v>0</v>
      </c>
      <c r="Z14" s="3">
        <f ca="1">SUMPRODUCT((Август[№]=2)*Август[22],OFFSET(Август[Объем],-1,0))</f>
        <v>0</v>
      </c>
      <c r="AA14" s="3">
        <f ca="1">SUMPRODUCT((Август[№]=2)*Август[23],OFFSET(Август[Объем],-1,0))</f>
        <v>0</v>
      </c>
      <c r="AB14" s="3">
        <f ca="1">SUMPRODUCT((Август[№]=2)*Август[24],OFFSET(Август[Объем],-1,0))</f>
        <v>0</v>
      </c>
      <c r="AC14" s="3">
        <f ca="1">SUMPRODUCT((Август[№]=2)*Август[25],OFFSET(Август[Объем],-1,0))</f>
        <v>0</v>
      </c>
      <c r="AD14" s="23">
        <f ca="1">SUMPRODUCT((Август[№]=2)*Август[26],OFFSET(Август[Объем],-1,0))</f>
        <v>0</v>
      </c>
      <c r="AE14" s="23">
        <f ca="1">SUMPRODUCT((Август[№]=2)*Август[27],OFFSET(Август[Объем],-1,0))</f>
        <v>0</v>
      </c>
      <c r="AF14" s="3">
        <f ca="1">SUMPRODUCT((Август[№]=2)*Август[28],OFFSET(Август[Объем],-1,0))</f>
        <v>0</v>
      </c>
      <c r="AG14" s="3">
        <f ca="1">SUMPRODUCT((Август[№]=2)*Август[29],OFFSET(Август[Объем],-1,0))</f>
        <v>0</v>
      </c>
      <c r="AH14" s="3">
        <f ca="1">SUMPRODUCT((Август[№]=2)*Август[30],OFFSET(Август[Объем],-1,0))</f>
        <v>0</v>
      </c>
      <c r="AI14" s="3">
        <f ca="1">SUMPRODUCT((Август[№]=2)*Август[31],OFFSET(Август[Объем],-1,0))</f>
        <v>0</v>
      </c>
    </row>
    <row r="15" spans="1:38" x14ac:dyDescent="0.25">
      <c r="B15" s="13">
        <f ca="1">SUMPRODUCT((Настройки!$G$28:$AK$28=3)*E16:AI16)</f>
        <v>0</v>
      </c>
      <c r="D15" s="5">
        <v>3</v>
      </c>
      <c r="E15" s="3">
        <f ca="1">SUMPRODUCT((Август[№]=3)*Август[1],OFFSET(Август[Объем],-2,0))</f>
        <v>0</v>
      </c>
      <c r="F15" s="3">
        <f ca="1">SUMPRODUCT((Август[№]=3)*Август[2],OFFSET(Август[Объем],-2,0))</f>
        <v>0</v>
      </c>
      <c r="G15" s="3">
        <f ca="1">SUMPRODUCT((Август[№]=3)*Август[3],OFFSET(Август[Объем],-2,0))</f>
        <v>0</v>
      </c>
      <c r="H15" s="3">
        <f ca="1">SUMPRODUCT((Август[№]=3)*Август[4],OFFSET(Август[Объем],-2,0))</f>
        <v>0</v>
      </c>
      <c r="I15" s="23">
        <f ca="1">SUMPRODUCT((Август[№]=3)*Август[5],OFFSET(Август[Объем],-2,0))</f>
        <v>0</v>
      </c>
      <c r="J15" s="23">
        <f ca="1">SUMPRODUCT((Август[№]=3)*Август[6],OFFSET(Август[Объем],-2,0))</f>
        <v>0</v>
      </c>
      <c r="K15" s="3">
        <f ca="1">SUMPRODUCT((Август[№]=3)*Август[7],OFFSET(Август[Объем],-2,0))</f>
        <v>0</v>
      </c>
      <c r="L15" s="3">
        <f ca="1">SUMPRODUCT((Август[№]=3)*Август[8],OFFSET(Август[Объем],-2,0))</f>
        <v>0</v>
      </c>
      <c r="M15" s="3">
        <f ca="1">SUMPRODUCT((Август[№]=3)*Август[9],OFFSET(Август[Объем],-2,0))</f>
        <v>0</v>
      </c>
      <c r="N15" s="3">
        <f ca="1">SUMPRODUCT((Август[№]=3)*Август[10],OFFSET(Август[Объем],-2,0))</f>
        <v>0</v>
      </c>
      <c r="O15" s="3">
        <f ca="1">SUMPRODUCT((Август[№]=3)*Август[11],OFFSET(Август[Объем],-2,0))</f>
        <v>0</v>
      </c>
      <c r="P15" s="23">
        <f ca="1">SUMPRODUCT((Август[№]=3)*Август[12],OFFSET(Август[Объем],-2,0))</f>
        <v>0</v>
      </c>
      <c r="Q15" s="23">
        <f ca="1">SUMPRODUCT((Август[№]=3)*Август[13],OFFSET(Август[Объем],-2,0))</f>
        <v>0</v>
      </c>
      <c r="R15" s="3">
        <f ca="1">SUMPRODUCT((Август[№]=3)*Август[14],OFFSET(Август[Объем],-2,0))</f>
        <v>0</v>
      </c>
      <c r="S15" s="3">
        <f ca="1">SUMPRODUCT((Август[№]=3)*Август[15],OFFSET(Август[Объем],-2,0))</f>
        <v>0</v>
      </c>
      <c r="T15" s="3">
        <f ca="1">SUMPRODUCT((Август[№]=3)*Август[16],OFFSET(Август[Объем],-2,0))</f>
        <v>0</v>
      </c>
      <c r="U15" s="3">
        <f ca="1">SUMPRODUCT((Август[№]=3)*Август[17],OFFSET(Август[Объем],-2,0))</f>
        <v>0</v>
      </c>
      <c r="V15" s="3">
        <f ca="1">SUMPRODUCT((Август[№]=3)*Август[18],OFFSET(Август[Объем],-2,0))</f>
        <v>0</v>
      </c>
      <c r="W15" s="23">
        <f ca="1">SUMPRODUCT((Август[№]=3)*Август[19],OFFSET(Август[Объем],-2,0))</f>
        <v>0</v>
      </c>
      <c r="X15" s="23">
        <f ca="1">SUMPRODUCT((Август[№]=3)*Август[20],OFFSET(Август[Объем],-2,0))</f>
        <v>0</v>
      </c>
      <c r="Y15" s="3">
        <f ca="1">SUMPRODUCT((Август[№]=3)*Август[21],OFFSET(Август[Объем],-2,0))</f>
        <v>0</v>
      </c>
      <c r="Z15" s="3">
        <f ca="1">SUMPRODUCT((Август[№]=3)*Август[22],OFFSET(Август[Объем],-2,0))</f>
        <v>0</v>
      </c>
      <c r="AA15" s="3">
        <f ca="1">SUMPRODUCT((Август[№]=3)*Август[23],OFFSET(Август[Объем],-2,0))</f>
        <v>0</v>
      </c>
      <c r="AB15" s="3">
        <f ca="1">SUMPRODUCT((Август[№]=3)*Август[24],OFFSET(Август[Объем],-2,0))</f>
        <v>0</v>
      </c>
      <c r="AC15" s="3">
        <f ca="1">SUMPRODUCT((Август[№]=3)*Август[25],OFFSET(Август[Объем],-2,0))</f>
        <v>0</v>
      </c>
      <c r="AD15" s="23">
        <f ca="1">SUMPRODUCT((Август[№]=3)*Август[26],OFFSET(Август[Объем],-2,0))</f>
        <v>0</v>
      </c>
      <c r="AE15" s="23">
        <f ca="1">SUMPRODUCT((Август[№]=3)*Август[27],OFFSET(Август[Объем],-2,0))</f>
        <v>0</v>
      </c>
      <c r="AF15" s="3">
        <f ca="1">SUMPRODUCT((Август[№]=3)*Август[28],OFFSET(Август[Объем],-2,0))</f>
        <v>0</v>
      </c>
      <c r="AG15" s="3">
        <f ca="1">SUMPRODUCT((Август[№]=3)*Август[29],OFFSET(Август[Объем],-2,0))</f>
        <v>0</v>
      </c>
      <c r="AH15" s="3">
        <f ca="1">SUMPRODUCT((Август[№]=3)*Август[30],OFFSET(Август[Объем],-2,0))</f>
        <v>0</v>
      </c>
      <c r="AI15" s="3">
        <f ca="1">SUMPRODUCT((Август[№]=3)*Август[31],OFFSET(Август[Объем],-2,0))</f>
        <v>0</v>
      </c>
      <c r="AK15" s="9"/>
    </row>
    <row r="16" spans="1:38" x14ac:dyDescent="0.25">
      <c r="B16" s="13">
        <f ca="1">SUMPRODUCT((Настройки!$G$28:$AK$28=4)*E16:AI16)</f>
        <v>0</v>
      </c>
      <c r="D16" s="5"/>
      <c r="E16" s="3">
        <f t="shared" ref="E16:AH16" ca="1" si="0">SUM(E13:E15)</f>
        <v>0</v>
      </c>
      <c r="F16" s="3">
        <f t="shared" ca="1" si="0"/>
        <v>0</v>
      </c>
      <c r="G16" s="3">
        <f t="shared" ca="1" si="0"/>
        <v>0</v>
      </c>
      <c r="H16" s="3">
        <f t="shared" ca="1" si="0"/>
        <v>0</v>
      </c>
      <c r="I16" s="23">
        <f t="shared" ca="1" si="0"/>
        <v>0</v>
      </c>
      <c r="J16" s="23">
        <f t="shared" ca="1" si="0"/>
        <v>0</v>
      </c>
      <c r="K16" s="3">
        <f t="shared" ca="1" si="0"/>
        <v>0</v>
      </c>
      <c r="L16" s="3">
        <f t="shared" ca="1" si="0"/>
        <v>0</v>
      </c>
      <c r="M16" s="3">
        <f t="shared" ca="1" si="0"/>
        <v>0</v>
      </c>
      <c r="N16" s="3">
        <f t="shared" ca="1" si="0"/>
        <v>0</v>
      </c>
      <c r="O16" s="3">
        <f t="shared" ca="1" si="0"/>
        <v>0</v>
      </c>
      <c r="P16" s="23">
        <f t="shared" ca="1" si="0"/>
        <v>0</v>
      </c>
      <c r="Q16" s="23">
        <f t="shared" ca="1" si="0"/>
        <v>0</v>
      </c>
      <c r="R16" s="3">
        <f t="shared" ca="1" si="0"/>
        <v>0</v>
      </c>
      <c r="S16" s="3">
        <f t="shared" ca="1" si="0"/>
        <v>0</v>
      </c>
      <c r="T16" s="3">
        <f t="shared" ca="1" si="0"/>
        <v>0</v>
      </c>
      <c r="U16" s="3">
        <f t="shared" ca="1" si="0"/>
        <v>0</v>
      </c>
      <c r="V16" s="3">
        <f t="shared" ca="1" si="0"/>
        <v>0</v>
      </c>
      <c r="W16" s="23">
        <f t="shared" ca="1" si="0"/>
        <v>0</v>
      </c>
      <c r="X16" s="23">
        <f t="shared" ca="1" si="0"/>
        <v>0</v>
      </c>
      <c r="Y16" s="3">
        <f t="shared" ca="1" si="0"/>
        <v>0</v>
      </c>
      <c r="Z16" s="3">
        <f t="shared" ca="1" si="0"/>
        <v>0</v>
      </c>
      <c r="AA16" s="3">
        <f t="shared" ca="1" si="0"/>
        <v>0</v>
      </c>
      <c r="AB16" s="3">
        <f t="shared" ca="1" si="0"/>
        <v>0</v>
      </c>
      <c r="AC16" s="3">
        <f t="shared" ca="1" si="0"/>
        <v>0</v>
      </c>
      <c r="AD16" s="23">
        <f t="shared" ca="1" si="0"/>
        <v>0</v>
      </c>
      <c r="AE16" s="23">
        <f t="shared" ca="1" si="0"/>
        <v>0</v>
      </c>
      <c r="AF16" s="3">
        <f t="shared" ca="1" si="0"/>
        <v>0</v>
      </c>
      <c r="AG16" s="3">
        <f t="shared" ca="1" si="0"/>
        <v>0</v>
      </c>
      <c r="AH16" s="3">
        <f t="shared" ca="1" si="0"/>
        <v>0</v>
      </c>
      <c r="AI16" s="3">
        <f ca="1">SUM(AI13:AI15)</f>
        <v>0</v>
      </c>
      <c r="AK16" s="9"/>
    </row>
    <row r="17" spans="1:37" x14ac:dyDescent="0.25">
      <c r="B17" s="3">
        <f ca="1">SUMPRODUCT((Настройки!$G$28:$AK$28=5)*E16:AI16)</f>
        <v>0</v>
      </c>
      <c r="C17" s="5">
        <f ca="1">АвгустИтоги[[#This Row],[№]]*60</f>
        <v>0</v>
      </c>
      <c r="D17" s="7">
        <f ca="1">SUM(АвгустИтоги[[#This Row],[1]:[31]])</f>
        <v>0</v>
      </c>
      <c r="E17" s="6">
        <f ca="1">E16/60</f>
        <v>0</v>
      </c>
      <c r="F17" s="6">
        <f t="shared" ref="F17:AH17" ca="1" si="1">F16/60</f>
        <v>0</v>
      </c>
      <c r="G17" s="6">
        <f t="shared" ca="1" si="1"/>
        <v>0</v>
      </c>
      <c r="H17" s="6">
        <f t="shared" ca="1" si="1"/>
        <v>0</v>
      </c>
      <c r="I17" s="24">
        <f t="shared" ca="1" si="1"/>
        <v>0</v>
      </c>
      <c r="J17" s="24">
        <f t="shared" ca="1" si="1"/>
        <v>0</v>
      </c>
      <c r="K17" s="6">
        <f t="shared" ca="1" si="1"/>
        <v>0</v>
      </c>
      <c r="L17" s="6">
        <f t="shared" ca="1" si="1"/>
        <v>0</v>
      </c>
      <c r="M17" s="6">
        <f t="shared" ca="1" si="1"/>
        <v>0</v>
      </c>
      <c r="N17" s="6">
        <f t="shared" ca="1" si="1"/>
        <v>0</v>
      </c>
      <c r="O17" s="6">
        <f t="shared" ca="1" si="1"/>
        <v>0</v>
      </c>
      <c r="P17" s="24">
        <f t="shared" ca="1" si="1"/>
        <v>0</v>
      </c>
      <c r="Q17" s="24">
        <f t="shared" ca="1" si="1"/>
        <v>0</v>
      </c>
      <c r="R17" s="6">
        <f t="shared" ca="1" si="1"/>
        <v>0</v>
      </c>
      <c r="S17" s="6">
        <f t="shared" ca="1" si="1"/>
        <v>0</v>
      </c>
      <c r="T17" s="6">
        <f t="shared" ca="1" si="1"/>
        <v>0</v>
      </c>
      <c r="U17" s="6">
        <f t="shared" ca="1" si="1"/>
        <v>0</v>
      </c>
      <c r="V17" s="6">
        <f t="shared" ca="1" si="1"/>
        <v>0</v>
      </c>
      <c r="W17" s="24">
        <f t="shared" ca="1" si="1"/>
        <v>0</v>
      </c>
      <c r="X17" s="24">
        <f t="shared" ca="1" si="1"/>
        <v>0</v>
      </c>
      <c r="Y17" s="6">
        <f t="shared" ca="1" si="1"/>
        <v>0</v>
      </c>
      <c r="Z17" s="6">
        <f t="shared" ca="1" si="1"/>
        <v>0</v>
      </c>
      <c r="AA17" s="6">
        <f t="shared" ca="1" si="1"/>
        <v>0</v>
      </c>
      <c r="AB17" s="6">
        <f t="shared" ca="1" si="1"/>
        <v>0</v>
      </c>
      <c r="AC17" s="6">
        <f t="shared" ca="1" si="1"/>
        <v>0</v>
      </c>
      <c r="AD17" s="24">
        <f t="shared" ca="1" si="1"/>
        <v>0</v>
      </c>
      <c r="AE17" s="24">
        <f t="shared" ca="1" si="1"/>
        <v>0</v>
      </c>
      <c r="AF17" s="6">
        <f t="shared" ca="1" si="1"/>
        <v>0</v>
      </c>
      <c r="AG17" s="6">
        <f t="shared" ca="1" si="1"/>
        <v>0</v>
      </c>
      <c r="AH17" s="6">
        <f t="shared" ca="1" si="1"/>
        <v>0</v>
      </c>
      <c r="AI17" s="6">
        <f ca="1">AI16/60</f>
        <v>0</v>
      </c>
      <c r="AJ17" s="5">
        <f ca="1">SUM(Август[УСЛУГ])</f>
        <v>0</v>
      </c>
      <c r="AK17" s="15">
        <f ca="1">SUM(Август[МИНУТ])</f>
        <v>0</v>
      </c>
    </row>
    <row r="18" spans="1:37" x14ac:dyDescent="0.25">
      <c r="B18" s="13">
        <f ca="1">SUMPRODUCT((Настройки!$G$28:$AK$28=6)*E16:AI16)</f>
        <v>0</v>
      </c>
      <c r="C18" s="13"/>
      <c r="D18" s="7"/>
      <c r="E18" s="13"/>
      <c r="F18" s="6"/>
      <c r="G18" s="6"/>
      <c r="H18" s="6"/>
      <c r="I18" s="24"/>
      <c r="J18" s="24"/>
      <c r="K18" s="6"/>
      <c r="L18" s="6"/>
      <c r="M18" s="6"/>
      <c r="N18" s="6"/>
      <c r="O18" s="6"/>
      <c r="P18" s="24"/>
      <c r="Q18" s="24"/>
      <c r="R18" s="6"/>
      <c r="S18" s="6"/>
      <c r="T18" s="6"/>
      <c r="U18" s="6"/>
      <c r="V18" s="6"/>
      <c r="W18" s="24"/>
      <c r="X18" s="24"/>
      <c r="Y18" s="6"/>
      <c r="Z18" s="6"/>
      <c r="AA18" s="6"/>
      <c r="AB18" s="6"/>
      <c r="AC18" s="6"/>
      <c r="AD18" s="24"/>
      <c r="AE18" s="24"/>
      <c r="AF18" s="6"/>
      <c r="AG18" s="6"/>
      <c r="AH18" s="6"/>
      <c r="AI18" s="13"/>
      <c r="AJ18" s="13"/>
      <c r="AK18" s="45"/>
    </row>
    <row r="20" spans="1:37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9"/>
      <c r="AJ20" s="63" t="s">
        <v>64</v>
      </c>
      <c r="AK20" s="64" t="s">
        <v>64</v>
      </c>
    </row>
    <row r="21" spans="1:37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78"/>
      <c r="AJ21" s="63"/>
      <c r="AK21" s="65"/>
    </row>
    <row r="22" spans="1:37" x14ac:dyDescent="0.25">
      <c r="A22" s="73"/>
      <c r="B22" s="73"/>
      <c r="C22" s="74"/>
      <c r="D22" s="76"/>
      <c r="E22" s="20">
        <f>Настройки!G14</f>
        <v>45505</v>
      </c>
      <c r="F22" s="20">
        <f>Настройки!H14</f>
        <v>45506</v>
      </c>
      <c r="G22" s="20">
        <f>Настройки!I14</f>
        <v>45507</v>
      </c>
      <c r="H22" s="20">
        <f>Настройки!J14</f>
        <v>45508</v>
      </c>
      <c r="I22" s="20">
        <f>Настройки!K14</f>
        <v>45509</v>
      </c>
      <c r="J22" s="20">
        <f>Настройки!L14</f>
        <v>45510</v>
      </c>
      <c r="K22" s="20">
        <f>Настройки!M14</f>
        <v>45511</v>
      </c>
      <c r="L22" s="20">
        <f>Настройки!N14</f>
        <v>45512</v>
      </c>
      <c r="M22" s="20">
        <f>Настройки!O14</f>
        <v>45513</v>
      </c>
      <c r="N22" s="20">
        <f>Настройки!P14</f>
        <v>45514</v>
      </c>
      <c r="O22" s="20">
        <f>Настройки!Q14</f>
        <v>45515</v>
      </c>
      <c r="P22" s="20">
        <f>Настройки!R14</f>
        <v>45516</v>
      </c>
      <c r="Q22" s="20">
        <f>Настройки!S14</f>
        <v>45517</v>
      </c>
      <c r="R22" s="20">
        <f>Настройки!T14</f>
        <v>45518</v>
      </c>
      <c r="S22" s="20">
        <f>Настройки!U14</f>
        <v>45519</v>
      </c>
      <c r="T22" s="20">
        <f>Настройки!V14</f>
        <v>45520</v>
      </c>
      <c r="U22" s="20">
        <f>Настройки!W14</f>
        <v>45521</v>
      </c>
      <c r="V22" s="20">
        <f>Настройки!X14</f>
        <v>45522</v>
      </c>
      <c r="W22" s="20">
        <f>Настройки!Y14</f>
        <v>45523</v>
      </c>
      <c r="X22" s="20">
        <f>Настройки!Z14</f>
        <v>45524</v>
      </c>
      <c r="Y22" s="20">
        <f>Настройки!AA14</f>
        <v>45525</v>
      </c>
      <c r="Z22" s="20">
        <f>Настройки!AB14</f>
        <v>45526</v>
      </c>
      <c r="AA22" s="20">
        <f>Настройки!AC14</f>
        <v>45527</v>
      </c>
      <c r="AB22" s="20">
        <f>Настройки!AD14</f>
        <v>45528</v>
      </c>
      <c r="AC22" s="20">
        <f>Настройки!AE14</f>
        <v>45529</v>
      </c>
      <c r="AD22" s="20">
        <f>Настройки!AF14</f>
        <v>45530</v>
      </c>
      <c r="AE22" s="20">
        <f>Настройки!AG14</f>
        <v>45531</v>
      </c>
      <c r="AF22" s="20">
        <f>Настройки!AH14</f>
        <v>45532</v>
      </c>
      <c r="AG22" s="20">
        <f>Настройки!AI14</f>
        <v>45533</v>
      </c>
      <c r="AH22" s="20">
        <f>Настройки!AJ14</f>
        <v>45534</v>
      </c>
      <c r="AI22" s="20">
        <f>Настройки!AK14</f>
        <v>45535</v>
      </c>
      <c r="AJ22" s="63"/>
      <c r="AK22" s="65"/>
    </row>
    <row r="23" spans="1:37" x14ac:dyDescent="0.25">
      <c r="A23" s="73"/>
      <c r="B23" s="73"/>
      <c r="C23" s="74"/>
      <c r="D23" s="76"/>
      <c r="E23" s="73" t="s">
        <v>54</v>
      </c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9"/>
      <c r="AJ23" s="63"/>
      <c r="AK23" s="65"/>
    </row>
    <row r="24" spans="1:37" x14ac:dyDescent="0.25">
      <c r="A24" s="73"/>
      <c r="B24" s="73"/>
      <c r="C24" s="74"/>
      <c r="D24" s="76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9"/>
      <c r="AJ24" s="63"/>
      <c r="AK24" s="66"/>
    </row>
    <row r="25" spans="1:37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IF(Август[[#This Row],[№]]=1,SUM(Август[[#This Row],[1]:[31]])+SUM(OFFSET(Август[[#This Row],[1]:[31]],1,0))+SUM(OFFSET(Август[[#This Row],[1]:[31]],2,0)),"")</f>
        <v>0</v>
      </c>
      <c r="AK26" s="5">
        <f ca="1">IF(Август[[#This Row],[УСЛУГ]]&lt;&gt;"",Август[[#This Row],[УСЛУГ]]*Август[[#This Row],[Объем]],"")</f>
        <v>0</v>
      </c>
    </row>
    <row r="27" spans="1:37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IF(Август[[#This Row],[№]]=1,SUM(Август[[#This Row],[1]:[31]])+SUM(OFFSET(Август[[#This Row],[1]:[31]],1,0))+SUM(OFFSET(Август[[#This Row],[1]:[31]],2,0)),"")</f>
        <v/>
      </c>
      <c r="AK27" s="5" t="str">
        <f ca="1">IF(Август[[#This Row],[УСЛУГ]]&lt;&gt;"",Август[[#This Row],[УСЛУГ]]*Август[[#This Row],[Объем]],"")</f>
        <v/>
      </c>
    </row>
    <row r="28" spans="1:37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IF(Август[[#This Row],[№]]=1,SUM(Август[[#This Row],[1]:[31]])+SUM(OFFSET(Август[[#This Row],[1]:[31]],1,0))+SUM(OFFSET(Август[[#This Row],[1]:[31]],2,0)),"")</f>
        <v/>
      </c>
      <c r="AK28" s="5" t="str">
        <f ca="1">IF(Август[[#This Row],[УСЛУГ]]&lt;&gt;"",Август[[#This Row],[УСЛУГ]]*Август[[#This Row],[Объем]],"")</f>
        <v/>
      </c>
    </row>
  </sheetData>
  <mergeCells count="20">
    <mergeCell ref="A2:AJ2"/>
    <mergeCell ref="A3:AJ3"/>
    <mergeCell ref="J4:L4"/>
    <mergeCell ref="M4:U4"/>
    <mergeCell ref="M5:Q5"/>
    <mergeCell ref="A20:A24"/>
    <mergeCell ref="B20:C24"/>
    <mergeCell ref="D20:D24"/>
    <mergeCell ref="AJ20:AJ24"/>
    <mergeCell ref="A7:A11"/>
    <mergeCell ref="B7:B11"/>
    <mergeCell ref="C7:C11"/>
    <mergeCell ref="D7:D11"/>
    <mergeCell ref="AJ7:AJ11"/>
    <mergeCell ref="AK20:AK24"/>
    <mergeCell ref="E23:AI24"/>
    <mergeCell ref="AK7:AK11"/>
    <mergeCell ref="E10:AI11"/>
    <mergeCell ref="E7:AI8"/>
    <mergeCell ref="E20:AI21"/>
  </mergeCells>
  <conditionalFormatting sqref="E9:AI9">
    <cfRule type="expression" dxfId="545" priority="3">
      <formula>WEEKDAY(E9:AI9,2)&gt;5</formula>
    </cfRule>
  </conditionalFormatting>
  <conditionalFormatting sqref="E22:AI22">
    <cfRule type="expression" dxfId="544" priority="2">
      <formula>WEEKDAY(E22:AI22,2)&gt;5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AI16:AK17 E13 B13:B18 E16:E17 AJ14:AK14 AJ15:AK15 E14:AI15" calculatedColumn="1"/>
  </ignoredErrors>
  <tableParts count="2"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7" tint="0.39997558519241921"/>
    <pageSetUpPr fitToPage="1"/>
  </sheetPr>
  <dimension ref="A2:AF36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71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Настройки!G14</f>
        <v>45505</v>
      </c>
      <c r="C10" s="29">
        <f>Настройки!H14</f>
        <v>45506</v>
      </c>
      <c r="D10" s="29">
        <f>Настройки!I14</f>
        <v>45507</v>
      </c>
      <c r="E10" s="29">
        <f>Настройки!J14</f>
        <v>45508</v>
      </c>
      <c r="F10" s="29">
        <f>Настройки!K14</f>
        <v>45509</v>
      </c>
      <c r="G10" s="29">
        <f>Настройки!L14</f>
        <v>45510</v>
      </c>
      <c r="H10" s="29">
        <f>Настройки!M14</f>
        <v>45511</v>
      </c>
      <c r="I10" s="29">
        <f>Настройки!N14</f>
        <v>45512</v>
      </c>
      <c r="J10" s="29">
        <f>Настройки!O14</f>
        <v>45513</v>
      </c>
      <c r="K10" s="29">
        <f>Настройки!P14</f>
        <v>45514</v>
      </c>
      <c r="L10" s="29">
        <f>Настройки!Q14</f>
        <v>45515</v>
      </c>
      <c r="M10" s="29">
        <f>Настройки!R14</f>
        <v>45516</v>
      </c>
      <c r="N10" s="29">
        <f>Настройки!S14</f>
        <v>45517</v>
      </c>
      <c r="O10" s="29">
        <f>Настройки!T14</f>
        <v>45518</v>
      </c>
      <c r="P10" s="29">
        <f>Настройки!U14</f>
        <v>45519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IF(Настройки!J2&lt;&gt;"",TEXT(MIN(Настройки!G78:AK78,Настройки!J2),"ч:мм")&amp;"-"&amp;TEXT(MAX(Настройки!G78:AK78,Настройки!J2)+TIME(0,MAX(Август!E13:AI13),0),"ч:мм"),"")</f>
        <v>9:00-9:00</v>
      </c>
      <c r="B14" s="30" t="str">
        <f>IF(TEXT(IF(Настройки!G78="",TEXT(Настройки!$J2,"ч:мм"),TEXT(Настройки!G78,"ч:мм"))+TIME(0,Август!E13,0),"ч::мм")=TEXT(IF(Настройки!G78="",TEXT(Настройки!$J2,"ч:мм"),TEXT(Настройки!G78,"ч:мм")),"ч:мм"),"",TEXT(IF(Настройки!G78="",TEXT(Настройки!$J2,"ч:мм"),TEXT(Настройки!G78,"ч:мм")),"ч:мм")&amp;"-"&amp;TEXT(IF(Настройки!G78="",TEXT(Настройки!$J2,"ч:мм"),TEXT(Настройки!G78,"ч:мм"))+TIME(0,Август!E13,0),"ч::мм"))</f>
        <v/>
      </c>
      <c r="C14" s="30" t="str">
        <f>IF(TEXT(IF(Настройки!H78="",TEXT(Настройки!$J2,"ч:мм"),TEXT(Настройки!H78,"ч:мм"))+TIME(0,Август!F13,0),"ч::мм")=TEXT(IF(Настройки!H78="",TEXT(Настройки!$J2,"ч:мм"),TEXT(Настройки!H78,"ч:мм")),"ч:мм"),"",TEXT(IF(Настройки!H78="",TEXT(Настройки!$J2,"ч:мм"),TEXT(Настройки!H78,"ч:мм")),"ч:мм")&amp;"-"&amp;TEXT(IF(Настройки!H78="",TEXT(Настройки!$J2,"ч:мм"),TEXT(Настройки!H78,"ч:мм"))+TIME(0,Август!F13,0),"ч::мм"))</f>
        <v/>
      </c>
      <c r="D14" s="30" t="str">
        <f>IF(TEXT(IF(Настройки!I78="",TEXT(Настройки!$J2,"ч:мм"),TEXT(Настройки!I78,"ч:мм"))+TIME(0,Август!G13,0),"ч::мм")=TEXT(IF(Настройки!I78="",TEXT(Настройки!$J2,"ч:мм"),TEXT(Настройки!I78,"ч:мм")),"ч:мм"),"",TEXT(IF(Настройки!I78="",TEXT(Настройки!$J2,"ч:мм"),TEXT(Настройки!I78,"ч:мм")),"ч:мм")&amp;"-"&amp;TEXT(IF(Настройки!I78="",TEXT(Настройки!$J2,"ч:мм"),TEXT(Настройки!I78,"ч:мм"))+TIME(0,Август!G13,0),"ч::мм"))</f>
        <v/>
      </c>
      <c r="E14" s="30" t="str">
        <f>IF(TEXT(IF(Настройки!J78="",TEXT(Настройки!$J2,"ч:мм"),TEXT(Настройки!J78,"ч:мм"))+TIME(0,Август!H13,0),"ч::мм")=TEXT(IF(Настройки!J78="",TEXT(Настройки!$J2,"ч:мм"),TEXT(Настройки!J78,"ч:мм")),"ч:мм"),"",TEXT(IF(Настройки!J78="",TEXT(Настройки!$J2,"ч:мм"),TEXT(Настройки!J78,"ч:мм")),"ч:мм")&amp;"-"&amp;TEXT(IF(Настройки!J78="",TEXT(Настройки!$J2,"ч:мм"),TEXT(Настройки!J78,"ч:мм"))+TIME(0,Август!H13,0),"ч::мм"))</f>
        <v/>
      </c>
      <c r="F14" s="30" t="str">
        <f>IF(TEXT(IF(Настройки!K78="",TEXT(Настройки!$J2,"ч:мм"),TEXT(Настройки!K78,"ч:мм"))+TIME(0,Август!I13,0),"ч::мм")=TEXT(IF(Настройки!K78="",TEXT(Настройки!$J2,"ч:мм"),TEXT(Настройки!K78,"ч:мм")),"ч:мм"),"",TEXT(IF(Настройки!K78="",TEXT(Настройки!$J2,"ч:мм"),TEXT(Настройки!K78,"ч:мм")),"ч:мм")&amp;"-"&amp;TEXT(IF(Настройки!K78="",TEXT(Настройки!$J2,"ч:мм"),TEXT(Настройки!K78,"ч:мм"))+TIME(0,Август!I13,0),"ч::мм"))</f>
        <v/>
      </c>
      <c r="G14" s="30" t="str">
        <f>IF(TEXT(IF(Настройки!L78="",TEXT(Настройки!$J2,"ч:мм"),TEXT(Настройки!L78,"ч:мм"))+TIME(0,Август!J13,0),"ч::мм")=TEXT(IF(Настройки!L78="",TEXT(Настройки!$J2,"ч:мм"),TEXT(Настройки!L78,"ч:мм")),"ч:мм"),"",TEXT(IF(Настройки!L78="",TEXT(Настройки!$J2,"ч:мм"),TEXT(Настройки!L78,"ч:мм")),"ч:мм")&amp;"-"&amp;TEXT(IF(Настройки!L78="",TEXT(Настройки!$J2,"ч:мм"),TEXT(Настройки!L78,"ч:мм"))+TIME(0,Август!J13,0),"ч::мм"))</f>
        <v/>
      </c>
      <c r="H14" s="30" t="str">
        <f>IF(TEXT(IF(Настройки!M78="",TEXT(Настройки!$J2,"ч:мм"),TEXT(Настройки!M78,"ч:мм"))+TIME(0,Август!K13,0),"ч::мм")=TEXT(IF(Настройки!M78="",TEXT(Настройки!$J2,"ч:мм"),TEXT(Настройки!M78,"ч:мм")),"ч:мм"),"",TEXT(IF(Настройки!M78="",TEXT(Настройки!$J2,"ч:мм"),TEXT(Настройки!M78,"ч:мм")),"ч:мм")&amp;"-"&amp;TEXT(IF(Настройки!M78="",TEXT(Настройки!$J2,"ч:мм"),TEXT(Настройки!M78,"ч:мм"))+TIME(0,Август!K13,0),"ч::мм"))</f>
        <v/>
      </c>
      <c r="I14" s="30" t="str">
        <f>IF(TEXT(IF(Настройки!N78="",TEXT(Настройки!$J2,"ч:мм"),TEXT(Настройки!N78,"ч:мм"))+TIME(0,Август!L13,0),"ч::мм")=TEXT(IF(Настройки!N78="",TEXT(Настройки!$J2,"ч:мм"),TEXT(Настройки!N78,"ч:мм")),"ч:мм"),"",TEXT(IF(Настройки!N78="",TEXT(Настройки!$J2,"ч:мм"),TEXT(Настройки!N78,"ч:мм")),"ч:мм")&amp;"-"&amp;TEXT(IF(Настройки!N78="",TEXT(Настройки!$J2,"ч:мм"),TEXT(Настройки!N78,"ч:мм"))+TIME(0,Август!L13,0),"ч::мм"))</f>
        <v/>
      </c>
      <c r="J14" s="30" t="str">
        <f>IF(TEXT(IF(Настройки!O78="",TEXT(Настройки!$J2,"ч:мм"),TEXT(Настройки!O78,"ч:мм"))+TIME(0,Август!M13,0),"ч::мм")=TEXT(IF(Настройки!O78="",TEXT(Настройки!$J2,"ч:мм"),TEXT(Настройки!O78,"ч:мм")),"ч:мм"),"",TEXT(IF(Настройки!O78="",TEXT(Настройки!$J2,"ч:мм"),TEXT(Настройки!O78,"ч:мм")),"ч:мм")&amp;"-"&amp;TEXT(IF(Настройки!O78="",TEXT(Настройки!$J2,"ч:мм"),TEXT(Настройки!O78,"ч:мм"))+TIME(0,Август!M13,0),"ч::мм"))</f>
        <v/>
      </c>
      <c r="K14" s="30" t="str">
        <f>IF(TEXT(IF(Настройки!P78="",TEXT(Настройки!$J2,"ч:мм"),TEXT(Настройки!P78,"ч:мм"))+TIME(0,Август!N13,0),"ч::мм")=TEXT(IF(Настройки!P78="",TEXT(Настройки!$J2,"ч:мм"),TEXT(Настройки!P78,"ч:мм")),"ч:мм"),"",TEXT(IF(Настройки!P78="",TEXT(Настройки!$J2,"ч:мм"),TEXT(Настройки!P78,"ч:мм")),"ч:мм")&amp;"-"&amp;TEXT(IF(Настройки!P78="",TEXT(Настройки!$J2,"ч:мм"),TEXT(Настройки!P78,"ч:мм"))+TIME(0,Август!N13,0),"ч::мм"))</f>
        <v/>
      </c>
      <c r="L14" s="30" t="str">
        <f>IF(TEXT(IF(Настройки!Q78="",TEXT(Настройки!$J2,"ч:мм"),TEXT(Настройки!Q78,"ч:мм"))+TIME(0,Август!O13,0),"ч::мм")=TEXT(IF(Настройки!Q78="",TEXT(Настройки!$J2,"ч:мм"),TEXT(Настройки!Q78,"ч:мм")),"ч:мм"),"",TEXT(IF(Настройки!Q78="",TEXT(Настройки!$J2,"ч:мм"),TEXT(Настройки!Q78,"ч:мм")),"ч:мм")&amp;"-"&amp;TEXT(IF(Настройки!Q78="",TEXT(Настройки!$J2,"ч:мм"),TEXT(Настройки!Q78,"ч:мм"))+TIME(0,Август!O13,0),"ч::мм"))</f>
        <v/>
      </c>
      <c r="M14" s="30" t="str">
        <f>IF(TEXT(IF(Настройки!R78="",TEXT(Настройки!$J2,"ч:мм"),TEXT(Настройки!R78,"ч:мм"))+TIME(0,Август!P13,0),"ч::мм")=TEXT(IF(Настройки!R78="",TEXT(Настройки!$J2,"ч:мм"),TEXT(Настройки!R78,"ч:мм")),"ч:мм"),"",TEXT(IF(Настройки!R78="",TEXT(Настройки!$J2,"ч:мм"),TEXT(Настройки!R78,"ч:мм")),"ч:мм")&amp;"-"&amp;TEXT(IF(Настройки!R78="",TEXT(Настройки!$J2,"ч:мм"),TEXT(Настройки!R78,"ч:мм"))+TIME(0,Август!P13,0),"ч::мм"))</f>
        <v/>
      </c>
      <c r="N14" s="30" t="str">
        <f>IF(TEXT(IF(Настройки!S78="",TEXT(Настройки!$J2,"ч:мм"),TEXT(Настройки!S78,"ч:мм"))+TIME(0,Август!Q13,0),"ч::мм")=TEXT(IF(Настройки!S78="",TEXT(Настройки!$J2,"ч:мм"),TEXT(Настройки!S78,"ч:мм")),"ч:мм"),"",TEXT(IF(Настройки!S78="",TEXT(Настройки!$J2,"ч:мм"),TEXT(Настройки!S78,"ч:мм")),"ч:мм")&amp;"-"&amp;TEXT(IF(Настройки!S78="",TEXT(Настройки!$J2,"ч:мм"),TEXT(Настройки!S78,"ч:мм"))+TIME(0,Август!Q13,0),"ч::мм"))</f>
        <v/>
      </c>
      <c r="O14" s="30" t="str">
        <f>IF(TEXT(IF(Настройки!T78="",TEXT(Настройки!$J2,"ч:мм"),TEXT(Настройки!T78,"ч:мм"))+TIME(0,Август!R13,0),"ч::мм")=TEXT(IF(Настройки!T78="",TEXT(Настройки!$J2,"ч:мм"),TEXT(Настройки!T78,"ч:мм")),"ч:мм"),"",TEXT(IF(Настройки!T78="",TEXT(Настройки!$J2,"ч:мм"),TEXT(Настройки!T78,"ч:мм")),"ч:мм")&amp;"-"&amp;TEXT(IF(Настройки!T78="",TEXT(Настройки!$J2,"ч:мм"),TEXT(Настройки!T78,"ч:мм"))+TIME(0,Август!R13,0),"ч::мм"))</f>
        <v/>
      </c>
      <c r="P14" s="30" t="str">
        <f>IF(TEXT(IF(Настройки!U78="",TEXT(Настройки!$J2,"ч:мм"),TEXT(Настройки!U78,"ч:мм"))+TIME(0,Август!S13,0),"ч::мм")=TEXT(IF(Настройки!U78="",TEXT(Настройки!$J2,"ч:мм"),TEXT(Настройки!U78,"ч:мм")),"ч:мм"),"",TEXT(IF(Настройки!U78="",TEXT(Настройки!$J2,"ч:мм"),TEXT(Настройки!U78,"ч:мм")),"ч:мм")&amp;"-"&amp;TEXT(IF(Настройки!U78="",TEXT(Настройки!$J2,"ч:мм"),TEXT(Настройки!U78,"ч:мм"))+TIME(0,Август!S13,0),"ч::мм"))</f>
        <v/>
      </c>
      <c r="R14" s="30"/>
    </row>
    <row r="15" spans="1:32" x14ac:dyDescent="0.25">
      <c r="A15" s="32" t="str">
        <f ca="1">IF(Настройки!J3&lt;&gt;"",TEXT(MIN(Настройки!G79:AK79,Настройки!J3),"ч:мм")&amp;"-"&amp;TEXT(MAX(Настройки!G79:AK79,Настройки!J3)+TIME(0,MAX(Август!E14:AI14),0),"ч:мм"),"")</f>
        <v>13:00-13:00</v>
      </c>
      <c r="B15" s="30" t="str">
        <f ca="1">IF(TEXT(IF(Настройки!G79="",TEXT(Настройки!$J3,"ч:мм"),TEXT(Настройки!G79,"ч:мм"))+TIME(0,Август!E14,0),"ч::мм")=TEXT(IF(Настройки!G79="",TEXT(Настройки!$J3,"ч:мм"),TEXT(Настройки!G79,"ч:мм")),"ч:мм"),"",TEXT(IF(Настройки!G79="",TEXT(Настройки!$J3,"ч:мм"),TEXT(Настройки!G79,"ч:мм")),"ч:мм")&amp;"-"&amp;TEXT(IF(Настройки!G79="",TEXT(Настройки!$J3,"ч:мм"),TEXT(Настройки!G79,"ч:мм"))+TIME(0,Август!E14,0),"ч::мм"))</f>
        <v/>
      </c>
      <c r="C15" s="30" t="str">
        <f ca="1">IF(TEXT(IF(Настройки!H79="",TEXT(Настройки!$J3,"ч:мм"),TEXT(Настройки!H79,"ч:мм"))+TIME(0,Август!F14,0),"ч::мм")=TEXT(IF(Настройки!H79="",TEXT(Настройки!$J3,"ч:мм"),TEXT(Настройки!H79,"ч:мм")),"ч:мм"),"",TEXT(IF(Настройки!H79="",TEXT(Настройки!$J3,"ч:мм"),TEXT(Настройки!H79,"ч:мм")),"ч:мм")&amp;"-"&amp;TEXT(IF(Настройки!H79="",TEXT(Настройки!$J3,"ч:мм"),TEXT(Настройки!H79,"ч:мм"))+TIME(0,Август!F14,0),"ч::мм"))</f>
        <v/>
      </c>
      <c r="D15" s="30" t="str">
        <f ca="1">IF(TEXT(IF(Настройки!I79="",TEXT(Настройки!$J3,"ч:мм"),TEXT(Настройки!I79,"ч:мм"))+TIME(0,Август!G14,0),"ч::мм")=TEXT(IF(Настройки!I79="",TEXT(Настройки!$J3,"ч:мм"),TEXT(Настройки!I79,"ч:мм")),"ч:мм"),"",TEXT(IF(Настройки!I79="",TEXT(Настройки!$J3,"ч:мм"),TEXT(Настройки!I79,"ч:мм")),"ч:мм")&amp;"-"&amp;TEXT(IF(Настройки!I79="",TEXT(Настройки!$J3,"ч:мм"),TEXT(Настройки!I79,"ч:мм"))+TIME(0,Август!G14,0),"ч::мм"))</f>
        <v/>
      </c>
      <c r="E15" s="30" t="str">
        <f ca="1">IF(TEXT(IF(Настройки!J79="",TEXT(Настройки!$J3,"ч:мм"),TEXT(Настройки!J79,"ч:мм"))+TIME(0,Август!H14,0),"ч::мм")=TEXT(IF(Настройки!J79="",TEXT(Настройки!$J3,"ч:мм"),TEXT(Настройки!J79,"ч:мм")),"ч:мм"),"",TEXT(IF(Настройки!J79="",TEXT(Настройки!$J3,"ч:мм"),TEXT(Настройки!J79,"ч:мм")),"ч:мм")&amp;"-"&amp;TEXT(IF(Настройки!J79="",TEXT(Настройки!$J3,"ч:мм"),TEXT(Настройки!J79,"ч:мм"))+TIME(0,Август!H14,0),"ч::мм"))</f>
        <v/>
      </c>
      <c r="F15" s="30" t="str">
        <f ca="1">IF(TEXT(IF(Настройки!K79="",TEXT(Настройки!$J3,"ч:мм"),TEXT(Настройки!K79,"ч:мм"))+TIME(0,Август!I14,0),"ч::мм")=TEXT(IF(Настройки!K79="",TEXT(Настройки!$J3,"ч:мм"),TEXT(Настройки!K79,"ч:мм")),"ч:мм"),"",TEXT(IF(Настройки!K79="",TEXT(Настройки!$J3,"ч:мм"),TEXT(Настройки!K79,"ч:мм")),"ч:мм")&amp;"-"&amp;TEXT(IF(Настройки!K79="",TEXT(Настройки!$J3,"ч:мм"),TEXT(Настройки!K79,"ч:мм"))+TIME(0,Август!I14,0),"ч::мм"))</f>
        <v/>
      </c>
      <c r="G15" s="30" t="str">
        <f ca="1">IF(TEXT(IF(Настройки!L79="",TEXT(Настройки!$J3,"ч:мм"),TEXT(Настройки!L79,"ч:мм"))+TIME(0,Август!J14,0),"ч::мм")=TEXT(IF(Настройки!L79="",TEXT(Настройки!$J3,"ч:мм"),TEXT(Настройки!L79,"ч:мм")),"ч:мм"),"",TEXT(IF(Настройки!L79="",TEXT(Настройки!$J3,"ч:мм"),TEXT(Настройки!L79,"ч:мм")),"ч:мм")&amp;"-"&amp;TEXT(IF(Настройки!L79="",TEXT(Настройки!$J3,"ч:мм"),TEXT(Настройки!L79,"ч:мм"))+TIME(0,Август!J14,0),"ч::мм"))</f>
        <v/>
      </c>
      <c r="H15" s="30" t="str">
        <f ca="1">IF(TEXT(IF(Настройки!M79="",TEXT(Настройки!$J3,"ч:мм"),TEXT(Настройки!M79,"ч:мм"))+TIME(0,Август!K14,0),"ч::мм")=TEXT(IF(Настройки!M79="",TEXT(Настройки!$J3,"ч:мм"),TEXT(Настройки!M79,"ч:мм")),"ч:мм"),"",TEXT(IF(Настройки!M79="",TEXT(Настройки!$J3,"ч:мм"),TEXT(Настройки!M79,"ч:мм")),"ч:мм")&amp;"-"&amp;TEXT(IF(Настройки!M79="",TEXT(Настройки!$J3,"ч:мм"),TEXT(Настройки!M79,"ч:мм"))+TIME(0,Август!K14,0),"ч::мм"))</f>
        <v/>
      </c>
      <c r="I15" s="30" t="str">
        <f ca="1">IF(TEXT(IF(Настройки!N79="",TEXT(Настройки!$J3,"ч:мм"),TEXT(Настройки!N79,"ч:мм"))+TIME(0,Август!L14,0),"ч::мм")=TEXT(IF(Настройки!N79="",TEXT(Настройки!$J3,"ч:мм"),TEXT(Настройки!N79,"ч:мм")),"ч:мм"),"",TEXT(IF(Настройки!N79="",TEXT(Настройки!$J3,"ч:мм"),TEXT(Настройки!N79,"ч:мм")),"ч:мм")&amp;"-"&amp;TEXT(IF(Настройки!N79="",TEXT(Настройки!$J3,"ч:мм"),TEXT(Настройки!N79,"ч:мм"))+TIME(0,Август!L14,0),"ч::мм"))</f>
        <v/>
      </c>
      <c r="J15" s="30" t="str">
        <f ca="1">IF(TEXT(IF(Настройки!O79="",TEXT(Настройки!$J3,"ч:мм"),TEXT(Настройки!O79,"ч:мм"))+TIME(0,Август!M14,0),"ч::мм")=TEXT(IF(Настройки!O79="",TEXT(Настройки!$J3,"ч:мм"),TEXT(Настройки!O79,"ч:мм")),"ч:мм"),"",TEXT(IF(Настройки!O79="",TEXT(Настройки!$J3,"ч:мм"),TEXT(Настройки!O79,"ч:мм")),"ч:мм")&amp;"-"&amp;TEXT(IF(Настройки!O79="",TEXT(Настройки!$J3,"ч:мм"),TEXT(Настройки!O79,"ч:мм"))+TIME(0,Август!M14,0),"ч::мм"))</f>
        <v/>
      </c>
      <c r="K15" s="30" t="str">
        <f ca="1">IF(TEXT(IF(Настройки!P79="",TEXT(Настройки!$J3,"ч:мм"),TEXT(Настройки!P79,"ч:мм"))+TIME(0,Август!N14,0),"ч::мм")=TEXT(IF(Настройки!P79="",TEXT(Настройки!$J3,"ч:мм"),TEXT(Настройки!P79,"ч:мм")),"ч:мм"),"",TEXT(IF(Настройки!P79="",TEXT(Настройки!$J3,"ч:мм"),TEXT(Настройки!P79,"ч:мм")),"ч:мм")&amp;"-"&amp;TEXT(IF(Настройки!P79="",TEXT(Настройки!$J3,"ч:мм"),TEXT(Настройки!P79,"ч:мм"))+TIME(0,Август!N14,0),"ч::мм"))</f>
        <v/>
      </c>
      <c r="L15" s="30" t="str">
        <f ca="1">IF(TEXT(IF(Настройки!Q79="",TEXT(Настройки!$J3,"ч:мм"),TEXT(Настройки!Q79,"ч:мм"))+TIME(0,Август!O14,0),"ч::мм")=TEXT(IF(Настройки!Q79="",TEXT(Настройки!$J3,"ч:мм"),TEXT(Настройки!Q79,"ч:мм")),"ч:мм"),"",TEXT(IF(Настройки!Q79="",TEXT(Настройки!$J3,"ч:мм"),TEXT(Настройки!Q79,"ч:мм")),"ч:мм")&amp;"-"&amp;TEXT(IF(Настройки!Q79="",TEXT(Настройки!$J3,"ч:мм"),TEXT(Настройки!Q79,"ч:мм"))+TIME(0,Август!O14,0),"ч::мм"))</f>
        <v/>
      </c>
      <c r="M15" s="30" t="str">
        <f ca="1">IF(TEXT(IF(Настройки!R79="",TEXT(Настройки!$J3,"ч:мм"),TEXT(Настройки!R79,"ч:мм"))+TIME(0,Август!P14,0),"ч::мм")=TEXT(IF(Настройки!R79="",TEXT(Настройки!$J3,"ч:мм"),TEXT(Настройки!R79,"ч:мм")),"ч:мм"),"",TEXT(IF(Настройки!R79="",TEXT(Настройки!$J3,"ч:мм"),TEXT(Настройки!R79,"ч:мм")),"ч:мм")&amp;"-"&amp;TEXT(IF(Настройки!R79="",TEXT(Настройки!$J3,"ч:мм"),TEXT(Настройки!R79,"ч:мм"))+TIME(0,Август!P14,0),"ч::мм"))</f>
        <v/>
      </c>
      <c r="N15" s="30" t="str">
        <f ca="1">IF(TEXT(IF(Настройки!S79="",TEXT(Настройки!$J3,"ч:мм"),TEXT(Настройки!S79,"ч:мм"))+TIME(0,Август!Q14,0),"ч::мм")=TEXT(IF(Настройки!S79="",TEXT(Настройки!$J3,"ч:мм"),TEXT(Настройки!S79,"ч:мм")),"ч:мм"),"",TEXT(IF(Настройки!S79="",TEXT(Настройки!$J3,"ч:мм"),TEXT(Настройки!S79,"ч:мм")),"ч:мм")&amp;"-"&amp;TEXT(IF(Настройки!S79="",TEXT(Настройки!$J3,"ч:мм"),TEXT(Настройки!S79,"ч:мм"))+TIME(0,Август!Q14,0),"ч::мм"))</f>
        <v/>
      </c>
      <c r="O15" s="30" t="str">
        <f ca="1">IF(TEXT(IF(Настройки!T79="",TEXT(Настройки!$J3,"ч:мм"),TEXT(Настройки!T79,"ч:мм"))+TIME(0,Август!R14,0),"ч::мм")=TEXT(IF(Настройки!T79="",TEXT(Настройки!$J3,"ч:мм"),TEXT(Настройки!T79,"ч:мм")),"ч:мм"),"",TEXT(IF(Настройки!T79="",TEXT(Настройки!$J3,"ч:мм"),TEXT(Настройки!T79,"ч:мм")),"ч:мм")&amp;"-"&amp;TEXT(IF(Настройки!T79="",TEXT(Настройки!$J3,"ч:мм"),TEXT(Настройки!T79,"ч:мм"))+TIME(0,Август!R14,0),"ч::мм"))</f>
        <v/>
      </c>
      <c r="P15" s="30" t="str">
        <f ca="1">IF(TEXT(IF(Настройки!U79="",TEXT(Настройки!$J3,"ч:мм"),TEXT(Настройки!U79,"ч:мм"))+TIME(0,Август!S14,0),"ч::мм")=TEXT(IF(Настройки!U79="",TEXT(Настройки!$J3,"ч:мм"),TEXT(Настройки!U79,"ч:мм")),"ч:мм"),"",TEXT(IF(Настройки!U79="",TEXT(Настройки!$J3,"ч:мм"),TEXT(Настройки!U79,"ч:мм")),"ч:мм")&amp;"-"&amp;TEXT(IF(Настройки!U79="",TEXT(Настройки!$J3,"ч:мм"),TEXT(Настройки!U79,"ч:мм"))+TIME(0,Август!S14,0),"ч::мм"))</f>
        <v/>
      </c>
      <c r="S15" s="30"/>
    </row>
    <row r="16" spans="1:32" x14ac:dyDescent="0.25">
      <c r="A16" s="32" t="str">
        <f ca="1">IF(Настройки!J4&lt;&gt;"",TEXT(MIN(Настройки!G80:AK80,Настройки!J4),"ч:мм")&amp;"-"&amp;TEXT(MAX(Настройки!G80:AK80,Настройки!J4)+TIME(0,MAX(Август!E15:AI15),0),"ч:мм"),"")</f>
        <v>16:00-16:00</v>
      </c>
      <c r="B16" s="30" t="str">
        <f ca="1">IF(TEXT(IF(Настройки!G80="",TEXT(Настройки!$J4,"ч:мм"),TEXT(Настройки!G80,"ч:мм"))+TIME(0,Август!E15,0),"ч::мм")=TEXT(IF(Настройки!G80="",TEXT(Настройки!$J4,"ч:мм"),TEXT(Настройки!G80,"ч:мм")),"ч:мм"),"",TEXT(IF(Настройки!G80="",TEXT(Настройки!$J4,"ч:мм"),TEXT(Настройки!G80,"ч:мм")),"ч:мм")&amp;"-"&amp;TEXT(IF(Настройки!G80="",TEXT(Настройки!$J4,"ч:мм"),TEXT(Настройки!G80,"ч:мм"))+TIME(0,Август!E15,0),"ч::мм"))</f>
        <v/>
      </c>
      <c r="C16" s="30" t="str">
        <f ca="1">IF(TEXT(IF(Настройки!H80="",TEXT(Настройки!$J4,"ч:мм"),TEXT(Настройки!H80,"ч:мм"))+TIME(0,Август!F15,0),"ч::мм")=TEXT(IF(Настройки!H80="",TEXT(Настройки!$J4,"ч:мм"),TEXT(Настройки!H80,"ч:мм")),"ч:мм"),"",TEXT(IF(Настройки!H80="",TEXT(Настройки!$J4,"ч:мм"),TEXT(Настройки!H80,"ч:мм")),"ч:мм")&amp;"-"&amp;TEXT(IF(Настройки!H80="",TEXT(Настройки!$J4,"ч:мм"),TEXT(Настройки!H80,"ч:мм"))+TIME(0,Август!F15,0),"ч::мм"))</f>
        <v/>
      </c>
      <c r="D16" s="30" t="str">
        <f ca="1">IF(TEXT(IF(Настройки!I80="",TEXT(Настройки!$J4,"ч:мм"),TEXT(Настройки!I80,"ч:мм"))+TIME(0,Август!G15,0),"ч::мм")=TEXT(IF(Настройки!I80="",TEXT(Настройки!$J4,"ч:мм"),TEXT(Настройки!I80,"ч:мм")),"ч:мм"),"",TEXT(IF(Настройки!I80="",TEXT(Настройки!$J4,"ч:мм"),TEXT(Настройки!I80,"ч:мм")),"ч:мм")&amp;"-"&amp;TEXT(IF(Настройки!I80="",TEXT(Настройки!$J4,"ч:мм"),TEXT(Настройки!I80,"ч:мм"))+TIME(0,Август!G15,0),"ч::мм"))</f>
        <v/>
      </c>
      <c r="E16" s="30" t="str">
        <f ca="1">IF(TEXT(IF(Настройки!J80="",TEXT(Настройки!$J4,"ч:мм"),TEXT(Настройки!J80,"ч:мм"))+TIME(0,Август!H15,0),"ч::мм")=TEXT(IF(Настройки!J80="",TEXT(Настройки!$J4,"ч:мм"),TEXT(Настройки!J80,"ч:мм")),"ч:мм"),"",TEXT(IF(Настройки!J80="",TEXT(Настройки!$J4,"ч:мм"),TEXT(Настройки!J80,"ч:мм")),"ч:мм")&amp;"-"&amp;TEXT(IF(Настройки!J80="",TEXT(Настройки!$J4,"ч:мм"),TEXT(Настройки!J80,"ч:мм"))+TIME(0,Август!H15,0),"ч::мм"))</f>
        <v/>
      </c>
      <c r="F16" s="30" t="str">
        <f ca="1">IF(TEXT(IF(Настройки!K80="",TEXT(Настройки!$J4,"ч:мм"),TEXT(Настройки!K80,"ч:мм"))+TIME(0,Август!I15,0),"ч::мм")=TEXT(IF(Настройки!K80="",TEXT(Настройки!$J4,"ч:мм"),TEXT(Настройки!K80,"ч:мм")),"ч:мм"),"",TEXT(IF(Настройки!K80="",TEXT(Настройки!$J4,"ч:мм"),TEXT(Настройки!K80,"ч:мм")),"ч:мм")&amp;"-"&amp;TEXT(IF(Настройки!K80="",TEXT(Настройки!$J4,"ч:мм"),TEXT(Настройки!K80,"ч:мм"))+TIME(0,Август!I15,0),"ч::мм"))</f>
        <v/>
      </c>
      <c r="G16" s="30" t="str">
        <f ca="1">IF(TEXT(IF(Настройки!L80="",TEXT(Настройки!$J4,"ч:мм"),TEXT(Настройки!L80,"ч:мм"))+TIME(0,Август!J15,0),"ч::мм")=TEXT(IF(Настройки!L80="",TEXT(Настройки!$J4,"ч:мм"),TEXT(Настройки!L80,"ч:мм")),"ч:мм"),"",TEXT(IF(Настройки!L80="",TEXT(Настройки!$J4,"ч:мм"),TEXT(Настройки!L80,"ч:мм")),"ч:мм")&amp;"-"&amp;TEXT(IF(Настройки!L80="",TEXT(Настройки!$J4,"ч:мм"),TEXT(Настройки!L80,"ч:мм"))+TIME(0,Август!J15,0),"ч::мм"))</f>
        <v/>
      </c>
      <c r="H16" s="30" t="str">
        <f ca="1">IF(TEXT(IF(Настройки!M80="",TEXT(Настройки!$J4,"ч:мм"),TEXT(Настройки!M80,"ч:мм"))+TIME(0,Август!K15,0),"ч::мм")=TEXT(IF(Настройки!M80="",TEXT(Настройки!$J4,"ч:мм"),TEXT(Настройки!M80,"ч:мм")),"ч:мм"),"",TEXT(IF(Настройки!M80="",TEXT(Настройки!$J4,"ч:мм"),TEXT(Настройки!M80,"ч:мм")),"ч:мм")&amp;"-"&amp;TEXT(IF(Настройки!M80="",TEXT(Настройки!$J4,"ч:мм"),TEXT(Настройки!M80,"ч:мм"))+TIME(0,Август!K15,0),"ч::мм"))</f>
        <v/>
      </c>
      <c r="I16" s="30" t="str">
        <f ca="1">IF(TEXT(IF(Настройки!N80="",TEXT(Настройки!$J4,"ч:мм"),TEXT(Настройки!N80,"ч:мм"))+TIME(0,Август!L15,0),"ч::мм")=TEXT(IF(Настройки!N80="",TEXT(Настройки!$J4,"ч:мм"),TEXT(Настройки!N80,"ч:мм")),"ч:мм"),"",TEXT(IF(Настройки!N80="",TEXT(Настройки!$J4,"ч:мм"),TEXT(Настройки!N80,"ч:мм")),"ч:мм")&amp;"-"&amp;TEXT(IF(Настройки!N80="",TEXT(Настройки!$J4,"ч:мм"),TEXT(Настройки!N80,"ч:мм"))+TIME(0,Август!L15,0),"ч::мм"))</f>
        <v/>
      </c>
      <c r="J16" s="30" t="str">
        <f ca="1">IF(TEXT(IF(Настройки!O80="",TEXT(Настройки!$J4,"ч:мм"),TEXT(Настройки!O80,"ч:мм"))+TIME(0,Август!M15,0),"ч::мм")=TEXT(IF(Настройки!O80="",TEXT(Настройки!$J4,"ч:мм"),TEXT(Настройки!O80,"ч:мм")),"ч:мм"),"",TEXT(IF(Настройки!O80="",TEXT(Настройки!$J4,"ч:мм"),TEXT(Настройки!O80,"ч:мм")),"ч:мм")&amp;"-"&amp;TEXT(IF(Настройки!O80="",TEXT(Настройки!$J4,"ч:мм"),TEXT(Настройки!O80,"ч:мм"))+TIME(0,Август!M15,0),"ч::мм"))</f>
        <v/>
      </c>
      <c r="K16" s="30" t="str">
        <f ca="1">IF(TEXT(IF(Настройки!P80="",TEXT(Настройки!$J4,"ч:мм"),TEXT(Настройки!P80,"ч:мм"))+TIME(0,Август!N15,0),"ч::мм")=TEXT(IF(Настройки!P80="",TEXT(Настройки!$J4,"ч:мм"),TEXT(Настройки!P80,"ч:мм")),"ч:мм"),"",TEXT(IF(Настройки!P80="",TEXT(Настройки!$J4,"ч:мм"),TEXT(Настройки!P80,"ч:мм")),"ч:мм")&amp;"-"&amp;TEXT(IF(Настройки!P80="",TEXT(Настройки!$J4,"ч:мм"),TEXT(Настройки!P80,"ч:мм"))+TIME(0,Август!N15,0),"ч::мм"))</f>
        <v/>
      </c>
      <c r="L16" s="30" t="str">
        <f ca="1">IF(TEXT(IF(Настройки!Q80="",TEXT(Настройки!$J4,"ч:мм"),TEXT(Настройки!Q80,"ч:мм"))+TIME(0,Август!O15,0),"ч::мм")=TEXT(IF(Настройки!Q80="",TEXT(Настройки!$J4,"ч:мм"),TEXT(Настройки!Q80,"ч:мм")),"ч:мм"),"",TEXT(IF(Настройки!Q80="",TEXT(Настройки!$J4,"ч:мм"),TEXT(Настройки!Q80,"ч:мм")),"ч:мм")&amp;"-"&amp;TEXT(IF(Настройки!Q80="",TEXT(Настройки!$J4,"ч:мм"),TEXT(Настройки!Q80,"ч:мм"))+TIME(0,Август!O15,0),"ч::мм"))</f>
        <v/>
      </c>
      <c r="M16" s="30" t="str">
        <f ca="1">IF(TEXT(IF(Настройки!R80="",TEXT(Настройки!$J4,"ч:мм"),TEXT(Настройки!R80,"ч:мм"))+TIME(0,Август!P15,0),"ч::мм")=TEXT(IF(Настройки!R80="",TEXT(Настройки!$J4,"ч:мм"),TEXT(Настройки!R80,"ч:мм")),"ч:мм"),"",TEXT(IF(Настройки!R80="",TEXT(Настройки!$J4,"ч:мм"),TEXT(Настройки!R80,"ч:мм")),"ч:мм")&amp;"-"&amp;TEXT(IF(Настройки!R80="",TEXT(Настройки!$J4,"ч:мм"),TEXT(Настройки!R80,"ч:мм"))+TIME(0,Август!P15,0),"ч::мм"))</f>
        <v/>
      </c>
      <c r="N16" s="30" t="str">
        <f ca="1">IF(TEXT(IF(Настройки!S80="",TEXT(Настройки!$J4,"ч:мм"),TEXT(Настройки!S80,"ч:мм"))+TIME(0,Август!Q15,0),"ч::мм")=TEXT(IF(Настройки!S80="",TEXT(Настройки!$J4,"ч:мм"),TEXT(Настройки!S80,"ч:мм")),"ч:мм"),"",TEXT(IF(Настройки!S80="",TEXT(Настройки!$J4,"ч:мм"),TEXT(Настройки!S80,"ч:мм")),"ч:мм")&amp;"-"&amp;TEXT(IF(Настройки!S80="",TEXT(Настройки!$J4,"ч:мм"),TEXT(Настройки!S80,"ч:мм"))+TIME(0,Август!Q15,0),"ч::мм"))</f>
        <v/>
      </c>
      <c r="O16" s="30" t="str">
        <f ca="1">IF(TEXT(IF(Настройки!T80="",TEXT(Настройки!$J4,"ч:мм"),TEXT(Настройки!T80,"ч:мм"))+TIME(0,Август!R15,0),"ч::мм")=TEXT(IF(Настройки!T80="",TEXT(Настройки!$J4,"ч:мм"),TEXT(Настройки!T80,"ч:мм")),"ч:мм"),"",TEXT(IF(Настройки!T80="",TEXT(Настройки!$J4,"ч:мм"),TEXT(Настройки!T80,"ч:мм")),"ч:мм")&amp;"-"&amp;TEXT(IF(Настройки!T80="",TEXT(Настройки!$J4,"ч:мм"),TEXT(Настройки!T80,"ч:мм"))+TIME(0,Август!R15,0),"ч::мм"))</f>
        <v/>
      </c>
      <c r="P16" s="30" t="str">
        <f ca="1">IF(TEXT(IF(Настройки!U80="",TEXT(Настройки!$J4,"ч:мм"),TEXT(Настройки!U80,"ч:мм"))+TIME(0,Август!S15,0),"ч::мм")=TEXT(IF(Настройки!U80="",TEXT(Настройки!$J4,"ч:мм"),TEXT(Настройки!U80,"ч:мм")),"ч:мм"),"",TEXT(IF(Настройки!U80="",TEXT(Настройки!$J4,"ч:мм"),TEXT(Настройки!U80,"ч:мм")),"ч:мм")&amp;"-"&amp;TEXT(IF(Настройки!U80="",TEXT(Настройки!$J4,"ч:мм"),TEXT(Настройки!U80,"ч:мм"))+TIME(0,Август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Настройки!V14</f>
        <v>45520</v>
      </c>
      <c r="C20" s="29">
        <f>Настройки!W14</f>
        <v>45521</v>
      </c>
      <c r="D20" s="29">
        <f>Настройки!X14</f>
        <v>45522</v>
      </c>
      <c r="E20" s="29">
        <f>Настройки!Y14</f>
        <v>45523</v>
      </c>
      <c r="F20" s="29">
        <f>Настройки!Z14</f>
        <v>45524</v>
      </c>
      <c r="G20" s="29">
        <f>Настройки!AA14</f>
        <v>45525</v>
      </c>
      <c r="H20" s="29">
        <f>Настройки!AB14</f>
        <v>45526</v>
      </c>
      <c r="I20" s="29">
        <f>Настройки!AC14</f>
        <v>45527</v>
      </c>
      <c r="J20" s="29">
        <f>Настройки!AD14</f>
        <v>45528</v>
      </c>
      <c r="K20" s="29">
        <f>Настройки!AE14</f>
        <v>45529</v>
      </c>
      <c r="L20" s="29">
        <f>Настройки!AF14</f>
        <v>45530</v>
      </c>
      <c r="M20" s="29">
        <f>Настройки!AG14</f>
        <v>45531</v>
      </c>
      <c r="N20" s="29">
        <f>Настройки!AH14</f>
        <v>45532</v>
      </c>
      <c r="O20" s="29">
        <f>Настройки!AI14</f>
        <v>45533</v>
      </c>
      <c r="P20" s="29">
        <f>Настройки!AJ14</f>
        <v>45534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78="",TEXT(Настройки!$J2,"ч:мм"),TEXT(Настройки!V78,"ч:мм"))+TIME(0,Август!T13,0),"ч::мм")=TEXT(IF(Настройки!V78="",TEXT(Настройки!$J2,"ч:мм"),TEXT(Настройки!V78,"ч:мм")),"ч:мм"),"",TEXT(IF(Настройки!V78="",TEXT(Настройки!$J2,"ч:мм"),TEXT(Настройки!V78,"ч:мм")),"ч:мм")&amp;"-"&amp;TEXT(IF(Настройки!V78="",TEXT(Настройки!$J2,"ч:мм"),TEXT(Настройки!V78,"ч:мм"))+TIME(0,Август!T13,0),"ч::мм"))</f>
        <v/>
      </c>
      <c r="C24" s="3" t="str">
        <f>IF(TEXT(IF(Настройки!W78="",TEXT(Настройки!$J2,"ч:мм"),TEXT(Настройки!W78,"ч:мм"))+TIME(0,Август!U13,0),"ч::мм")=TEXT(IF(Настройки!W78="",TEXT(Настройки!$J2,"ч:мм"),TEXT(Настройки!W78,"ч:мм")),"ч:мм"),"",TEXT(IF(Настройки!W78="",TEXT(Настройки!$J2,"ч:мм"),TEXT(Настройки!W78,"ч:мм")),"ч:мм")&amp;"-"&amp;TEXT(IF(Настройки!W78="",TEXT(Настройки!$J2,"ч:мм"),TEXT(Настройки!W78,"ч:мм"))+TIME(0,Август!U13,0),"ч::мм"))</f>
        <v/>
      </c>
      <c r="D24" s="3" t="str">
        <f>IF(TEXT(IF(Настройки!X78="",TEXT(Настройки!$J2,"ч:мм"),TEXT(Настройки!X78,"ч:мм"))+TIME(0,Август!V13,0),"ч::мм")=TEXT(IF(Настройки!X78="",TEXT(Настройки!$J2,"ч:мм"),TEXT(Настройки!X78,"ч:мм")),"ч:мм"),"",TEXT(IF(Настройки!X78="",TEXT(Настройки!$J2,"ч:мм"),TEXT(Настройки!X78,"ч:мм")),"ч:мм")&amp;"-"&amp;TEXT(IF(Настройки!X78="",TEXT(Настройки!$J2,"ч:мм"),TEXT(Настройки!X78,"ч:мм"))+TIME(0,Август!V13,0),"ч::мм"))</f>
        <v/>
      </c>
      <c r="E24" s="3" t="str">
        <f>IF(TEXT(IF(Настройки!Y78="",TEXT(Настройки!$J2,"ч:мм"),TEXT(Настройки!Y78,"ч:мм"))+TIME(0,Август!W13,0),"ч::мм")=TEXT(IF(Настройки!Y78="",TEXT(Настройки!$J2,"ч:мм"),TEXT(Настройки!Y78,"ч:мм")),"ч:мм"),"",TEXT(IF(Настройки!Y78="",TEXT(Настройки!$J2,"ч:мм"),TEXT(Настройки!Y78,"ч:мм")),"ч:мм")&amp;"-"&amp;TEXT(IF(Настройки!Y78="",TEXT(Настройки!$J2,"ч:мм"),TEXT(Настройки!Y78,"ч:мм"))+TIME(0,Август!W13,0),"ч::мм"))</f>
        <v/>
      </c>
      <c r="F24" s="3" t="str">
        <f>IF(TEXT(IF(Настройки!Z78="",TEXT(Настройки!$J2,"ч:мм"),TEXT(Настройки!Z78,"ч:мм"))+TIME(0,Август!X13,0),"ч::мм")=TEXT(IF(Настройки!Z78="",TEXT(Настройки!$J2,"ч:мм"),TEXT(Настройки!Z78,"ч:мм")),"ч:мм"),"",TEXT(IF(Настройки!Z78="",TEXT(Настройки!$J2,"ч:мм"),TEXT(Настройки!Z78,"ч:мм")),"ч:мм")&amp;"-"&amp;TEXT(IF(Настройки!Z78="",TEXT(Настройки!$J2,"ч:мм"),TEXT(Настройки!Z78,"ч:мм"))+TIME(0,Август!X13,0),"ч::мм"))</f>
        <v/>
      </c>
      <c r="G24" s="3" t="str">
        <f>IF(TEXT(IF(Настройки!AA78="",TEXT(Настройки!$J2,"ч:мм"),TEXT(Настройки!AA78,"ч:мм"))+TIME(0,Август!Y13,0),"ч::мм")=TEXT(IF(Настройки!AA78="",TEXT(Настройки!$J2,"ч:мм"),TEXT(Настройки!AA78,"ч:мм")),"ч:мм"),"",TEXT(IF(Настройки!AA78="",TEXT(Настройки!$J2,"ч:мм"),TEXT(Настройки!AA78,"ч:мм")),"ч:мм")&amp;"-"&amp;TEXT(IF(Настройки!AA78="",TEXT(Настройки!$J2,"ч:мм"),TEXT(Настройки!AA78,"ч:мм"))+TIME(0,Август!Y13,0),"ч::мм"))</f>
        <v/>
      </c>
      <c r="H24" s="3" t="str">
        <f>IF(TEXT(IF(Настройки!AB78="",TEXT(Настройки!$J2,"ч:мм"),TEXT(Настройки!AB78,"ч:мм"))+TIME(0,Август!Z13,0),"ч::мм")=TEXT(IF(Настройки!AB78="",TEXT(Настройки!$J2,"ч:мм"),TEXT(Настройки!AB78,"ч:мм")),"ч:мм"),"",TEXT(IF(Настройки!AB78="",TEXT(Настройки!$J2,"ч:мм"),TEXT(Настройки!AB78,"ч:мм")),"ч:мм")&amp;"-"&amp;TEXT(IF(Настройки!AB78="",TEXT(Настройки!$J2,"ч:мм"),TEXT(Настройки!AB78,"ч:мм"))+TIME(0,Август!Z13,0),"ч::мм"))</f>
        <v/>
      </c>
      <c r="I24" s="3" t="str">
        <f>IF(TEXT(IF(Настройки!AC78="",TEXT(Настройки!$J2,"ч:мм"),TEXT(Настройки!AC78,"ч:мм"))+TIME(0,Август!AA13,0),"ч::мм")=TEXT(IF(Настройки!AC78="",TEXT(Настройки!$J2,"ч:мм"),TEXT(Настройки!AC78,"ч:мм")),"ч:мм"),"",TEXT(IF(Настройки!AC78="",TEXT(Настройки!$J2,"ч:мм"),TEXT(Настройки!AC78,"ч:мм")),"ч:мм")&amp;"-"&amp;TEXT(IF(Настройки!AC78="",TEXT(Настройки!$J2,"ч:мм"),TEXT(Настройки!AC78,"ч:мм"))+TIME(0,Август!AA13,0),"ч::мм"))</f>
        <v/>
      </c>
      <c r="J24" s="3" t="str">
        <f>IF(TEXT(IF(Настройки!AD78="",TEXT(Настройки!$J2,"ч:мм"),TEXT(Настройки!AD78,"ч:мм"))+TIME(0,Август!AB13,0),"ч::мм")=TEXT(IF(Настройки!AD78="",TEXT(Настройки!$J2,"ч:мм"),TEXT(Настройки!AD78,"ч:мм")),"ч:мм"),"",TEXT(IF(Настройки!AD78="",TEXT(Настройки!$J2,"ч:мм"),TEXT(Настройки!AD78,"ч:мм")),"ч:мм")&amp;"-"&amp;TEXT(IF(Настройки!AD78="",TEXT(Настройки!$J2,"ч:мм"),TEXT(Настройки!AD78,"ч:мм"))+TIME(0,Август!AB13,0),"ч::мм"))</f>
        <v/>
      </c>
      <c r="K24" s="3" t="str">
        <f>IF(TEXT(IF(Настройки!AE78="",TEXT(Настройки!$J2,"ч:мм"),TEXT(Настройки!AE78,"ч:мм"))+TIME(0,Август!AC13,0),"ч::мм")=TEXT(IF(Настройки!AE78="",TEXT(Настройки!$J2,"ч:мм"),TEXT(Настройки!AE78,"ч:мм")),"ч:мм"),"",TEXT(IF(Настройки!AE78="",TEXT(Настройки!$J2,"ч:мм"),TEXT(Настройки!AE78,"ч:мм")),"ч:мм")&amp;"-"&amp;TEXT(IF(Настройки!AE78="",TEXT(Настройки!$J2,"ч:мм"),TEXT(Настройки!AE78,"ч:мм"))+TIME(0,Август!AC13,0),"ч::мм"))</f>
        <v/>
      </c>
      <c r="L24" s="3" t="str">
        <f>IF(TEXT(IF(Настройки!AF78="",TEXT(Настройки!$J2,"ч:мм"),TEXT(Настройки!AF78,"ч:мм"))+TIME(0,Август!AD13,0),"ч::мм")=TEXT(IF(Настройки!AF78="",TEXT(Настройки!$J2,"ч:мм"),TEXT(Настройки!AF78,"ч:мм")),"ч:мм"),"",TEXT(IF(Настройки!AF78="",TEXT(Настройки!$J2,"ч:мм"),TEXT(Настройки!AF78,"ч:мм")),"ч:мм")&amp;"-"&amp;TEXT(IF(Настройки!AF78="",TEXT(Настройки!$J2,"ч:мм"),TEXT(Настройки!AF78,"ч:мм"))+TIME(0,Август!AD13,0),"ч::мм"))</f>
        <v/>
      </c>
      <c r="M24" s="3" t="str">
        <f>IF(TEXT(IF(Настройки!AG78="",TEXT(Настройки!$J2,"ч:мм"),TEXT(Настройки!AG78,"ч:мм"))+TIME(0,Август!AE13,0),"ч::мм")=TEXT(IF(Настройки!AG78="",TEXT(Настройки!$J2,"ч:мм"),TEXT(Настройки!AG78,"ч:мм")),"ч:мм"),"",TEXT(IF(Настройки!AG78="",TEXT(Настройки!$J2,"ч:мм"),TEXT(Настройки!AG78,"ч:мм")),"ч:мм")&amp;"-"&amp;TEXT(IF(Настройки!AG78="",TEXT(Настройки!$J2,"ч:мм"),TEXT(Настройки!AG78,"ч:мм"))+TIME(0,Август!AE13,0),"ч::мм"))</f>
        <v/>
      </c>
      <c r="N24" s="3" t="str">
        <f>IF(TEXT(IF(Настройки!AH78="",TEXT(Настройки!$J2,"ч:мм"),TEXT(Настройки!AH78,"ч:мм"))+TIME(0,Август!AF13,0),"ч::мм")=TEXT(IF(Настройки!AH78="",TEXT(Настройки!$J2,"ч:мм"),TEXT(Настройки!AH78,"ч:мм")),"ч:мм"),"",TEXT(IF(Настройки!AH78="",TEXT(Настройки!$J2,"ч:мм"),TEXT(Настройки!AH78,"ч:мм")),"ч:мм")&amp;"-"&amp;TEXT(IF(Настройки!AH78="",TEXT(Настройки!$J2,"ч:мм"),TEXT(Настройки!AH78,"ч:мм"))+TIME(0,Август!AF13,0),"ч::мм"))</f>
        <v/>
      </c>
      <c r="O24" s="3" t="str">
        <f>IF(TEXT(IF(Настройки!AI78="",TEXT(Настройки!$J2,"ч:мм"),TEXT(Настройки!AI78,"ч:мм"))+TIME(0,Август!AG13,0),"ч::мм")=TEXT(IF(Настройки!AI78="",TEXT(Настройки!$J2,"ч:мм"),TEXT(Настройки!AI78,"ч:мм")),"ч:мм"),"",TEXT(IF(Настройки!AI78="",TEXT(Настройки!$J2,"ч:мм"),TEXT(Настройки!AI78,"ч:мм")),"ч:мм")&amp;"-"&amp;TEXT(IF(Настройки!AI78="",TEXT(Настройки!$J2,"ч:мм"),TEXT(Настройки!AI78,"ч:мм"))+TIME(0,Август!AG13,0),"ч::мм"))</f>
        <v/>
      </c>
      <c r="P24" s="3" t="str">
        <f>IF(TEXT(IF(Настройки!AJ78="",TEXT(Настройки!$J2,"ч:мм"),TEXT(Настройки!AJ78,"ч:мм"))+TIME(0,Август!AH13,0),"ч::мм")=TEXT(IF(Настройки!AJ78="",TEXT(Настройки!$J2,"ч:мм"),TEXT(Настройки!AJ78,"ч:мм")),"ч:мм"),"",TEXT(IF(Настройки!AJ78="",TEXT(Настройки!$J2,"ч:мм"),TEXT(Настройки!AJ78,"ч:мм")),"ч:мм")&amp;"-"&amp;TEXT(IF(Настройки!AJ78="",TEXT(Настройки!$J2,"ч:мм"),TEXT(Настройки!AJ78,"ч:мм"))+TIME(0,Август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79="",TEXT(Настройки!$J3,"ч:мм"),TEXT(Настройки!V79,"ч:мм"))+TIME(0,Август!T14,0),"ч::мм")=TEXT(IF(Настройки!V79="",TEXT(Настройки!$J3,"ч:мм"),TEXT(Настройки!V79,"ч:мм")),"ч:мм"),"",TEXT(IF(Настройки!V79="",TEXT(Настройки!$J3,"ч:мм"),TEXT(Настройки!V79,"ч:мм")),"ч:мм")&amp;"-"&amp;TEXT(IF(Настройки!V79="",TEXT(Настройки!$J3,"ч:мм"),TEXT(Настройки!V79,"ч:мм"))+TIME(0,Август!T14,0),"ч::мм"))</f>
        <v/>
      </c>
      <c r="C25" s="3" t="str">
        <f ca="1">IF(TEXT(IF(Настройки!W79="",TEXT(Настройки!$J3,"ч:мм"),TEXT(Настройки!W79,"ч:мм"))+TIME(0,Август!U14,0),"ч::мм")=TEXT(IF(Настройки!W79="",TEXT(Настройки!$J3,"ч:мм"),TEXT(Настройки!W79,"ч:мм")),"ч:мм"),"",TEXT(IF(Настройки!W79="",TEXT(Настройки!$J3,"ч:мм"),TEXT(Настройки!W79,"ч:мм")),"ч:мм")&amp;"-"&amp;TEXT(IF(Настройки!W79="",TEXT(Настройки!$J3,"ч:мм"),TEXT(Настройки!W79,"ч:мм"))+TIME(0,Август!U14,0),"ч::мм"))</f>
        <v/>
      </c>
      <c r="D25" s="3" t="str">
        <f ca="1">IF(TEXT(IF(Настройки!X79="",TEXT(Настройки!$J3,"ч:мм"),TEXT(Настройки!X79,"ч:мм"))+TIME(0,Август!V14,0),"ч::мм")=TEXT(IF(Настройки!X79="",TEXT(Настройки!$J3,"ч:мм"),TEXT(Настройки!X79,"ч:мм")),"ч:мм"),"",TEXT(IF(Настройки!X79="",TEXT(Настройки!$J3,"ч:мм"),TEXT(Настройки!X79,"ч:мм")),"ч:мм")&amp;"-"&amp;TEXT(IF(Настройки!X79="",TEXT(Настройки!$J3,"ч:мм"),TEXT(Настройки!X79,"ч:мм"))+TIME(0,Август!V14,0),"ч::мм"))</f>
        <v/>
      </c>
      <c r="E25" s="3" t="str">
        <f ca="1">IF(TEXT(IF(Настройки!Y79="",TEXT(Настройки!$J3,"ч:мм"),TEXT(Настройки!Y79,"ч:мм"))+TIME(0,Август!W14,0),"ч::мм")=TEXT(IF(Настройки!Y79="",TEXT(Настройки!$J3,"ч:мм"),TEXT(Настройки!Y79,"ч:мм")),"ч:мм"),"",TEXT(IF(Настройки!Y79="",TEXT(Настройки!$J3,"ч:мм"),TEXT(Настройки!Y79,"ч:мм")),"ч:мм")&amp;"-"&amp;TEXT(IF(Настройки!Y79="",TEXT(Настройки!$J3,"ч:мм"),TEXT(Настройки!Y79,"ч:мм"))+TIME(0,Август!W14,0),"ч::мм"))</f>
        <v/>
      </c>
      <c r="F25" s="3" t="str">
        <f ca="1">IF(TEXT(IF(Настройки!Z79="",TEXT(Настройки!$J3,"ч:мм"),TEXT(Настройки!Z79,"ч:мм"))+TIME(0,Август!X14,0),"ч::мм")=TEXT(IF(Настройки!Z79="",TEXT(Настройки!$J3,"ч:мм"),TEXT(Настройки!Z79,"ч:мм")),"ч:мм"),"",TEXT(IF(Настройки!Z79="",TEXT(Настройки!$J3,"ч:мм"),TEXT(Настройки!Z79,"ч:мм")),"ч:мм")&amp;"-"&amp;TEXT(IF(Настройки!Z79="",TEXT(Настройки!$J3,"ч:мм"),TEXT(Настройки!Z79,"ч:мм"))+TIME(0,Август!X14,0),"ч::мм"))</f>
        <v/>
      </c>
      <c r="G25" s="3" t="str">
        <f ca="1">IF(TEXT(IF(Настройки!AA79="",TEXT(Настройки!$J3,"ч:мм"),TEXT(Настройки!AA79,"ч:мм"))+TIME(0,Август!Y14,0),"ч::мм")=TEXT(IF(Настройки!AA79="",TEXT(Настройки!$J3,"ч:мм"),TEXT(Настройки!AA79,"ч:мм")),"ч:мм"),"",TEXT(IF(Настройки!AA79="",TEXT(Настройки!$J3,"ч:мм"),TEXT(Настройки!AA79,"ч:мм")),"ч:мм")&amp;"-"&amp;TEXT(IF(Настройки!AA79="",TEXT(Настройки!$J3,"ч:мм"),TEXT(Настройки!AA79,"ч:мм"))+TIME(0,Август!Y14,0),"ч::мм"))</f>
        <v/>
      </c>
      <c r="H25" s="3" t="str">
        <f ca="1">IF(TEXT(IF(Настройки!AB79="",TEXT(Настройки!$J3,"ч:мм"),TEXT(Настройки!AB79,"ч:мм"))+TIME(0,Август!Z14,0),"ч::мм")=TEXT(IF(Настройки!AB79="",TEXT(Настройки!$J3,"ч:мм"),TEXT(Настройки!AB79,"ч:мм")),"ч:мм"),"",TEXT(IF(Настройки!AB79="",TEXT(Настройки!$J3,"ч:мм"),TEXT(Настройки!AB79,"ч:мм")),"ч:мм")&amp;"-"&amp;TEXT(IF(Настройки!AB79="",TEXT(Настройки!$J3,"ч:мм"),TEXT(Настройки!AB79,"ч:мм"))+TIME(0,Август!Z14,0),"ч::мм"))</f>
        <v/>
      </c>
      <c r="I25" s="3" t="str">
        <f ca="1">IF(TEXT(IF(Настройки!AC79="",TEXT(Настройки!$J3,"ч:мм"),TEXT(Настройки!AC79,"ч:мм"))+TIME(0,Август!AA14,0),"ч::мм")=TEXT(IF(Настройки!AC79="",TEXT(Настройки!$J3,"ч:мм"),TEXT(Настройки!AC79,"ч:мм")),"ч:мм"),"",TEXT(IF(Настройки!AC79="",TEXT(Настройки!$J3,"ч:мм"),TEXT(Настройки!AC79,"ч:мм")),"ч:мм")&amp;"-"&amp;TEXT(IF(Настройки!AC79="",TEXT(Настройки!$J3,"ч:мм"),TEXT(Настройки!AC79,"ч:мм"))+TIME(0,Август!AA14,0),"ч::мм"))</f>
        <v/>
      </c>
      <c r="J25" s="3" t="str">
        <f ca="1">IF(TEXT(IF(Настройки!AD79="",TEXT(Настройки!$J3,"ч:мм"),TEXT(Настройки!AD79,"ч:мм"))+TIME(0,Август!AB14,0),"ч::мм")=TEXT(IF(Настройки!AD79="",TEXT(Настройки!$J3,"ч:мм"),TEXT(Настройки!AD79,"ч:мм")),"ч:мм"),"",TEXT(IF(Настройки!AD79="",TEXT(Настройки!$J3,"ч:мм"),TEXT(Настройки!AD79,"ч:мм")),"ч:мм")&amp;"-"&amp;TEXT(IF(Настройки!AD79="",TEXT(Настройки!$J3,"ч:мм"),TEXT(Настройки!AD79,"ч:мм"))+TIME(0,Август!AB14,0),"ч::мм"))</f>
        <v/>
      </c>
      <c r="K25" s="3" t="str">
        <f ca="1">IF(TEXT(IF(Настройки!AE79="",TEXT(Настройки!$J3,"ч:мм"),TEXT(Настройки!AE79,"ч:мм"))+TIME(0,Август!AC14,0),"ч::мм")=TEXT(IF(Настройки!AE79="",TEXT(Настройки!$J3,"ч:мм"),TEXT(Настройки!AE79,"ч:мм")),"ч:мм"),"",TEXT(IF(Настройки!AE79="",TEXT(Настройки!$J3,"ч:мм"),TEXT(Настройки!AE79,"ч:мм")),"ч:мм")&amp;"-"&amp;TEXT(IF(Настройки!AE79="",TEXT(Настройки!$J3,"ч:мм"),TEXT(Настройки!AE79,"ч:мм"))+TIME(0,Август!AC14,0),"ч::мм"))</f>
        <v/>
      </c>
      <c r="L25" s="3" t="str">
        <f ca="1">IF(TEXT(IF(Настройки!AF79="",TEXT(Настройки!$J3,"ч:мм"),TEXT(Настройки!AF79,"ч:мм"))+TIME(0,Август!AD14,0),"ч::мм")=TEXT(IF(Настройки!AF79="",TEXT(Настройки!$J3,"ч:мм"),TEXT(Настройки!AF79,"ч:мм")),"ч:мм"),"",TEXT(IF(Настройки!AF79="",TEXT(Настройки!$J3,"ч:мм"),TEXT(Настройки!AF79,"ч:мм")),"ч:мм")&amp;"-"&amp;TEXT(IF(Настройки!AF79="",TEXT(Настройки!$J3,"ч:мм"),TEXT(Настройки!AF79,"ч:мм"))+TIME(0,Август!AD14,0),"ч::мм"))</f>
        <v/>
      </c>
      <c r="M25" s="3" t="str">
        <f ca="1">IF(TEXT(IF(Настройки!AG79="",TEXT(Настройки!$J3,"ч:мм"),TEXT(Настройки!AG79,"ч:мм"))+TIME(0,Август!AE14,0),"ч::мм")=TEXT(IF(Настройки!AG79="",TEXT(Настройки!$J3,"ч:мм"),TEXT(Настройки!AG79,"ч:мм")),"ч:мм"),"",TEXT(IF(Настройки!AG79="",TEXT(Настройки!$J3,"ч:мм"),TEXT(Настройки!AG79,"ч:мм")),"ч:мм")&amp;"-"&amp;TEXT(IF(Настройки!AG79="",TEXT(Настройки!$J3,"ч:мм"),TEXT(Настройки!AG79,"ч:мм"))+TIME(0,Август!AE14,0),"ч::мм"))</f>
        <v/>
      </c>
      <c r="N25" s="3" t="str">
        <f ca="1">IF(TEXT(IF(Настройки!AH79="",TEXT(Настройки!$J3,"ч:мм"),TEXT(Настройки!AH79,"ч:мм"))+TIME(0,Август!AF14,0),"ч::мм")=TEXT(IF(Настройки!AH79="",TEXT(Настройки!$J3,"ч:мм"),TEXT(Настройки!AH79,"ч:мм")),"ч:мм"),"",TEXT(IF(Настройки!AH79="",TEXT(Настройки!$J3,"ч:мм"),TEXT(Настройки!AH79,"ч:мм")),"ч:мм")&amp;"-"&amp;TEXT(IF(Настройки!AH79="",TEXT(Настройки!$J3,"ч:мм"),TEXT(Настройки!AH79,"ч:мм"))+TIME(0,Август!AF14,0),"ч::мм"))</f>
        <v/>
      </c>
      <c r="O25" s="3" t="str">
        <f ca="1">IF(TEXT(IF(Настройки!AI79="",TEXT(Настройки!$J3,"ч:мм"),TEXT(Настройки!AI79,"ч:мм"))+TIME(0,Август!AG14,0),"ч::мм")=TEXT(IF(Настройки!AI79="",TEXT(Настройки!$J3,"ч:мм"),TEXT(Настройки!AI79,"ч:мм")),"ч:мм"),"",TEXT(IF(Настройки!AI79="",TEXT(Настройки!$J3,"ч:мм"),TEXT(Настройки!AI79,"ч:мм")),"ч:мм")&amp;"-"&amp;TEXT(IF(Настройки!AI79="",TEXT(Настройки!$J3,"ч:мм"),TEXT(Настройки!AI79,"ч:мм"))+TIME(0,Август!AG14,0),"ч::мм"))</f>
        <v/>
      </c>
      <c r="P25" s="3" t="str">
        <f ca="1">IF(TEXT(IF(Настройки!AJ79="",TEXT(Настройки!$J3,"ч:мм"),TEXT(Настройки!AJ79,"ч:мм"))+TIME(0,Август!AH14,0),"ч::мм")=TEXT(IF(Настройки!AJ79="",TEXT(Настройки!$J3,"ч:мм"),TEXT(Настройки!AJ79,"ч:мм")),"ч:мм"),"",TEXT(IF(Настройки!AJ79="",TEXT(Настройки!$J3,"ч:мм"),TEXT(Настройки!AJ79,"ч:мм")),"ч:мм")&amp;"-"&amp;TEXT(IF(Настройки!AJ79="",TEXT(Настройки!$J3,"ч:мм"),TEXT(Настройки!AJ79,"ч:мм"))+TIME(0,Август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80="",TEXT(Настройки!$J4,"ч:мм"),TEXT(Настройки!V80,"ч:мм"))+TIME(0,Август!T15,0),"ч::мм")=TEXT(IF(Настройки!V80="",TEXT(Настройки!$J4,"ч:мм"),TEXT(Настройки!V80,"ч:мм")),"ч:мм"),"",TEXT(IF(Настройки!V80="",TEXT(Настройки!$J4,"ч:мм"),TEXT(Настройки!V80,"ч:мм")),"ч:мм")&amp;"-"&amp;TEXT(IF(Настройки!V80="",TEXT(Настройки!$J4,"ч:мм"),TEXT(Настройки!V80,"ч:мм"))+TIME(0,Август!T15,0),"ч::мм"))</f>
        <v/>
      </c>
      <c r="C26" s="3" t="str">
        <f ca="1">IF(TEXT(IF(Настройки!W80="",TEXT(Настройки!$J4,"ч:мм"),TEXT(Настройки!W80,"ч:мм"))+TIME(0,Август!U15,0),"ч::мм")=TEXT(IF(Настройки!W80="",TEXT(Настройки!$J4,"ч:мм"),TEXT(Настройки!W80,"ч:мм")),"ч:мм"),"",TEXT(IF(Настройки!W80="",TEXT(Настройки!$J4,"ч:мм"),TEXT(Настройки!W80,"ч:мм")),"ч:мм")&amp;"-"&amp;TEXT(IF(Настройки!W80="",TEXT(Настройки!$J4,"ч:мм"),TEXT(Настройки!W80,"ч:мм"))+TIME(0,Август!U15,0),"ч::мм"))</f>
        <v/>
      </c>
      <c r="D26" s="3" t="str">
        <f ca="1">IF(TEXT(IF(Настройки!X80="",TEXT(Настройки!$J4,"ч:мм"),TEXT(Настройки!X80,"ч:мм"))+TIME(0,Август!V15,0),"ч::мм")=TEXT(IF(Настройки!X80="",TEXT(Настройки!$J4,"ч:мм"),TEXT(Настройки!X80,"ч:мм")),"ч:мм"),"",TEXT(IF(Настройки!X80="",TEXT(Настройки!$J4,"ч:мм"),TEXT(Настройки!X80,"ч:мм")),"ч:мм")&amp;"-"&amp;TEXT(IF(Настройки!X80="",TEXT(Настройки!$J4,"ч:мм"),TEXT(Настройки!X80,"ч:мм"))+TIME(0,Август!V15,0),"ч::мм"))</f>
        <v/>
      </c>
      <c r="E26" s="3" t="str">
        <f ca="1">IF(TEXT(IF(Настройки!Y80="",TEXT(Настройки!$J4,"ч:мм"),TEXT(Настройки!Y80,"ч:мм"))+TIME(0,Август!W15,0),"ч::мм")=TEXT(IF(Настройки!Y80="",TEXT(Настройки!$J4,"ч:мм"),TEXT(Настройки!Y80,"ч:мм")),"ч:мм"),"",TEXT(IF(Настройки!Y80="",TEXT(Настройки!$J4,"ч:мм"),TEXT(Настройки!Y80,"ч:мм")),"ч:мм")&amp;"-"&amp;TEXT(IF(Настройки!Y80="",TEXT(Настройки!$J4,"ч:мм"),TEXT(Настройки!Y80,"ч:мм"))+TIME(0,Август!W15,0),"ч::мм"))</f>
        <v/>
      </c>
      <c r="F26" s="3" t="str">
        <f ca="1">IF(TEXT(IF(Настройки!Z80="",TEXT(Настройки!$J4,"ч:мм"),TEXT(Настройки!Z80,"ч:мм"))+TIME(0,Август!X15,0),"ч::мм")=TEXT(IF(Настройки!Z80="",TEXT(Настройки!$J4,"ч:мм"),TEXT(Настройки!Z80,"ч:мм")),"ч:мм"),"",TEXT(IF(Настройки!Z80="",TEXT(Настройки!$J4,"ч:мм"),TEXT(Настройки!Z80,"ч:мм")),"ч:мм")&amp;"-"&amp;TEXT(IF(Настройки!Z80="",TEXT(Настройки!$J4,"ч:мм"),TEXT(Настройки!Z80,"ч:мм"))+TIME(0,Август!X15,0),"ч::мм"))</f>
        <v/>
      </c>
      <c r="G26" s="3" t="str">
        <f ca="1">IF(TEXT(IF(Настройки!AA80="",TEXT(Настройки!$J4,"ч:мм"),TEXT(Настройки!AA80,"ч:мм"))+TIME(0,Август!Y15,0),"ч::мм")=TEXT(IF(Настройки!AA80="",TEXT(Настройки!$J4,"ч:мм"),TEXT(Настройки!AA80,"ч:мм")),"ч:мм"),"",TEXT(IF(Настройки!AA80="",TEXT(Настройки!$J4,"ч:мм"),TEXT(Настройки!AA80,"ч:мм")),"ч:мм")&amp;"-"&amp;TEXT(IF(Настройки!AA80="",TEXT(Настройки!$J4,"ч:мм"),TEXT(Настройки!AA80,"ч:мм"))+TIME(0,Август!Y15,0),"ч::мм"))</f>
        <v/>
      </c>
      <c r="H26" s="3" t="str">
        <f ca="1">IF(TEXT(IF(Настройки!AB80="",TEXT(Настройки!$J4,"ч:мм"),TEXT(Настройки!AB80,"ч:мм"))+TIME(0,Август!Z15,0),"ч::мм")=TEXT(IF(Настройки!AB80="",TEXT(Настройки!$J4,"ч:мм"),TEXT(Настройки!AB80,"ч:мм")),"ч:мм"),"",TEXT(IF(Настройки!AB80="",TEXT(Настройки!$J4,"ч:мм"),TEXT(Настройки!AB80,"ч:мм")),"ч:мм")&amp;"-"&amp;TEXT(IF(Настройки!AB80="",TEXT(Настройки!$J4,"ч:мм"),TEXT(Настройки!AB80,"ч:мм"))+TIME(0,Август!Z15,0),"ч::мм"))</f>
        <v/>
      </c>
      <c r="I26" s="3" t="str">
        <f ca="1">IF(TEXT(IF(Настройки!AC80="",TEXT(Настройки!$J4,"ч:мм"),TEXT(Настройки!AC80,"ч:мм"))+TIME(0,Август!AA15,0),"ч::мм")=TEXT(IF(Настройки!AC80="",TEXT(Настройки!$J4,"ч:мм"),TEXT(Настройки!AC80,"ч:мм")),"ч:мм"),"",TEXT(IF(Настройки!AC80="",TEXT(Настройки!$J4,"ч:мм"),TEXT(Настройки!AC80,"ч:мм")),"ч:мм")&amp;"-"&amp;TEXT(IF(Настройки!AC80="",TEXT(Настройки!$J4,"ч:мм"),TEXT(Настройки!AC80,"ч:мм"))+TIME(0,Август!AA15,0),"ч::мм"))</f>
        <v/>
      </c>
      <c r="J26" s="3" t="str">
        <f ca="1">IF(TEXT(IF(Настройки!AD80="",TEXT(Настройки!$J4,"ч:мм"),TEXT(Настройки!AD80,"ч:мм"))+TIME(0,Август!AB15,0),"ч::мм")=TEXT(IF(Настройки!AD80="",TEXT(Настройки!$J4,"ч:мм"),TEXT(Настройки!AD80,"ч:мм")),"ч:мм"),"",TEXT(IF(Настройки!AD80="",TEXT(Настройки!$J4,"ч:мм"),TEXT(Настройки!AD80,"ч:мм")),"ч:мм")&amp;"-"&amp;TEXT(IF(Настройки!AD80="",TEXT(Настройки!$J4,"ч:мм"),TEXT(Настройки!AD80,"ч:мм"))+TIME(0,Август!AB15,0),"ч::мм"))</f>
        <v/>
      </c>
      <c r="K26" s="3" t="str">
        <f ca="1">IF(TEXT(IF(Настройки!AE80="",TEXT(Настройки!$J4,"ч:мм"),TEXT(Настройки!AE80,"ч:мм"))+TIME(0,Август!AC15,0),"ч::мм")=TEXT(IF(Настройки!AE80="",TEXT(Настройки!$J4,"ч:мм"),TEXT(Настройки!AE80,"ч:мм")),"ч:мм"),"",TEXT(IF(Настройки!AE80="",TEXT(Настройки!$J4,"ч:мм"),TEXT(Настройки!AE80,"ч:мм")),"ч:мм")&amp;"-"&amp;TEXT(IF(Настройки!AE80="",TEXT(Настройки!$J4,"ч:мм"),TEXT(Настройки!AE80,"ч:мм"))+TIME(0,Август!AC15,0),"ч::мм"))</f>
        <v/>
      </c>
      <c r="L26" s="3" t="str">
        <f ca="1">IF(TEXT(IF(Настройки!AF80="",TEXT(Настройки!$J4,"ч:мм"),TEXT(Настройки!AF80,"ч:мм"))+TIME(0,Август!AD15,0),"ч::мм")=TEXT(IF(Настройки!AF80="",TEXT(Настройки!$J4,"ч:мм"),TEXT(Настройки!AF80,"ч:мм")),"ч:мм"),"",TEXT(IF(Настройки!AF80="",TEXT(Настройки!$J4,"ч:мм"),TEXT(Настройки!AF80,"ч:мм")),"ч:мм")&amp;"-"&amp;TEXT(IF(Настройки!AF80="",TEXT(Настройки!$J4,"ч:мм"),TEXT(Настройки!AF80,"ч:мм"))+TIME(0,Август!AD15,0),"ч::мм"))</f>
        <v/>
      </c>
      <c r="M26" s="3" t="str">
        <f ca="1">IF(TEXT(IF(Настройки!AG80="",TEXT(Настройки!$J4,"ч:мм"),TEXT(Настройки!AG80,"ч:мм"))+TIME(0,Август!AE15,0),"ч::мм")=TEXT(IF(Настройки!AG80="",TEXT(Настройки!$J4,"ч:мм"),TEXT(Настройки!AG80,"ч:мм")),"ч:мм"),"",TEXT(IF(Настройки!AG80="",TEXT(Настройки!$J4,"ч:мм"),TEXT(Настройки!AG80,"ч:мм")),"ч:мм")&amp;"-"&amp;TEXT(IF(Настройки!AG80="",TEXT(Настройки!$J4,"ч:мм"),TEXT(Настройки!AG80,"ч:мм"))+TIME(0,Август!AE15,0),"ч::мм"))</f>
        <v/>
      </c>
      <c r="N26" s="3" t="str">
        <f ca="1">IF(TEXT(IF(Настройки!AH80="",TEXT(Настройки!$J4,"ч:мм"),TEXT(Настройки!AH80,"ч:мм"))+TIME(0,Август!AF15,0),"ч::мм")=TEXT(IF(Настройки!AH80="",TEXT(Настройки!$J4,"ч:мм"),TEXT(Настройки!AH80,"ч:мм")),"ч:мм"),"",TEXT(IF(Настройки!AH80="",TEXT(Настройки!$J4,"ч:мм"),TEXT(Настройки!AH80,"ч:мм")),"ч:мм")&amp;"-"&amp;TEXT(IF(Настройки!AH80="",TEXT(Настройки!$J4,"ч:мм"),TEXT(Настройки!AH80,"ч:мм"))+TIME(0,Август!AF15,0),"ч::мм"))</f>
        <v/>
      </c>
      <c r="O26" s="3" t="str">
        <f ca="1">IF(TEXT(IF(Настройки!AI80="",TEXT(Настройки!$J4,"ч:мм"),TEXT(Настройки!AI80,"ч:мм"))+TIME(0,Август!AG15,0),"ч::мм")=TEXT(IF(Настройки!AI80="",TEXT(Настройки!$J4,"ч:мм"),TEXT(Настройки!AI80,"ч:мм")),"ч:мм"),"",TEXT(IF(Настройки!AI80="",TEXT(Настройки!$J4,"ч:мм"),TEXT(Настройки!AI80,"ч:мм")),"ч:мм")&amp;"-"&amp;TEXT(IF(Настройки!AI80="",TEXT(Настройки!$J4,"ч:мм"),TEXT(Настройки!AI80,"ч:мм"))+TIME(0,Август!AG15,0),"ч::мм"))</f>
        <v/>
      </c>
      <c r="P26" s="3" t="str">
        <f ca="1">IF(TEXT(IF(Настройки!AJ80="",TEXT(Настройки!$J4,"ч:мм"),TEXT(Настройки!AJ80,"ч:мм"))+TIME(0,Август!AH15,0),"ч::мм")=TEXT(IF(Настройки!AJ80="",TEXT(Настройки!$J4,"ч:мм"),TEXT(Настройки!AJ80,"ч:мм")),"ч:мм"),"",TEXT(IF(Настройки!AJ80="",TEXT(Настройки!$J4,"ч:мм"),TEXT(Настройки!AJ80,"ч:мм")),"ч:мм")&amp;"-"&amp;TEXT(IF(Настройки!AJ80="",TEXT(Настройки!$J4,"ч:мм"),TEXT(Настройки!AJ80,"ч:мм"))+TIME(0,Август!AH15,0),"ч::мм"))</f>
        <v/>
      </c>
    </row>
    <row r="27" spans="1:18" x14ac:dyDescent="0.25">
      <c r="Q27" s="9"/>
      <c r="R27" s="9"/>
    </row>
    <row r="28" spans="1:18" x14ac:dyDescent="0.25">
      <c r="A28" s="81"/>
      <c r="B28" s="67" t="s">
        <v>55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4"/>
      <c r="Q28" s="33"/>
      <c r="R28" s="9"/>
    </row>
    <row r="29" spans="1:18" x14ac:dyDescent="0.25">
      <c r="A29" s="83"/>
      <c r="B29" s="95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6"/>
      <c r="Q29" s="33"/>
      <c r="R29" s="9"/>
    </row>
    <row r="30" spans="1:18" x14ac:dyDescent="0.25">
      <c r="A30" s="83"/>
      <c r="B30" s="29">
        <f>Настройки!AK14</f>
        <v>45535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31"/>
      <c r="R30" s="9"/>
    </row>
    <row r="31" spans="1:18" x14ac:dyDescent="0.25">
      <c r="A31" s="83"/>
      <c r="B31" s="67" t="s">
        <v>54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4"/>
      <c r="Q31" s="33"/>
      <c r="R31" s="9"/>
    </row>
    <row r="32" spans="1:18" x14ac:dyDescent="0.25">
      <c r="A32" s="84"/>
      <c r="B32" s="95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6"/>
      <c r="Q32" s="33"/>
      <c r="R32" s="9"/>
    </row>
    <row r="33" spans="1:16" x14ac:dyDescent="0.25">
      <c r="A33" s="3" t="s">
        <v>138</v>
      </c>
      <c r="B33" s="3" t="s">
        <v>113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</row>
    <row r="34" spans="1:16" x14ac:dyDescent="0.25">
      <c r="A34" s="32" t="str">
        <f t="shared" ref="A34:A36" si="1">A14</f>
        <v>9:00-9:00</v>
      </c>
      <c r="B34" s="3" t="str">
        <f>IF(TEXT(IF(Настройки!AK78="",TEXT(Настройки!$J2,"ч:мм"),TEXT(Настройки!AK78,"ч:мм"))+TIME(0,Август!AI13,0),"ч::мм")=TEXT(IF(Настройки!AK78="",TEXT(Настройки!$J2,"ч:мм"),TEXT(Настройки!AK78,"ч:мм")),"ч:мм"),"",TEXT(IF(Настройки!AK78="",TEXT(Настройки!$J2,"ч:мм"),TEXT(Настройки!AK78,"ч:мм")),"ч:мм")&amp;"-"&amp;TEXT(IF(Настройки!AK78="",TEXT(Настройки!$J2,"ч:мм"),TEXT(Настройки!AK78,"ч:мм"))+TIME(0,Август!AI13,0),"ч::мм"))</f>
        <v/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</row>
    <row r="35" spans="1:16" x14ac:dyDescent="0.25">
      <c r="A35" s="32" t="str">
        <f t="shared" ca="1" si="1"/>
        <v>13:00-13:00</v>
      </c>
      <c r="B35" s="3" t="str">
        <f ca="1">IF(TEXT(IF(Настройки!AK79="",TEXT(Настройки!$J3,"ч:мм"),TEXT(Настройки!AK79,"ч:мм"))+TIME(0,Август!AI14,0),"ч::мм")=TEXT(IF(Настройки!AK79="",TEXT(Настройки!$J3,"ч:мм"),TEXT(Настройки!AK79,"ч:мм")),"ч:мм"),"",TEXT(IF(Настройки!AK79="",TEXT(Настройки!$J3,"ч:мм"),TEXT(Настройки!AK79,"ч:мм")),"ч:мм")&amp;"-"&amp;TEXT(IF(Настройки!AK79="",TEXT(Настройки!$J3,"ч:мм"),TEXT(Настройки!AK79,"ч:мм"))+TIME(0,Август!AI14,0),"ч::мм"))</f>
        <v/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</row>
    <row r="36" spans="1:16" x14ac:dyDescent="0.25">
      <c r="A36" s="32" t="str">
        <f t="shared" ca="1" si="1"/>
        <v>16:00-16:00</v>
      </c>
      <c r="B36" s="3" t="str">
        <f ca="1">IF(TEXT(IF(Настройки!AK80="",TEXT(Настройки!$J4,"ч:мм"),TEXT(Настройки!AK80,"ч:мм"))+TIME(0,Август!AI15,0),"ч::мм")=TEXT(IF(Настройки!AK80="",TEXT(Настройки!$J4,"ч:мм"),TEXT(Настройки!AK80,"ч:мм")),"ч:мм"),"",TEXT(IF(Настройки!AK80="",TEXT(Настройки!$J4,"ч:мм"),TEXT(Настройки!AK80,"ч:мм")),"ч:мм")&amp;"-"&amp;TEXT(IF(Настройки!AK80="",TEXT(Настройки!$J4,"ч:мм"),TEXT(Настройки!AK80,"ч:мм"))+TIME(0,Август!AI15,0),"ч::мм"))</f>
        <v/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</row>
  </sheetData>
  <mergeCells count="12">
    <mergeCell ref="A2:P2"/>
    <mergeCell ref="F6:G6"/>
    <mergeCell ref="H6:I6"/>
    <mergeCell ref="A8:A12"/>
    <mergeCell ref="B8:P9"/>
    <mergeCell ref="B11:P12"/>
    <mergeCell ref="A18:A22"/>
    <mergeCell ref="B18:P19"/>
    <mergeCell ref="B21:P22"/>
    <mergeCell ref="A28:A32"/>
    <mergeCell ref="B28:P29"/>
    <mergeCell ref="B31:P32"/>
  </mergeCells>
  <conditionalFormatting sqref="B10:P10">
    <cfRule type="expression" dxfId="477" priority="3">
      <formula>WEEKDAY(B10:P10,2)&gt;5</formula>
    </cfRule>
  </conditionalFormatting>
  <conditionalFormatting sqref="B20:P20">
    <cfRule type="expression" dxfId="476" priority="2">
      <formula>WEEKDAY(B20:P20,2)&gt;5</formula>
    </cfRule>
  </conditionalFormatting>
  <conditionalFormatting sqref="B30">
    <cfRule type="expression" dxfId="475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3"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4" tint="0.39997558519241921"/>
    <pageSetUpPr fitToPage="1"/>
  </sheetPr>
  <dimension ref="A2:AK28"/>
  <sheetViews>
    <sheetView zoomScale="70" zoomScaleNormal="70" workbookViewId="0">
      <selection activeCell="AH13" sqref="AH13"/>
    </sheetView>
  </sheetViews>
  <sheetFormatPr defaultRowHeight="15.75" x14ac:dyDescent="0.25"/>
  <cols>
    <col min="1" max="1" width="21.42578125" style="3" customWidth="1"/>
    <col min="2" max="2" width="18.28515625" style="3" bestFit="1" customWidth="1"/>
    <col min="3" max="3" width="14.42578125" style="3" bestFit="1" customWidth="1"/>
    <col min="4" max="4" width="9.28515625" style="3" customWidth="1"/>
    <col min="5" max="17" width="4.42578125" style="3" bestFit="1" customWidth="1"/>
    <col min="18" max="18" width="6.42578125" style="3" bestFit="1" customWidth="1"/>
    <col min="19" max="34" width="4.42578125" style="3" bestFit="1" customWidth="1"/>
    <col min="35" max="35" width="9.5703125" style="3" bestFit="1" customWidth="1"/>
    <col min="36" max="36" width="10" style="3" bestFit="1" customWidth="1"/>
    <col min="37" max="37" width="10.5703125" style="3" customWidth="1"/>
    <col min="38" max="38" width="14" style="3" bestFit="1" customWidth="1"/>
    <col min="39" max="16384" width="9.140625" style="3"/>
  </cols>
  <sheetData>
    <row r="2" spans="1:37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7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7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7" ht="18.75" x14ac:dyDescent="0.25">
      <c r="C5" s="14"/>
      <c r="L5" s="10" t="s">
        <v>69</v>
      </c>
      <c r="M5" s="61" t="s">
        <v>70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6" spans="1:37" ht="18.75" x14ac:dyDescent="0.25">
      <c r="C6" s="14"/>
      <c r="L6" s="10"/>
      <c r="M6" s="16"/>
      <c r="N6" s="25"/>
      <c r="O6" s="25"/>
      <c r="P6" s="25"/>
      <c r="Q6" s="25"/>
      <c r="R6" s="16"/>
      <c r="S6" s="25"/>
      <c r="T6" s="12"/>
      <c r="U6" s="12"/>
    </row>
    <row r="7" spans="1:37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69"/>
      <c r="AI7" s="63" t="s">
        <v>64</v>
      </c>
      <c r="AJ7" s="63" t="s">
        <v>64</v>
      </c>
      <c r="AK7" s="4"/>
    </row>
    <row r="8" spans="1:37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78"/>
      <c r="AI8" s="63"/>
      <c r="AJ8" s="63"/>
      <c r="AK8" s="4"/>
    </row>
    <row r="9" spans="1:37" x14ac:dyDescent="0.25">
      <c r="A9" s="73"/>
      <c r="B9" s="76"/>
      <c r="C9" s="76"/>
      <c r="D9" s="82"/>
      <c r="E9" s="17">
        <f>Настройки!G15</f>
        <v>45536</v>
      </c>
      <c r="F9" s="17">
        <f>Настройки!H15</f>
        <v>45537</v>
      </c>
      <c r="G9" s="17">
        <f>Настройки!I15</f>
        <v>45538</v>
      </c>
      <c r="H9" s="17">
        <f>Настройки!J15</f>
        <v>45539</v>
      </c>
      <c r="I9" s="17">
        <f>Настройки!K15</f>
        <v>45540</v>
      </c>
      <c r="J9" s="17">
        <f>Настройки!L15</f>
        <v>45541</v>
      </c>
      <c r="K9" s="17">
        <f>Настройки!M15</f>
        <v>45542</v>
      </c>
      <c r="L9" s="17">
        <f>Настройки!N15</f>
        <v>45543</v>
      </c>
      <c r="M9" s="17">
        <f>Настройки!O15</f>
        <v>45544</v>
      </c>
      <c r="N9" s="17">
        <f>Настройки!P15</f>
        <v>45545</v>
      </c>
      <c r="O9" s="17">
        <f>Настройки!Q15</f>
        <v>45546</v>
      </c>
      <c r="P9" s="17">
        <f>Настройки!R15</f>
        <v>45547</v>
      </c>
      <c r="Q9" s="17">
        <f>Настройки!S15</f>
        <v>45548</v>
      </c>
      <c r="R9" s="17">
        <f>Настройки!T15</f>
        <v>45549</v>
      </c>
      <c r="S9" s="17">
        <f>Настройки!U15</f>
        <v>45550</v>
      </c>
      <c r="T9" s="17">
        <f>Настройки!V15</f>
        <v>45551</v>
      </c>
      <c r="U9" s="17">
        <f>Настройки!W15</f>
        <v>45552</v>
      </c>
      <c r="V9" s="17">
        <f>Настройки!X15</f>
        <v>45553</v>
      </c>
      <c r="W9" s="17">
        <f>Настройки!Y15</f>
        <v>45554</v>
      </c>
      <c r="X9" s="17">
        <f>Настройки!Z15</f>
        <v>45555</v>
      </c>
      <c r="Y9" s="17">
        <f>Настройки!AA15</f>
        <v>45556</v>
      </c>
      <c r="Z9" s="17">
        <f>Настройки!AB15</f>
        <v>45557</v>
      </c>
      <c r="AA9" s="17">
        <f>Настройки!AC15</f>
        <v>45558</v>
      </c>
      <c r="AB9" s="17">
        <f>Настройки!AD15</f>
        <v>45559</v>
      </c>
      <c r="AC9" s="17">
        <f>Настройки!AE15</f>
        <v>45560</v>
      </c>
      <c r="AD9" s="17">
        <f>Настройки!AF15</f>
        <v>45561</v>
      </c>
      <c r="AE9" s="17">
        <f>Настройки!AG15</f>
        <v>45562</v>
      </c>
      <c r="AF9" s="17">
        <f>Настройки!AH15</f>
        <v>45563</v>
      </c>
      <c r="AG9" s="17">
        <f>Настройки!AI15</f>
        <v>45564</v>
      </c>
      <c r="AH9" s="17">
        <f>Настройки!AJ15</f>
        <v>45565</v>
      </c>
      <c r="AI9" s="63"/>
      <c r="AJ9" s="63"/>
      <c r="AK9" s="4"/>
    </row>
    <row r="10" spans="1:37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85"/>
      <c r="AI10" s="63"/>
      <c r="AJ10" s="63"/>
      <c r="AK10" s="4"/>
    </row>
    <row r="11" spans="1:37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2"/>
      <c r="AI11" s="63"/>
      <c r="AJ11" s="63"/>
    </row>
    <row r="12" spans="1:37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13" t="s">
        <v>75</v>
      </c>
      <c r="F12" s="13" t="s">
        <v>76</v>
      </c>
      <c r="G12" s="13" t="s">
        <v>77</v>
      </c>
      <c r="H12" s="13" t="s">
        <v>78</v>
      </c>
      <c r="I12" s="13" t="s">
        <v>79</v>
      </c>
      <c r="J12" s="13" t="s">
        <v>80</v>
      </c>
      <c r="K12" s="13" t="s">
        <v>81</v>
      </c>
      <c r="L12" s="13" t="s">
        <v>82</v>
      </c>
      <c r="M12" s="13" t="s">
        <v>83</v>
      </c>
      <c r="N12" s="13" t="s">
        <v>84</v>
      </c>
      <c r="O12" s="13" t="s">
        <v>85</v>
      </c>
      <c r="P12" s="13" t="s">
        <v>86</v>
      </c>
      <c r="Q12" s="13" t="s">
        <v>87</v>
      </c>
      <c r="R12" s="13" t="s">
        <v>88</v>
      </c>
      <c r="S12" s="13" t="s">
        <v>89</v>
      </c>
      <c r="T12" s="13" t="s">
        <v>90</v>
      </c>
      <c r="U12" s="13" t="s">
        <v>91</v>
      </c>
      <c r="V12" s="13" t="s">
        <v>92</v>
      </c>
      <c r="W12" s="13" t="s">
        <v>93</v>
      </c>
      <c r="X12" s="13" t="s">
        <v>94</v>
      </c>
      <c r="Y12" s="13" t="s">
        <v>95</v>
      </c>
      <c r="Z12" s="13" t="s">
        <v>96</v>
      </c>
      <c r="AA12" s="13" t="s">
        <v>97</v>
      </c>
      <c r="AB12" s="13" t="s">
        <v>98</v>
      </c>
      <c r="AC12" s="13" t="s">
        <v>99</v>
      </c>
      <c r="AD12" s="13" t="s">
        <v>100</v>
      </c>
      <c r="AE12" s="13" t="s">
        <v>101</v>
      </c>
      <c r="AF12" s="13" t="s">
        <v>102</v>
      </c>
      <c r="AG12" s="13" t="s">
        <v>103</v>
      </c>
      <c r="AH12" s="13" t="s">
        <v>104</v>
      </c>
      <c r="AI12" s="3" t="s">
        <v>62</v>
      </c>
      <c r="AJ12" s="3" t="s">
        <v>63</v>
      </c>
    </row>
    <row r="13" spans="1:37" x14ac:dyDescent="0.25">
      <c r="A13" s="5" t="s">
        <v>56</v>
      </c>
      <c r="B13" s="3">
        <f ca="1">SUMPRODUCT((Настройки!$G$29:$AJ$29=1)*E16:AH16)</f>
        <v>0</v>
      </c>
      <c r="C13" s="13"/>
      <c r="D13" s="5">
        <v>1</v>
      </c>
      <c r="E13" s="3">
        <f>SUMPRODUCT((Сентябрь[№]=1)*Сентябрь[1],Сентябрь[Объем])</f>
        <v>0</v>
      </c>
      <c r="F13" s="23">
        <f>SUMPRODUCT((Сентябрь[№]=1)*Сентябрь[2],Сентябрь[Объем])</f>
        <v>0</v>
      </c>
      <c r="G13" s="23">
        <f>SUMPRODUCT((Сентябрь[№]=1)*Сентябрь[3],Сентябрь[Объем])</f>
        <v>0</v>
      </c>
      <c r="H13" s="23">
        <f>SUMPRODUCT((Сентябрь[№]=1)*Сентябрь[4],Сентябрь[Объем])</f>
        <v>0</v>
      </c>
      <c r="I13" s="23">
        <f>SUMPRODUCT((Сентябрь[№]=1)*Сентябрь[5],Сентябрь[Объем])</f>
        <v>0</v>
      </c>
      <c r="J13" s="23">
        <f>SUMPRODUCT((Сентябрь[№]=1)*Сентябрь[6],Сентябрь[Объем])</f>
        <v>0</v>
      </c>
      <c r="K13" s="23">
        <f>SUMPRODUCT((Сентябрь[№]=1)*Сентябрь[7],Сентябрь[Объем])</f>
        <v>0</v>
      </c>
      <c r="L13" s="23">
        <f>SUMPRODUCT((Сентябрь[№]=1)*Сентябрь[8],Сентябрь[Объем])</f>
        <v>0</v>
      </c>
      <c r="M13" s="23">
        <f>SUMPRODUCT((Сентябрь[№]=1)*Сентябрь[9],Сентябрь[Объем])</f>
        <v>0</v>
      </c>
      <c r="N13" s="23">
        <f>SUMPRODUCT((Сентябрь[№]=1)*Сентябрь[10],Сентябрь[Объем])</f>
        <v>0</v>
      </c>
      <c r="O13" s="23">
        <f>SUMPRODUCT((Сентябрь[№]=1)*Сентябрь[11],Сентябрь[Объем])</f>
        <v>0</v>
      </c>
      <c r="P13" s="23">
        <f>SUMPRODUCT((Сентябрь[№]=1)*Сентябрь[12],Сентябрь[Объем])</f>
        <v>0</v>
      </c>
      <c r="Q13" s="23">
        <f>SUMPRODUCT((Сентябрь[№]=1)*Сентябрь[13],Сентябрь[Объем])</f>
        <v>0</v>
      </c>
      <c r="R13" s="23">
        <f>SUMPRODUCT((Сентябрь[№]=1)*Сентябрь[14],Сентябрь[Объем])</f>
        <v>0</v>
      </c>
      <c r="S13" s="23">
        <f>SUMPRODUCT((Сентябрь[№]=1)*Сентябрь[15],Сентябрь[Объем])</f>
        <v>0</v>
      </c>
      <c r="T13" s="23">
        <f>SUMPRODUCT((Сентябрь[№]=1)*Сентябрь[16],Сентябрь[Объем])</f>
        <v>0</v>
      </c>
      <c r="U13" s="23">
        <f>SUMPRODUCT((Сентябрь[№]=1)*Сентябрь[17],Сентябрь[Объем])</f>
        <v>0</v>
      </c>
      <c r="V13" s="23">
        <f>SUMPRODUCT((Сентябрь[№]=1)*Сентябрь[18],Сентябрь[Объем])</f>
        <v>0</v>
      </c>
      <c r="W13" s="23">
        <f>SUMPRODUCT((Сентябрь[№]=1)*Сентябрь[19],Сентябрь[Объем])</f>
        <v>0</v>
      </c>
      <c r="X13" s="23">
        <f>SUMPRODUCT((Сентябрь[№]=1)*Сентябрь[20],Сентябрь[Объем])</f>
        <v>0</v>
      </c>
      <c r="Y13" s="23">
        <f>SUMPRODUCT((Сентябрь[№]=1)*Сентябрь[21],Сентябрь[Объем])</f>
        <v>0</v>
      </c>
      <c r="Z13" s="23">
        <f>SUMPRODUCT((Сентябрь[№]=1)*Сентябрь[22],Сентябрь[Объем])</f>
        <v>0</v>
      </c>
      <c r="AA13" s="23">
        <f>SUMPRODUCT((Сентябрь[№]=1)*Сентябрь[23],Сентябрь[Объем])</f>
        <v>0</v>
      </c>
      <c r="AB13" s="23">
        <f>SUMPRODUCT((Сентябрь[№]=1)*Сентябрь[24],Сентябрь[Объем])</f>
        <v>0</v>
      </c>
      <c r="AC13" s="23">
        <f>SUMPRODUCT((Сентябрь[№]=1)*Сентябрь[25],Сентябрь[Объем])</f>
        <v>0</v>
      </c>
      <c r="AD13" s="23">
        <f>SUMPRODUCT((Сентябрь[№]=1)*Сентябрь[26],Сентябрь[Объем])</f>
        <v>0</v>
      </c>
      <c r="AE13" s="23">
        <f>SUMPRODUCT((Сентябрь[№]=1)*Сентябрь[27],Сентябрь[Объем])</f>
        <v>0</v>
      </c>
      <c r="AF13" s="23">
        <f>SUMPRODUCT((Сентябрь[№]=1)*Сентябрь[28],Сентябрь[Объем])</f>
        <v>0</v>
      </c>
      <c r="AG13" s="23">
        <f>SUMPRODUCT((Сентябрь[№]=1)*Сентябрь[29],Сентябрь[Объем])</f>
        <v>0</v>
      </c>
      <c r="AH13" s="23">
        <f>SUMPRODUCT((Сентябрь[№]=1)*Сентябрь[30],Сентябрь[Объем])</f>
        <v>0</v>
      </c>
    </row>
    <row r="14" spans="1:37" x14ac:dyDescent="0.25">
      <c r="B14" s="3">
        <f ca="1">SUMPRODUCT((Настройки!$G$29:$AJ$29=2)*E16:AH16)</f>
        <v>0</v>
      </c>
      <c r="D14" s="5">
        <v>2</v>
      </c>
      <c r="E14" s="3">
        <f ca="1">SUMPRODUCT((Сентябрь[№]=2)*Сентябрь[1],OFFSET(Сентябрь[Объем],-1,0))</f>
        <v>0</v>
      </c>
      <c r="F14" s="23">
        <f ca="1">SUMPRODUCT((Сентябрь[№]=2)*Сентябрь[2],OFFSET(Сентябрь[Объем],-1,0))</f>
        <v>0</v>
      </c>
      <c r="G14" s="23">
        <f ca="1">SUMPRODUCT((Сентябрь[№]=2)*Сентябрь[3],OFFSET(Сентябрь[Объем],-1,0))</f>
        <v>0</v>
      </c>
      <c r="H14" s="23">
        <f ca="1">SUMPRODUCT((Сентябрь[№]=2)*Сентябрь[4],OFFSET(Сентябрь[Объем],-1,0))</f>
        <v>0</v>
      </c>
      <c r="I14" s="23">
        <f ca="1">SUMPRODUCT((Сентябрь[№]=2)*Сентябрь[5],OFFSET(Сентябрь[Объем],-1,0))</f>
        <v>0</v>
      </c>
      <c r="J14" s="23">
        <f ca="1">SUMPRODUCT((Сентябрь[№]=2)*Сентябрь[6],OFFSET(Сентябрь[Объем],-1,0))</f>
        <v>0</v>
      </c>
      <c r="K14" s="23">
        <f ca="1">SUMPRODUCT((Сентябрь[№]=2)*Сентябрь[7],OFFSET(Сентябрь[Объем],-1,0))</f>
        <v>0</v>
      </c>
      <c r="L14" s="23">
        <f ca="1">SUMPRODUCT((Сентябрь[№]=2)*Сентябрь[8],OFFSET(Сентябрь[Объем],-1,0))</f>
        <v>0</v>
      </c>
      <c r="M14" s="23">
        <f ca="1">SUMPRODUCT((Сентябрь[№]=2)*Сентябрь[9],OFFSET(Сентябрь[Объем],-1,0))</f>
        <v>0</v>
      </c>
      <c r="N14" s="23">
        <f ca="1">SUMPRODUCT((Сентябрь[№]=2)*Сентябрь[10],OFFSET(Сентябрь[Объем],-1,0))</f>
        <v>0</v>
      </c>
      <c r="O14" s="23">
        <f ca="1">SUMPRODUCT((Сентябрь[№]=2)*Сентябрь[11],OFFSET(Сентябрь[Объем],-1,0))</f>
        <v>0</v>
      </c>
      <c r="P14" s="23">
        <f ca="1">SUMPRODUCT((Сентябрь[№]=2)*Сентябрь[12],OFFSET(Сентябрь[Объем],-1,0))</f>
        <v>0</v>
      </c>
      <c r="Q14" s="23">
        <f ca="1">SUMPRODUCT((Сентябрь[№]=2)*Сентябрь[13],OFFSET(Сентябрь[Объем],-1,0))</f>
        <v>0</v>
      </c>
      <c r="R14" s="23">
        <f ca="1">SUMPRODUCT((Сентябрь[№]=2)*Сентябрь[14],OFFSET(Сентябрь[Объем],-1,0))</f>
        <v>0</v>
      </c>
      <c r="S14" s="23">
        <f ca="1">SUMPRODUCT((Сентябрь[№]=2)*Сентябрь[15],OFFSET(Сентябрь[Объем],-1,0))</f>
        <v>0</v>
      </c>
      <c r="T14" s="23">
        <f ca="1">SUMPRODUCT((Сентябрь[№]=2)*Сентябрь[16],OFFSET(Сентябрь[Объем],-1,0))</f>
        <v>0</v>
      </c>
      <c r="U14" s="23">
        <f ca="1">SUMPRODUCT((Сентябрь[№]=2)*Сентябрь[17],OFFSET(Сентябрь[Объем],-1,0))</f>
        <v>0</v>
      </c>
      <c r="V14" s="23">
        <f ca="1">SUMPRODUCT((Сентябрь[№]=2)*Сентябрь[18],OFFSET(Сентябрь[Объем],-1,0))</f>
        <v>0</v>
      </c>
      <c r="W14" s="23">
        <f ca="1">SUMPRODUCT((Сентябрь[№]=2)*Сентябрь[19],OFFSET(Сентябрь[Объем],-1,0))</f>
        <v>0</v>
      </c>
      <c r="X14" s="23">
        <f ca="1">SUMPRODUCT((Сентябрь[№]=2)*Сентябрь[20],OFFSET(Сентябрь[Объем],-1,0))</f>
        <v>0</v>
      </c>
      <c r="Y14" s="23">
        <f ca="1">SUMPRODUCT((Сентябрь[№]=2)*Сентябрь[21],OFFSET(Сентябрь[Объем],-1,0))</f>
        <v>0</v>
      </c>
      <c r="Z14" s="23">
        <f ca="1">SUMPRODUCT((Сентябрь[№]=2)*Сентябрь[22],OFFSET(Сентябрь[Объем],-1,0))</f>
        <v>0</v>
      </c>
      <c r="AA14" s="23">
        <f ca="1">SUMPRODUCT((Сентябрь[№]=2)*Сентябрь[23],OFFSET(Сентябрь[Объем],-1,0))</f>
        <v>0</v>
      </c>
      <c r="AB14" s="23">
        <f ca="1">SUMPRODUCT((Сентябрь[№]=2)*Сентябрь[24],OFFSET(Сентябрь[Объем],-1,0))</f>
        <v>0</v>
      </c>
      <c r="AC14" s="23">
        <f ca="1">SUMPRODUCT((Сентябрь[№]=2)*Сентябрь[25],OFFSET(Сентябрь[Объем],-1,0))</f>
        <v>0</v>
      </c>
      <c r="AD14" s="23">
        <f ca="1">SUMPRODUCT((Сентябрь[№]=2)*Сентябрь[26],OFFSET(Сентябрь[Объем],-1,0))</f>
        <v>0</v>
      </c>
      <c r="AE14" s="23">
        <f ca="1">SUMPRODUCT((Сентябрь[№]=2)*Сентябрь[27],OFFSET(Сентябрь[Объем],-1,0))</f>
        <v>0</v>
      </c>
      <c r="AF14" s="23">
        <f ca="1">SUMPRODUCT((Сентябрь[№]=2)*Сентябрь[28],OFFSET(Сентябрь[Объем],-1,0))</f>
        <v>0</v>
      </c>
      <c r="AG14" s="23">
        <f ca="1">SUMPRODUCT((Сентябрь[№]=2)*Сентябрь[29],OFFSET(Сентябрь[Объем],-1,0))</f>
        <v>0</v>
      </c>
      <c r="AH14" s="23">
        <f ca="1">SUMPRODUCT((Сентябрь[№]=2)*Сентябрь[30],OFFSET(Сентябрь[Объем],-1,0))</f>
        <v>0</v>
      </c>
    </row>
    <row r="15" spans="1:37" x14ac:dyDescent="0.25">
      <c r="B15" s="3">
        <f ca="1">SUMPRODUCT((Настройки!$G$29:$AJ$29=3)*E16:AH16)</f>
        <v>0</v>
      </c>
      <c r="D15" s="5">
        <v>3</v>
      </c>
      <c r="E15" s="3">
        <f ca="1">SUMPRODUCT((Сентябрь[№]=3)*Сентябрь[1],OFFSET(Сентябрь[Объем],-2,0))</f>
        <v>0</v>
      </c>
      <c r="F15" s="23">
        <f ca="1">SUMPRODUCT((Сентябрь[№]=3)*Сентябрь[2],OFFSET(Сентябрь[Объем],-2,0))</f>
        <v>0</v>
      </c>
      <c r="G15" s="23">
        <f ca="1">SUMPRODUCT((Сентябрь[№]=3)*Сентябрь[3],OFFSET(Сентябрь[Объем],-2,0))</f>
        <v>0</v>
      </c>
      <c r="H15" s="23">
        <f ca="1">SUMPRODUCT((Сентябрь[№]=3)*Сентябрь[4],OFFSET(Сентябрь[Объем],-2,0))</f>
        <v>0</v>
      </c>
      <c r="I15" s="23">
        <f ca="1">SUMPRODUCT((Сентябрь[№]=3)*Сентябрь[5],OFFSET(Сентябрь[Объем],-2,0))</f>
        <v>0</v>
      </c>
      <c r="J15" s="23">
        <f ca="1">SUMPRODUCT((Сентябрь[№]=3)*Сентябрь[6],OFFSET(Сентябрь[Объем],-2,0))</f>
        <v>0</v>
      </c>
      <c r="K15" s="23">
        <f ca="1">SUMPRODUCT((Сентябрь[№]=3)*Сентябрь[7],OFFSET(Сентябрь[Объем],-2,0))</f>
        <v>0</v>
      </c>
      <c r="L15" s="23">
        <f ca="1">SUMPRODUCT((Сентябрь[№]=3)*Сентябрь[8],OFFSET(Сентябрь[Объем],-2,0))</f>
        <v>0</v>
      </c>
      <c r="M15" s="23">
        <f ca="1">SUMPRODUCT((Сентябрь[№]=3)*Сентябрь[9],OFFSET(Сентябрь[Объем],-2,0))</f>
        <v>0</v>
      </c>
      <c r="N15" s="23">
        <f ca="1">SUMPRODUCT((Сентябрь[№]=3)*Сентябрь[10],OFFSET(Сентябрь[Объем],-2,0))</f>
        <v>0</v>
      </c>
      <c r="O15" s="23">
        <f ca="1">SUMPRODUCT((Сентябрь[№]=3)*Сентябрь[11],OFFSET(Сентябрь[Объем],-2,0))</f>
        <v>0</v>
      </c>
      <c r="P15" s="23">
        <f ca="1">SUMPRODUCT((Сентябрь[№]=3)*Сентябрь[12],OFFSET(Сентябрь[Объем],-2,0))</f>
        <v>0</v>
      </c>
      <c r="Q15" s="23">
        <f ca="1">SUMPRODUCT((Сентябрь[№]=3)*Сентябрь[13],OFFSET(Сентябрь[Объем],-2,0))</f>
        <v>0</v>
      </c>
      <c r="R15" s="23">
        <f ca="1">SUMPRODUCT((Сентябрь[№]=3)*Сентябрь[14],OFFSET(Сентябрь[Объем],-2,0))</f>
        <v>0</v>
      </c>
      <c r="S15" s="23">
        <f ca="1">SUMPRODUCT((Сентябрь[№]=3)*Сентябрь[15],OFFSET(Сентябрь[Объем],-2,0))</f>
        <v>0</v>
      </c>
      <c r="T15" s="23">
        <f ca="1">SUMPRODUCT((Сентябрь[№]=3)*Сентябрь[16],OFFSET(Сентябрь[Объем],-2,0))</f>
        <v>0</v>
      </c>
      <c r="U15" s="23">
        <f ca="1">SUMPRODUCT((Сентябрь[№]=3)*Сентябрь[17],OFFSET(Сентябрь[Объем],-2,0))</f>
        <v>0</v>
      </c>
      <c r="V15" s="23">
        <f ca="1">SUMPRODUCT((Сентябрь[№]=3)*Сентябрь[18],OFFSET(Сентябрь[Объем],-2,0))</f>
        <v>0</v>
      </c>
      <c r="W15" s="23">
        <f ca="1">SUMPRODUCT((Сентябрь[№]=3)*Сентябрь[19],OFFSET(Сентябрь[Объем],-2,0))</f>
        <v>0</v>
      </c>
      <c r="X15" s="23">
        <f ca="1">SUMPRODUCT((Сентябрь[№]=3)*Сентябрь[20],OFFSET(Сентябрь[Объем],-2,0))</f>
        <v>0</v>
      </c>
      <c r="Y15" s="23">
        <f ca="1">SUMPRODUCT((Сентябрь[№]=3)*Сентябрь[21],OFFSET(Сентябрь[Объем],-2,0))</f>
        <v>0</v>
      </c>
      <c r="Z15" s="23">
        <f ca="1">SUMPRODUCT((Сентябрь[№]=3)*Сентябрь[22],OFFSET(Сентябрь[Объем],-2,0))</f>
        <v>0</v>
      </c>
      <c r="AA15" s="23">
        <f ca="1">SUMPRODUCT((Сентябрь[№]=3)*Сентябрь[23],OFFSET(Сентябрь[Объем],-2,0))</f>
        <v>0</v>
      </c>
      <c r="AB15" s="23">
        <f ca="1">SUMPRODUCT((Сентябрь[№]=3)*Сентябрь[24],OFFSET(Сентябрь[Объем],-2,0))</f>
        <v>0</v>
      </c>
      <c r="AC15" s="23">
        <f ca="1">SUMPRODUCT((Сентябрь[№]=3)*Сентябрь[25],OFFSET(Сентябрь[Объем],-2,0))</f>
        <v>0</v>
      </c>
      <c r="AD15" s="23">
        <f ca="1">SUMPRODUCT((Сентябрь[№]=3)*Сентябрь[26],OFFSET(Сентябрь[Объем],-2,0))</f>
        <v>0</v>
      </c>
      <c r="AE15" s="23">
        <f ca="1">SUMPRODUCT((Сентябрь[№]=3)*Сентябрь[27],OFFSET(Сентябрь[Объем],-2,0))</f>
        <v>0</v>
      </c>
      <c r="AF15" s="23">
        <f ca="1">SUMPRODUCT((Сентябрь[№]=3)*Сентябрь[28],OFFSET(Сентябрь[Объем],-2,0))</f>
        <v>0</v>
      </c>
      <c r="AG15" s="23">
        <f ca="1">SUMPRODUCT((Сентябрь[№]=3)*Сентябрь[29],OFFSET(Сентябрь[Объем],-2,0))</f>
        <v>0</v>
      </c>
      <c r="AH15" s="23">
        <f ca="1">SUMPRODUCT((Сентябрь[№]=3)*Сентябрь[30],OFFSET(Сентябрь[Объем],-2,0))</f>
        <v>0</v>
      </c>
      <c r="AJ15" s="9"/>
    </row>
    <row r="16" spans="1:37" x14ac:dyDescent="0.25">
      <c r="B16" s="3">
        <f ca="1">SUMPRODUCT((Настройки!$G$29:$AJ$29=4)*E16:AH16)</f>
        <v>0</v>
      </c>
      <c r="D16" s="5"/>
      <c r="E16" s="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J16" s="9"/>
    </row>
    <row r="17" spans="1:36" x14ac:dyDescent="0.25">
      <c r="B17" s="3">
        <f ca="1">SUMPRODUCT((Настройки!$G$29:$AJ$29=5)*E16:AH16)</f>
        <v>0</v>
      </c>
      <c r="C17" s="5">
        <f ca="1">СентябрьИтоги[[#This Row],[№]]*60</f>
        <v>0</v>
      </c>
      <c r="D17" s="7">
        <f ca="1">SUM(СентябрьИтоги[[#This Row],[1]:[30]])</f>
        <v>0</v>
      </c>
      <c r="E17" s="6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5">
        <f ca="1">SUM(Сентябрь[УСЛУГ])</f>
        <v>0</v>
      </c>
      <c r="AJ17" s="15">
        <f ca="1">SUM(Сентябрь[МИНУТ])</f>
        <v>0</v>
      </c>
    </row>
    <row r="18" spans="1:36" x14ac:dyDescent="0.25">
      <c r="B18" s="13">
        <f ca="1">SUMPRODUCT((Настройки!$G$29:$AJ$29=6)*E16:AH16)</f>
        <v>0</v>
      </c>
      <c r="C18" s="13"/>
      <c r="D18" s="7"/>
      <c r="E18" s="13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13"/>
      <c r="AJ18" s="45"/>
    </row>
    <row r="20" spans="1:36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69"/>
      <c r="AI20" s="63" t="s">
        <v>64</v>
      </c>
      <c r="AJ20" s="63" t="s">
        <v>64</v>
      </c>
    </row>
    <row r="21" spans="1:36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78"/>
      <c r="AI21" s="63"/>
      <c r="AJ21" s="63"/>
    </row>
    <row r="22" spans="1:36" x14ac:dyDescent="0.25">
      <c r="A22" s="73"/>
      <c r="B22" s="73"/>
      <c r="C22" s="74"/>
      <c r="D22" s="76"/>
      <c r="E22" s="21">
        <f>Настройки!G15</f>
        <v>45536</v>
      </c>
      <c r="F22" s="21">
        <f>Настройки!H15</f>
        <v>45537</v>
      </c>
      <c r="G22" s="21">
        <f>Настройки!I15</f>
        <v>45538</v>
      </c>
      <c r="H22" s="21">
        <f>Настройки!J15</f>
        <v>45539</v>
      </c>
      <c r="I22" s="21">
        <f>Настройки!K15</f>
        <v>45540</v>
      </c>
      <c r="J22" s="21">
        <f>Настройки!L15</f>
        <v>45541</v>
      </c>
      <c r="K22" s="21">
        <f>Настройки!M15</f>
        <v>45542</v>
      </c>
      <c r="L22" s="21">
        <f>Настройки!N15</f>
        <v>45543</v>
      </c>
      <c r="M22" s="21">
        <f>Настройки!O15</f>
        <v>45544</v>
      </c>
      <c r="N22" s="21">
        <f>Настройки!P15</f>
        <v>45545</v>
      </c>
      <c r="O22" s="21">
        <f>Настройки!Q15</f>
        <v>45546</v>
      </c>
      <c r="P22" s="21">
        <f>Настройки!R15</f>
        <v>45547</v>
      </c>
      <c r="Q22" s="21">
        <f>Настройки!S15</f>
        <v>45548</v>
      </c>
      <c r="R22" s="21">
        <f>Настройки!T15</f>
        <v>45549</v>
      </c>
      <c r="S22" s="21">
        <f>Настройки!U15</f>
        <v>45550</v>
      </c>
      <c r="T22" s="21">
        <f>Настройки!V15</f>
        <v>45551</v>
      </c>
      <c r="U22" s="21">
        <f>Настройки!W15</f>
        <v>45552</v>
      </c>
      <c r="V22" s="21">
        <f>Настройки!X15</f>
        <v>45553</v>
      </c>
      <c r="W22" s="21">
        <f>Настройки!Y15</f>
        <v>45554</v>
      </c>
      <c r="X22" s="21">
        <f>Настройки!Z15</f>
        <v>45555</v>
      </c>
      <c r="Y22" s="21">
        <f>Настройки!AA15</f>
        <v>45556</v>
      </c>
      <c r="Z22" s="21">
        <f>Настройки!AB15</f>
        <v>45557</v>
      </c>
      <c r="AA22" s="21">
        <f>Настройки!AC15</f>
        <v>45558</v>
      </c>
      <c r="AB22" s="21">
        <f>Настройки!AD15</f>
        <v>45559</v>
      </c>
      <c r="AC22" s="21">
        <f>Настройки!AE15</f>
        <v>45560</v>
      </c>
      <c r="AD22" s="21">
        <f>Настройки!AF15</f>
        <v>45561</v>
      </c>
      <c r="AE22" s="21">
        <f>Настройки!AG15</f>
        <v>45562</v>
      </c>
      <c r="AF22" s="21">
        <f>Настройки!AH15</f>
        <v>45563</v>
      </c>
      <c r="AG22" s="21">
        <f>Настройки!AI15</f>
        <v>45564</v>
      </c>
      <c r="AH22" s="21">
        <f>Настройки!AJ15</f>
        <v>45565</v>
      </c>
      <c r="AI22" s="63"/>
      <c r="AJ22" s="63"/>
    </row>
    <row r="23" spans="1:36" x14ac:dyDescent="0.25">
      <c r="A23" s="73"/>
      <c r="B23" s="73"/>
      <c r="C23" s="74"/>
      <c r="D23" s="76"/>
      <c r="E23" s="68" t="s">
        <v>54</v>
      </c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85"/>
      <c r="AI23" s="63"/>
      <c r="AJ23" s="63"/>
    </row>
    <row r="24" spans="1:36" x14ac:dyDescent="0.25">
      <c r="A24" s="73"/>
      <c r="B24" s="73"/>
      <c r="C24" s="74"/>
      <c r="D24" s="76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87"/>
      <c r="AI24" s="63"/>
      <c r="AJ24" s="63"/>
    </row>
    <row r="25" spans="1:36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62</v>
      </c>
      <c r="AJ25" s="3" t="s">
        <v>63</v>
      </c>
    </row>
    <row r="26" spans="1:36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5">
        <f ca="1">IF(Сентябрь[[#This Row],[№]]=1,SUM(Сентябрь[[#This Row],[1]:[30]])+SUM(OFFSET(Сентябрь[[#This Row],[1]:[30]],1,0))+SUM(OFFSET(Сентябрь[[#This Row],[1]:[30]],2,0)),"")</f>
        <v>0</v>
      </c>
      <c r="AJ26" s="5">
        <f ca="1">IF(Сентябрь[[#This Row],[УСЛУГ]]&lt;&gt;"",Сентябрь[[#This Row],[УСЛУГ]]*Сентябрь[[#This Row],[Объем]],"")</f>
        <v>0</v>
      </c>
    </row>
    <row r="27" spans="1:36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5" t="str">
        <f ca="1">IF(Сентябрь[[#This Row],[№]]=1,SUM(Сентябрь[[#This Row],[1]:[30]])+SUM(OFFSET(Сентябрь[[#This Row],[1]:[30]],1,0))+SUM(OFFSET(Сентябрь[[#This Row],[1]:[30]],2,0)),"")</f>
        <v/>
      </c>
      <c r="AJ27" s="5" t="str">
        <f ca="1">IF(Сентябрь[[#This Row],[УСЛУГ]]&lt;&gt;"",Сентябрь[[#This Row],[УСЛУГ]]*Сентябрь[[#This Row],[Объем]],"")</f>
        <v/>
      </c>
    </row>
    <row r="28" spans="1:36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5" t="str">
        <f ca="1">IF(Сентябрь[[#This Row],[№]]=1,SUM(Сентябрь[[#This Row],[1]:[30]])+SUM(OFFSET(Сентябрь[[#This Row],[1]:[30]],1,0))+SUM(OFFSET(Сентябрь[[#This Row],[1]:[30]],2,0)),"")</f>
        <v/>
      </c>
      <c r="AJ28" s="5" t="str">
        <f ca="1">IF(Сентябрь[[#This Row],[УСЛУГ]]&lt;&gt;"",Сентябрь[[#This Row],[УСЛУГ]]*Сентябрь[[#This Row],[Объем]],"")</f>
        <v/>
      </c>
    </row>
  </sheetData>
  <mergeCells count="20">
    <mergeCell ref="E23:AH24"/>
    <mergeCell ref="AJ20:AJ24"/>
    <mergeCell ref="A7:A11"/>
    <mergeCell ref="D7:D11"/>
    <mergeCell ref="A20:A24"/>
    <mergeCell ref="B20:C24"/>
    <mergeCell ref="D20:D24"/>
    <mergeCell ref="AI20:AI24"/>
    <mergeCell ref="B7:B11"/>
    <mergeCell ref="C7:C11"/>
    <mergeCell ref="AI7:AI11"/>
    <mergeCell ref="E20:AH21"/>
    <mergeCell ref="AJ7:AJ11"/>
    <mergeCell ref="E10:AH11"/>
    <mergeCell ref="E7:AH8"/>
    <mergeCell ref="A2:AJ2"/>
    <mergeCell ref="A3:AJ3"/>
    <mergeCell ref="J4:L4"/>
    <mergeCell ref="M5:Q5"/>
    <mergeCell ref="M4:U4"/>
  </mergeCells>
  <conditionalFormatting sqref="E9:AH9">
    <cfRule type="expression" dxfId="437" priority="4">
      <formula>WEEKDAY(E9:AH9,2)&gt;5</formula>
    </cfRule>
  </conditionalFormatting>
  <conditionalFormatting sqref="E22:AH22">
    <cfRule type="expression" dxfId="436" priority="2">
      <formula>WEEKDAY(E22:AH22,2)&gt;5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2" fitToHeight="0" orientation="landscape" horizontalDpi="300" verticalDpi="300" r:id="rId1"/>
  <ignoredErrors>
    <ignoredError sqref="E16:AH17 E13 B13:B18 E14:E15" calculatedColumn="1"/>
  </ignoredErrors>
  <tableParts count="2">
    <tablePart r:id="rId2"/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7" tint="0.39997558519241921"/>
    <pageSetUpPr fitToPage="1"/>
  </sheetPr>
  <dimension ref="A2:AF27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70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Настройки!G15</f>
        <v>45536</v>
      </c>
      <c r="C10" s="29">
        <f>Настройки!H15</f>
        <v>45537</v>
      </c>
      <c r="D10" s="29">
        <f>Настройки!I15</f>
        <v>45538</v>
      </c>
      <c r="E10" s="29">
        <f>Настройки!J15</f>
        <v>45539</v>
      </c>
      <c r="F10" s="29">
        <f>Настройки!K15</f>
        <v>45540</v>
      </c>
      <c r="G10" s="29">
        <f>Настройки!L15</f>
        <v>45541</v>
      </c>
      <c r="H10" s="29">
        <f>Настройки!M15</f>
        <v>45542</v>
      </c>
      <c r="I10" s="29">
        <f>Настройки!N15</f>
        <v>45543</v>
      </c>
      <c r="J10" s="29">
        <f>Настройки!O15</f>
        <v>45544</v>
      </c>
      <c r="K10" s="29">
        <f>Настройки!P15</f>
        <v>45545</v>
      </c>
      <c r="L10" s="29">
        <f>Настройки!Q15</f>
        <v>45546</v>
      </c>
      <c r="M10" s="29">
        <f>Настройки!R15</f>
        <v>45547</v>
      </c>
      <c r="N10" s="29">
        <f>Настройки!S15</f>
        <v>45548</v>
      </c>
      <c r="O10" s="29">
        <f>Настройки!T15</f>
        <v>45549</v>
      </c>
      <c r="P10" s="29">
        <f>Настройки!U15</f>
        <v>45550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IF(Настройки!J2&lt;&gt;"",TEXT(MIN(Настройки!G84:AJ84,Настройки!J2),"ч:мм")&amp;"-"&amp;TEXT(MAX(Настройки!G84:AJ84,Настройки!J2)+TIME(0,MAX(Сентябрь!E13:AH13),0),"ч:мм"),"")</f>
        <v>9:00-9:00</v>
      </c>
      <c r="B14" s="30" t="str">
        <f>IF(TEXT(IF(Настройки!G84="",TEXT(Настройки!$J2,"ч:мм"),TEXT(Настройки!G84,"ч:мм"))+TIME(0,Сентябрь!E13,0),"ч::мм")=TEXT(IF(Настройки!G84="",TEXT(Настройки!$J2,"ч:мм"),TEXT(Настройки!G84,"ч:мм")),"ч:мм"),"",TEXT(IF(Настройки!G84="",TEXT(Настройки!$J2,"ч:мм"),TEXT(Настройки!G84,"ч:мм")),"ч:мм")&amp;"-"&amp;TEXT(IF(Настройки!G84="",TEXT(Настройки!$J2,"ч:мм"),TEXT(Настройки!G84,"ч:мм"))+TIME(0,Сентябрь!E13,0),"ч::мм"))</f>
        <v/>
      </c>
      <c r="C14" s="30" t="str">
        <f>IF(TEXT(IF(Настройки!H84="",TEXT(Настройки!$J2,"ч:мм"),TEXT(Настройки!H84,"ч:мм"))+TIME(0,Сентябрь!F13,0),"ч::мм")=TEXT(IF(Настройки!H84="",TEXT(Настройки!$J2,"ч:мм"),TEXT(Настройки!H84,"ч:мм")),"ч:мм"),"",TEXT(IF(Настройки!H84="",TEXT(Настройки!$J2,"ч:мм"),TEXT(Настройки!H84,"ч:мм")),"ч:мм")&amp;"-"&amp;TEXT(IF(Настройки!H84="",TEXT(Настройки!$J2,"ч:мм"),TEXT(Настройки!H84,"ч:мм"))+TIME(0,Сентябрь!F13,0),"ч::мм"))</f>
        <v/>
      </c>
      <c r="D14" s="30" t="str">
        <f>IF(TEXT(IF(Настройки!I84="",TEXT(Настройки!$J2,"ч:мм"),TEXT(Настройки!I84,"ч:мм"))+TIME(0,Сентябрь!G13,0),"ч::мм")=TEXT(IF(Настройки!I84="",TEXT(Настройки!$J2,"ч:мм"),TEXT(Настройки!I84,"ч:мм")),"ч:мм"),"",TEXT(IF(Настройки!I84="",TEXT(Настройки!$J2,"ч:мм"),TEXT(Настройки!I84,"ч:мм")),"ч:мм")&amp;"-"&amp;TEXT(IF(Настройки!I84="",TEXT(Настройки!$J2,"ч:мм"),TEXT(Настройки!I84,"ч:мм"))+TIME(0,Сентябрь!G13,0),"ч::мм"))</f>
        <v/>
      </c>
      <c r="E14" s="30" t="str">
        <f>IF(TEXT(IF(Настройки!J84="",TEXT(Настройки!$J2,"ч:мм"),TEXT(Настройки!J84,"ч:мм"))+TIME(0,Сентябрь!H13,0),"ч::мм")=TEXT(IF(Настройки!J84="",TEXT(Настройки!$J2,"ч:мм"),TEXT(Настройки!J84,"ч:мм")),"ч:мм"),"",TEXT(IF(Настройки!J84="",TEXT(Настройки!$J2,"ч:мм"),TEXT(Настройки!J84,"ч:мм")),"ч:мм")&amp;"-"&amp;TEXT(IF(Настройки!J84="",TEXT(Настройки!$J2,"ч:мм"),TEXT(Настройки!J84,"ч:мм"))+TIME(0,Сентябрь!H13,0),"ч::мм"))</f>
        <v/>
      </c>
      <c r="F14" s="30" t="str">
        <f>IF(TEXT(IF(Настройки!K84="",TEXT(Настройки!$J2,"ч:мм"),TEXT(Настройки!K84,"ч:мм"))+TIME(0,Сентябрь!I13,0),"ч::мм")=TEXT(IF(Настройки!K84="",TEXT(Настройки!$J2,"ч:мм"),TEXT(Настройки!K84,"ч:мм")),"ч:мм"),"",TEXT(IF(Настройки!K84="",TEXT(Настройки!$J2,"ч:мм"),TEXT(Настройки!K84,"ч:мм")),"ч:мм")&amp;"-"&amp;TEXT(IF(Настройки!K84="",TEXT(Настройки!$J2,"ч:мм"),TEXT(Настройки!K84,"ч:мм"))+TIME(0,Сентябрь!I13,0),"ч::мм"))</f>
        <v/>
      </c>
      <c r="G14" s="30" t="str">
        <f>IF(TEXT(IF(Настройки!L84="",TEXT(Настройки!$J2,"ч:мм"),TEXT(Настройки!L84,"ч:мм"))+TIME(0,Сентябрь!J13,0),"ч::мм")=TEXT(IF(Настройки!L84="",TEXT(Настройки!$J2,"ч:мм"),TEXT(Настройки!L84,"ч:мм")),"ч:мм"),"",TEXT(IF(Настройки!L84="",TEXT(Настройки!$J2,"ч:мм"),TEXT(Настройки!L84,"ч:мм")),"ч:мм")&amp;"-"&amp;TEXT(IF(Настройки!L84="",TEXT(Настройки!$J2,"ч:мм"),TEXT(Настройки!L84,"ч:мм"))+TIME(0,Сентябрь!J13,0),"ч::мм"))</f>
        <v/>
      </c>
      <c r="H14" s="30" t="str">
        <f>IF(TEXT(IF(Настройки!M84="",TEXT(Настройки!$J2,"ч:мм"),TEXT(Настройки!M84,"ч:мм"))+TIME(0,Сентябрь!K13,0),"ч::мм")=TEXT(IF(Настройки!M84="",TEXT(Настройки!$J2,"ч:мм"),TEXT(Настройки!M84,"ч:мм")),"ч:мм"),"",TEXT(IF(Настройки!M84="",TEXT(Настройки!$J2,"ч:мм"),TEXT(Настройки!M84,"ч:мм")),"ч:мм")&amp;"-"&amp;TEXT(IF(Настройки!M84="",TEXT(Настройки!$J2,"ч:мм"),TEXT(Настройки!M84,"ч:мм"))+TIME(0,Сентябрь!K13,0),"ч::мм"))</f>
        <v/>
      </c>
      <c r="I14" s="30" t="str">
        <f>IF(TEXT(IF(Настройки!N84="",TEXT(Настройки!$J2,"ч:мм"),TEXT(Настройки!N84,"ч:мм"))+TIME(0,Сентябрь!L13,0),"ч::мм")=TEXT(IF(Настройки!N84="",TEXT(Настройки!$J2,"ч:мм"),TEXT(Настройки!N84,"ч:мм")),"ч:мм"),"",TEXT(IF(Настройки!N84="",TEXT(Настройки!$J2,"ч:мм"),TEXT(Настройки!N84,"ч:мм")),"ч:мм")&amp;"-"&amp;TEXT(IF(Настройки!N84="",TEXT(Настройки!$J2,"ч:мм"),TEXT(Настройки!N84,"ч:мм"))+TIME(0,Сентябрь!L13,0),"ч::мм"))</f>
        <v/>
      </c>
      <c r="J14" s="30" t="str">
        <f>IF(TEXT(IF(Настройки!O84="",TEXT(Настройки!$J2,"ч:мм"),TEXT(Настройки!O84,"ч:мм"))+TIME(0,Сентябрь!M13,0),"ч::мм")=TEXT(IF(Настройки!O84="",TEXT(Настройки!$J2,"ч:мм"),TEXT(Настройки!O84,"ч:мм")),"ч:мм"),"",TEXT(IF(Настройки!O84="",TEXT(Настройки!$J2,"ч:мм"),TEXT(Настройки!O84,"ч:мм")),"ч:мм")&amp;"-"&amp;TEXT(IF(Настройки!O84="",TEXT(Настройки!$J2,"ч:мм"),TEXT(Настройки!O84,"ч:мм"))+TIME(0,Сентябрь!M13,0),"ч::мм"))</f>
        <v/>
      </c>
      <c r="K14" s="30" t="str">
        <f>IF(TEXT(IF(Настройки!P84="",TEXT(Настройки!$J2,"ч:мм"),TEXT(Настройки!P84,"ч:мм"))+TIME(0,Сентябрь!N13,0),"ч::мм")=TEXT(IF(Настройки!P84="",TEXT(Настройки!$J2,"ч:мм"),TEXT(Настройки!P84,"ч:мм")),"ч:мм"),"",TEXT(IF(Настройки!P84="",TEXT(Настройки!$J2,"ч:мм"),TEXT(Настройки!P84,"ч:мм")),"ч:мм")&amp;"-"&amp;TEXT(IF(Настройки!P84="",TEXT(Настройки!$J2,"ч:мм"),TEXT(Настройки!P84,"ч:мм"))+TIME(0,Сентябрь!N13,0),"ч::мм"))</f>
        <v/>
      </c>
      <c r="L14" s="30" t="str">
        <f>IF(TEXT(IF(Настройки!Q84="",TEXT(Настройки!$J2,"ч:мм"),TEXT(Настройки!Q84,"ч:мм"))+TIME(0,Сентябрь!O13,0),"ч::мм")=TEXT(IF(Настройки!Q84="",TEXT(Настройки!$J2,"ч:мм"),TEXT(Настройки!Q84,"ч:мм")),"ч:мм"),"",TEXT(IF(Настройки!Q84="",TEXT(Настройки!$J2,"ч:мм"),TEXT(Настройки!Q84,"ч:мм")),"ч:мм")&amp;"-"&amp;TEXT(IF(Настройки!Q84="",TEXT(Настройки!$J2,"ч:мм"),TEXT(Настройки!Q84,"ч:мм"))+TIME(0,Сентябрь!O13,0),"ч::мм"))</f>
        <v/>
      </c>
      <c r="M14" s="30" t="str">
        <f>IF(TEXT(IF(Настройки!R84="",TEXT(Настройки!$J2,"ч:мм"),TEXT(Настройки!R84,"ч:мм"))+TIME(0,Сентябрь!P13,0),"ч::мм")=TEXT(IF(Настройки!R84="",TEXT(Настройки!$J2,"ч:мм"),TEXT(Настройки!R84,"ч:мм")),"ч:мм"),"",TEXT(IF(Настройки!R84="",TEXT(Настройки!$J2,"ч:мм"),TEXT(Настройки!R84,"ч:мм")),"ч:мм")&amp;"-"&amp;TEXT(IF(Настройки!R84="",TEXT(Настройки!$J2,"ч:мм"),TEXT(Настройки!R84,"ч:мм"))+TIME(0,Сентябрь!P13,0),"ч::мм"))</f>
        <v/>
      </c>
      <c r="N14" s="30" t="str">
        <f>IF(TEXT(IF(Настройки!S84="",TEXT(Настройки!$J2,"ч:мм"),TEXT(Настройки!S84,"ч:мм"))+TIME(0,Сентябрь!Q13,0),"ч::мм")=TEXT(IF(Настройки!S84="",TEXT(Настройки!$J2,"ч:мм"),TEXT(Настройки!S84,"ч:мм")),"ч:мм"),"",TEXT(IF(Настройки!S84="",TEXT(Настройки!$J2,"ч:мм"),TEXT(Настройки!S84,"ч:мм")),"ч:мм")&amp;"-"&amp;TEXT(IF(Настройки!S84="",TEXT(Настройки!$J2,"ч:мм"),TEXT(Настройки!S84,"ч:мм"))+TIME(0,Сентябрь!Q13,0),"ч::мм"))</f>
        <v/>
      </c>
      <c r="O14" s="30" t="str">
        <f>IF(TEXT(IF(Настройки!T84="",TEXT(Настройки!$J2,"ч:мм"),TEXT(Настройки!T84,"ч:мм"))+TIME(0,Сентябрь!R13,0),"ч::мм")=TEXT(IF(Настройки!T84="",TEXT(Настройки!$J2,"ч:мм"),TEXT(Настройки!T84,"ч:мм")),"ч:мм"),"",TEXT(IF(Настройки!T84="",TEXT(Настройки!$J2,"ч:мм"),TEXT(Настройки!T84,"ч:мм")),"ч:мм")&amp;"-"&amp;TEXT(IF(Настройки!T84="",TEXT(Настройки!$J2,"ч:мм"),TEXT(Настройки!T84,"ч:мм"))+TIME(0,Сентябрь!R13,0),"ч::мм"))</f>
        <v/>
      </c>
      <c r="P14" s="30" t="str">
        <f>IF(TEXT(IF(Настройки!U84="",TEXT(Настройки!$J2,"ч:мм"),TEXT(Настройки!U84,"ч:мм"))+TIME(0,Сентябрь!S13,0),"ч::мм")=TEXT(IF(Настройки!U84="",TEXT(Настройки!$J2,"ч:мм"),TEXT(Настройки!U84,"ч:мм")),"ч:мм"),"",TEXT(IF(Настройки!U84="",TEXT(Настройки!$J2,"ч:мм"),TEXT(Настройки!U84,"ч:мм")),"ч:мм")&amp;"-"&amp;TEXT(IF(Настройки!U84="",TEXT(Настройки!$J2,"ч:мм"),TEXT(Настройки!U84,"ч:мм"))+TIME(0,Сентябрь!S13,0),"ч::мм"))</f>
        <v/>
      </c>
      <c r="R14" s="30"/>
    </row>
    <row r="15" spans="1:32" x14ac:dyDescent="0.25">
      <c r="A15" s="32" t="str">
        <f ca="1">IF(Настройки!J3&lt;&gt;"",TEXT(MIN(Настройки!G85:AJ85,Настройки!J3),"ч:мм")&amp;"-"&amp;TEXT(MAX(Настройки!G85:AJ85,Настройки!J3)+TIME(0,MAX(Сентябрь!E14:AH14),0),"ч:мм"),"")</f>
        <v>13:00-13:00</v>
      </c>
      <c r="B15" s="30" t="str">
        <f ca="1">IF(TEXT(IF(Настройки!G85="",TEXT(Настройки!$J3,"ч:мм"),TEXT(Настройки!G85,"ч:мм"))+TIME(0,Сентябрь!E14,0),"ч::мм")=TEXT(IF(Настройки!G85="",TEXT(Настройки!$J3,"ч:мм"),TEXT(Настройки!G85,"ч:мм")),"ч:мм"),"",TEXT(IF(Настройки!G85="",TEXT(Настройки!$J3,"ч:мм"),TEXT(Настройки!G85,"ч:мм")),"ч:мм")&amp;"-"&amp;TEXT(IF(Настройки!G85="",TEXT(Настройки!$J3,"ч:мм"),TEXT(Настройки!G85,"ч:мм"))+TIME(0,Сентябрь!E14,0),"ч::мм"))</f>
        <v/>
      </c>
      <c r="C15" s="30" t="str">
        <f ca="1">IF(TEXT(IF(Настройки!H85="",TEXT(Настройки!$J3,"ч:мм"),TEXT(Настройки!H85,"ч:мм"))+TIME(0,Сентябрь!F14,0),"ч::мм")=TEXT(IF(Настройки!H85="",TEXT(Настройки!$J3,"ч:мм"),TEXT(Настройки!H85,"ч:мм")),"ч:мм"),"",TEXT(IF(Настройки!H85="",TEXT(Настройки!$J3,"ч:мм"),TEXT(Настройки!H85,"ч:мм")),"ч:мм")&amp;"-"&amp;TEXT(IF(Настройки!H85="",TEXT(Настройки!$J3,"ч:мм"),TEXT(Настройки!H85,"ч:мм"))+TIME(0,Сентябрь!F14,0),"ч::мм"))</f>
        <v/>
      </c>
      <c r="D15" s="30" t="str">
        <f ca="1">IF(TEXT(IF(Настройки!I85="",TEXT(Настройки!$J3,"ч:мм"),TEXT(Настройки!I85,"ч:мм"))+TIME(0,Сентябрь!G14,0),"ч::мм")=TEXT(IF(Настройки!I85="",TEXT(Настройки!$J3,"ч:мм"),TEXT(Настройки!I85,"ч:мм")),"ч:мм"),"",TEXT(IF(Настройки!I85="",TEXT(Настройки!$J3,"ч:мм"),TEXT(Настройки!I85,"ч:мм")),"ч:мм")&amp;"-"&amp;TEXT(IF(Настройки!I85="",TEXT(Настройки!$J3,"ч:мм"),TEXT(Настройки!I85,"ч:мм"))+TIME(0,Сентябрь!G14,0),"ч::мм"))</f>
        <v/>
      </c>
      <c r="E15" s="30" t="str">
        <f ca="1">IF(TEXT(IF(Настройки!J85="",TEXT(Настройки!$J3,"ч:мм"),TEXT(Настройки!J85,"ч:мм"))+TIME(0,Сентябрь!H14,0),"ч::мм")=TEXT(IF(Настройки!J85="",TEXT(Настройки!$J3,"ч:мм"),TEXT(Настройки!J85,"ч:мм")),"ч:мм"),"",TEXT(IF(Настройки!J85="",TEXT(Настройки!$J3,"ч:мм"),TEXT(Настройки!J85,"ч:мм")),"ч:мм")&amp;"-"&amp;TEXT(IF(Настройки!J85="",TEXT(Настройки!$J3,"ч:мм"),TEXT(Настройки!J85,"ч:мм"))+TIME(0,Сентябрь!H14,0),"ч::мм"))</f>
        <v/>
      </c>
      <c r="F15" s="30" t="str">
        <f ca="1">IF(TEXT(IF(Настройки!K85="",TEXT(Настройки!$J3,"ч:мм"),TEXT(Настройки!K85,"ч:мм"))+TIME(0,Сентябрь!I14,0),"ч::мм")=TEXT(IF(Настройки!K85="",TEXT(Настройки!$J3,"ч:мм"),TEXT(Настройки!K85,"ч:мм")),"ч:мм"),"",TEXT(IF(Настройки!K85="",TEXT(Настройки!$J3,"ч:мм"),TEXT(Настройки!K85,"ч:мм")),"ч:мм")&amp;"-"&amp;TEXT(IF(Настройки!K85="",TEXT(Настройки!$J3,"ч:мм"),TEXT(Настройки!K85,"ч:мм"))+TIME(0,Сентябрь!I14,0),"ч::мм"))</f>
        <v/>
      </c>
      <c r="G15" s="30" t="str">
        <f ca="1">IF(TEXT(IF(Настройки!L85="",TEXT(Настройки!$J3,"ч:мм"),TEXT(Настройки!L85,"ч:мм"))+TIME(0,Сентябрь!J14,0),"ч::мм")=TEXT(IF(Настройки!L85="",TEXT(Настройки!$J3,"ч:мм"),TEXT(Настройки!L85,"ч:мм")),"ч:мм"),"",TEXT(IF(Настройки!L85="",TEXT(Настройки!$J3,"ч:мм"),TEXT(Настройки!L85,"ч:мм")),"ч:мм")&amp;"-"&amp;TEXT(IF(Настройки!L85="",TEXT(Настройки!$J3,"ч:мм"),TEXT(Настройки!L85,"ч:мм"))+TIME(0,Сентябрь!J14,0),"ч::мм"))</f>
        <v/>
      </c>
      <c r="H15" s="30" t="str">
        <f ca="1">IF(TEXT(IF(Настройки!M85="",TEXT(Настройки!$J3,"ч:мм"),TEXT(Настройки!M85,"ч:мм"))+TIME(0,Сентябрь!K14,0),"ч::мм")=TEXT(IF(Настройки!M85="",TEXT(Настройки!$J3,"ч:мм"),TEXT(Настройки!M85,"ч:мм")),"ч:мм"),"",TEXT(IF(Настройки!M85="",TEXT(Настройки!$J3,"ч:мм"),TEXT(Настройки!M85,"ч:мм")),"ч:мм")&amp;"-"&amp;TEXT(IF(Настройки!M85="",TEXT(Настройки!$J3,"ч:мм"),TEXT(Настройки!M85,"ч:мм"))+TIME(0,Сентябрь!K14,0),"ч::мм"))</f>
        <v/>
      </c>
      <c r="I15" s="30" t="str">
        <f ca="1">IF(TEXT(IF(Настройки!N85="",TEXT(Настройки!$J3,"ч:мм"),TEXT(Настройки!N85,"ч:мм"))+TIME(0,Сентябрь!L14,0),"ч::мм")=TEXT(IF(Настройки!N85="",TEXT(Настройки!$J3,"ч:мм"),TEXT(Настройки!N85,"ч:мм")),"ч:мм"),"",TEXT(IF(Настройки!N85="",TEXT(Настройки!$J3,"ч:мм"),TEXT(Настройки!N85,"ч:мм")),"ч:мм")&amp;"-"&amp;TEXT(IF(Настройки!N85="",TEXT(Настройки!$J3,"ч:мм"),TEXT(Настройки!N85,"ч:мм"))+TIME(0,Сентябрь!L14,0),"ч::мм"))</f>
        <v/>
      </c>
      <c r="J15" s="30" t="str">
        <f ca="1">IF(TEXT(IF(Настройки!O85="",TEXT(Настройки!$J3,"ч:мм"),TEXT(Настройки!O85,"ч:мм"))+TIME(0,Сентябрь!M14,0),"ч::мм")=TEXT(IF(Настройки!O85="",TEXT(Настройки!$J3,"ч:мм"),TEXT(Настройки!O85,"ч:мм")),"ч:мм"),"",TEXT(IF(Настройки!O85="",TEXT(Настройки!$J3,"ч:мм"),TEXT(Настройки!O85,"ч:мм")),"ч:мм")&amp;"-"&amp;TEXT(IF(Настройки!O85="",TEXT(Настройки!$J3,"ч:мм"),TEXT(Настройки!O85,"ч:мм"))+TIME(0,Сентябрь!M14,0),"ч::мм"))</f>
        <v/>
      </c>
      <c r="K15" s="30" t="str">
        <f ca="1">IF(TEXT(IF(Настройки!P85="",TEXT(Настройки!$J3,"ч:мм"),TEXT(Настройки!P85,"ч:мм"))+TIME(0,Сентябрь!N14,0),"ч::мм")=TEXT(IF(Настройки!P85="",TEXT(Настройки!$J3,"ч:мм"),TEXT(Настройки!P85,"ч:мм")),"ч:мм"),"",TEXT(IF(Настройки!P85="",TEXT(Настройки!$J3,"ч:мм"),TEXT(Настройки!P85,"ч:мм")),"ч:мм")&amp;"-"&amp;TEXT(IF(Настройки!P85="",TEXT(Настройки!$J3,"ч:мм"),TEXT(Настройки!P85,"ч:мм"))+TIME(0,Сентябрь!N14,0),"ч::мм"))</f>
        <v/>
      </c>
      <c r="L15" s="30" t="str">
        <f ca="1">IF(TEXT(IF(Настройки!Q85="",TEXT(Настройки!$J3,"ч:мм"),TEXT(Настройки!Q85,"ч:мм"))+TIME(0,Сентябрь!O14,0),"ч::мм")=TEXT(IF(Настройки!Q85="",TEXT(Настройки!$J3,"ч:мм"),TEXT(Настройки!Q85,"ч:мм")),"ч:мм"),"",TEXT(IF(Настройки!Q85="",TEXT(Настройки!$J3,"ч:мм"),TEXT(Настройки!Q85,"ч:мм")),"ч:мм")&amp;"-"&amp;TEXT(IF(Настройки!Q85="",TEXT(Настройки!$J3,"ч:мм"),TEXT(Настройки!Q85,"ч:мм"))+TIME(0,Сентябрь!O14,0),"ч::мм"))</f>
        <v/>
      </c>
      <c r="M15" s="30" t="str">
        <f ca="1">IF(TEXT(IF(Настройки!R85="",TEXT(Настройки!$J3,"ч:мм"),TEXT(Настройки!R85,"ч:мм"))+TIME(0,Сентябрь!P14,0),"ч::мм")=TEXT(IF(Настройки!R85="",TEXT(Настройки!$J3,"ч:мм"),TEXT(Настройки!R85,"ч:мм")),"ч:мм"),"",TEXT(IF(Настройки!R85="",TEXT(Настройки!$J3,"ч:мм"),TEXT(Настройки!R85,"ч:мм")),"ч:мм")&amp;"-"&amp;TEXT(IF(Настройки!R85="",TEXT(Настройки!$J3,"ч:мм"),TEXT(Настройки!R85,"ч:мм"))+TIME(0,Сентябрь!P14,0),"ч::мм"))</f>
        <v/>
      </c>
      <c r="N15" s="30" t="str">
        <f ca="1">IF(TEXT(IF(Настройки!S85="",TEXT(Настройки!$J3,"ч:мм"),TEXT(Настройки!S85,"ч:мм"))+TIME(0,Сентябрь!Q14,0),"ч::мм")=TEXT(IF(Настройки!S85="",TEXT(Настройки!$J3,"ч:мм"),TEXT(Настройки!S85,"ч:мм")),"ч:мм"),"",TEXT(IF(Настройки!S85="",TEXT(Настройки!$J3,"ч:мм"),TEXT(Настройки!S85,"ч:мм")),"ч:мм")&amp;"-"&amp;TEXT(IF(Настройки!S85="",TEXT(Настройки!$J3,"ч:мм"),TEXT(Настройки!S85,"ч:мм"))+TIME(0,Сентябрь!Q14,0),"ч::мм"))</f>
        <v/>
      </c>
      <c r="O15" s="30" t="str">
        <f ca="1">IF(TEXT(IF(Настройки!T85="",TEXT(Настройки!$J3,"ч:мм"),TEXT(Настройки!T85,"ч:мм"))+TIME(0,Сентябрь!R14,0),"ч::мм")=TEXT(IF(Настройки!T85="",TEXT(Настройки!$J3,"ч:мм"),TEXT(Настройки!T85,"ч:мм")),"ч:мм"),"",TEXT(IF(Настройки!T85="",TEXT(Настройки!$J3,"ч:мм"),TEXT(Настройки!T85,"ч:мм")),"ч:мм")&amp;"-"&amp;TEXT(IF(Настройки!T85="",TEXT(Настройки!$J3,"ч:мм"),TEXT(Настройки!T85,"ч:мм"))+TIME(0,Сентябрь!R14,0),"ч::мм"))</f>
        <v/>
      </c>
      <c r="P15" s="30" t="str">
        <f ca="1">IF(TEXT(IF(Настройки!U85="",TEXT(Настройки!$J3,"ч:мм"),TEXT(Настройки!U85,"ч:мм"))+TIME(0,Сентябрь!S14,0),"ч::мм")=TEXT(IF(Настройки!U85="",TEXT(Настройки!$J3,"ч:мм"),TEXT(Настройки!U85,"ч:мм")),"ч:мм"),"",TEXT(IF(Настройки!U85="",TEXT(Настройки!$J3,"ч:мм"),TEXT(Настройки!U85,"ч:мм")),"ч:мм")&amp;"-"&amp;TEXT(IF(Настройки!U85="",TEXT(Настройки!$J3,"ч:мм"),TEXT(Настройки!U85,"ч:мм"))+TIME(0,Сентябрь!S14,0),"ч::мм"))</f>
        <v/>
      </c>
      <c r="S15" s="30"/>
    </row>
    <row r="16" spans="1:32" x14ac:dyDescent="0.25">
      <c r="A16" s="32" t="str">
        <f ca="1">IF(Настройки!J4&lt;&gt;"",TEXT(MIN(Настройки!G86:AJ86,Настройки!J4),"ч:мм")&amp;"-"&amp;TEXT(MAX(Настройки!G86:AJ86,Настройки!J4)+TIME(0,MAX(Сентябрь!E15:AH15),0),"ч:мм"),"")</f>
        <v>16:00-16:00</v>
      </c>
      <c r="B16" s="30" t="str">
        <f ca="1">IF(TEXT(IF(Настройки!G86="",TEXT(Настройки!$J4,"ч:мм"),TEXT(Настройки!G86,"ч:мм"))+TIME(0,Сентябрь!E15,0),"ч::мм")=TEXT(IF(Настройки!G86="",TEXT(Настройки!$J4,"ч:мм"),TEXT(Настройки!G86,"ч:мм")),"ч:мм"),"",TEXT(IF(Настройки!G86="",TEXT(Настройки!$J4,"ч:мм"),TEXT(Настройки!G86,"ч:мм")),"ч:мм")&amp;"-"&amp;TEXT(IF(Настройки!G86="",TEXT(Настройки!$J4,"ч:мм"),TEXT(Настройки!G86,"ч:мм"))+TIME(0,Сентябрь!E15,0),"ч::мм"))</f>
        <v/>
      </c>
      <c r="C16" s="30" t="str">
        <f ca="1">IF(TEXT(IF(Настройки!H86="",TEXT(Настройки!$J4,"ч:мм"),TEXT(Настройки!H86,"ч:мм"))+TIME(0,Сентябрь!F15,0),"ч::мм")=TEXT(IF(Настройки!H86="",TEXT(Настройки!$J4,"ч:мм"),TEXT(Настройки!H86,"ч:мм")),"ч:мм"),"",TEXT(IF(Настройки!H86="",TEXT(Настройки!$J4,"ч:мм"),TEXT(Настройки!H86,"ч:мм")),"ч:мм")&amp;"-"&amp;TEXT(IF(Настройки!H86="",TEXT(Настройки!$J4,"ч:мм"),TEXT(Настройки!H86,"ч:мм"))+TIME(0,Сентябрь!F15,0),"ч::мм"))</f>
        <v/>
      </c>
      <c r="D16" s="30" t="str">
        <f ca="1">IF(TEXT(IF(Настройки!I86="",TEXT(Настройки!$J4,"ч:мм"),TEXT(Настройки!I86,"ч:мм"))+TIME(0,Сентябрь!G15,0),"ч::мм")=TEXT(IF(Настройки!I86="",TEXT(Настройки!$J4,"ч:мм"),TEXT(Настройки!I86,"ч:мм")),"ч:мм"),"",TEXT(IF(Настройки!I86="",TEXT(Настройки!$J4,"ч:мм"),TEXT(Настройки!I86,"ч:мм")),"ч:мм")&amp;"-"&amp;TEXT(IF(Настройки!I86="",TEXT(Настройки!$J4,"ч:мм"),TEXT(Настройки!I86,"ч:мм"))+TIME(0,Сентябрь!G15,0),"ч::мм"))</f>
        <v/>
      </c>
      <c r="E16" s="30" t="str">
        <f ca="1">IF(TEXT(IF(Настройки!J86="",TEXT(Настройки!$J4,"ч:мм"),TEXT(Настройки!J86,"ч:мм"))+TIME(0,Сентябрь!H15,0),"ч::мм")=TEXT(IF(Настройки!J86="",TEXT(Настройки!$J4,"ч:мм"),TEXT(Настройки!J86,"ч:мм")),"ч:мм"),"",TEXT(IF(Настройки!J86="",TEXT(Настройки!$J4,"ч:мм"),TEXT(Настройки!J86,"ч:мм")),"ч:мм")&amp;"-"&amp;TEXT(IF(Настройки!J86="",TEXT(Настройки!$J4,"ч:мм"),TEXT(Настройки!J86,"ч:мм"))+TIME(0,Сентябрь!H15,0),"ч::мм"))</f>
        <v/>
      </c>
      <c r="F16" s="30" t="str">
        <f ca="1">IF(TEXT(IF(Настройки!K86="",TEXT(Настройки!$J4,"ч:мм"),TEXT(Настройки!K86,"ч:мм"))+TIME(0,Сентябрь!I15,0),"ч::мм")=TEXT(IF(Настройки!K86="",TEXT(Настройки!$J4,"ч:мм"),TEXT(Настройки!K86,"ч:мм")),"ч:мм"),"",TEXT(IF(Настройки!K86="",TEXT(Настройки!$J4,"ч:мм"),TEXT(Настройки!K86,"ч:мм")),"ч:мм")&amp;"-"&amp;TEXT(IF(Настройки!K86="",TEXT(Настройки!$J4,"ч:мм"),TEXT(Настройки!K86,"ч:мм"))+TIME(0,Сентябрь!I15,0),"ч::мм"))</f>
        <v/>
      </c>
      <c r="G16" s="30" t="str">
        <f ca="1">IF(TEXT(IF(Настройки!L86="",TEXT(Настройки!$J4,"ч:мм"),TEXT(Настройки!L86,"ч:мм"))+TIME(0,Сентябрь!J15,0),"ч::мм")=TEXT(IF(Настройки!L86="",TEXT(Настройки!$J4,"ч:мм"),TEXT(Настройки!L86,"ч:мм")),"ч:мм"),"",TEXT(IF(Настройки!L86="",TEXT(Настройки!$J4,"ч:мм"),TEXT(Настройки!L86,"ч:мм")),"ч:мм")&amp;"-"&amp;TEXT(IF(Настройки!L86="",TEXT(Настройки!$J4,"ч:мм"),TEXT(Настройки!L86,"ч:мм"))+TIME(0,Сентябрь!J15,0),"ч::мм"))</f>
        <v/>
      </c>
      <c r="H16" s="30" t="str">
        <f ca="1">IF(TEXT(IF(Настройки!M86="",TEXT(Настройки!$J4,"ч:мм"),TEXT(Настройки!M86,"ч:мм"))+TIME(0,Сентябрь!K15,0),"ч::мм")=TEXT(IF(Настройки!M86="",TEXT(Настройки!$J4,"ч:мм"),TEXT(Настройки!M86,"ч:мм")),"ч:мм"),"",TEXT(IF(Настройки!M86="",TEXT(Настройки!$J4,"ч:мм"),TEXT(Настройки!M86,"ч:мм")),"ч:мм")&amp;"-"&amp;TEXT(IF(Настройки!M86="",TEXT(Настройки!$J4,"ч:мм"),TEXT(Настройки!M86,"ч:мм"))+TIME(0,Сентябрь!K15,0),"ч::мм"))</f>
        <v/>
      </c>
      <c r="I16" s="30" t="str">
        <f ca="1">IF(TEXT(IF(Настройки!N86="",TEXT(Настройки!$J4,"ч:мм"),TEXT(Настройки!N86,"ч:мм"))+TIME(0,Сентябрь!L15,0),"ч::мм")=TEXT(IF(Настройки!N86="",TEXT(Настройки!$J4,"ч:мм"),TEXT(Настройки!N86,"ч:мм")),"ч:мм"),"",TEXT(IF(Настройки!N86="",TEXT(Настройки!$J4,"ч:мм"),TEXT(Настройки!N86,"ч:мм")),"ч:мм")&amp;"-"&amp;TEXT(IF(Настройки!N86="",TEXT(Настройки!$J4,"ч:мм"),TEXT(Настройки!N86,"ч:мм"))+TIME(0,Сентябрь!L15,0),"ч::мм"))</f>
        <v/>
      </c>
      <c r="J16" s="30" t="str">
        <f ca="1">IF(TEXT(IF(Настройки!O86="",TEXT(Настройки!$J4,"ч:мм"),TEXT(Настройки!O86,"ч:мм"))+TIME(0,Сентябрь!M15,0),"ч::мм")=TEXT(IF(Настройки!O86="",TEXT(Настройки!$J4,"ч:мм"),TEXT(Настройки!O86,"ч:мм")),"ч:мм"),"",TEXT(IF(Настройки!O86="",TEXT(Настройки!$J4,"ч:мм"),TEXT(Настройки!O86,"ч:мм")),"ч:мм")&amp;"-"&amp;TEXT(IF(Настройки!O86="",TEXT(Настройки!$J4,"ч:мм"),TEXT(Настройки!O86,"ч:мм"))+TIME(0,Сентябрь!M15,0),"ч::мм"))</f>
        <v/>
      </c>
      <c r="K16" s="30" t="str">
        <f ca="1">IF(TEXT(IF(Настройки!P86="",TEXT(Настройки!$J4,"ч:мм"),TEXT(Настройки!P86,"ч:мм"))+TIME(0,Сентябрь!N15,0),"ч::мм")=TEXT(IF(Настройки!P86="",TEXT(Настройки!$J4,"ч:мм"),TEXT(Настройки!P86,"ч:мм")),"ч:мм"),"",TEXT(IF(Настройки!P86="",TEXT(Настройки!$J4,"ч:мм"),TEXT(Настройки!P86,"ч:мм")),"ч:мм")&amp;"-"&amp;TEXT(IF(Настройки!P86="",TEXT(Настройки!$J4,"ч:мм"),TEXT(Настройки!P86,"ч:мм"))+TIME(0,Сентябрь!N15,0),"ч::мм"))</f>
        <v/>
      </c>
      <c r="L16" s="30" t="str">
        <f ca="1">IF(TEXT(IF(Настройки!Q86="",TEXT(Настройки!$J4,"ч:мм"),TEXT(Настройки!Q86,"ч:мм"))+TIME(0,Сентябрь!O15,0),"ч::мм")=TEXT(IF(Настройки!Q86="",TEXT(Настройки!$J4,"ч:мм"),TEXT(Настройки!Q86,"ч:мм")),"ч:мм"),"",TEXT(IF(Настройки!Q86="",TEXT(Настройки!$J4,"ч:мм"),TEXT(Настройки!Q86,"ч:мм")),"ч:мм")&amp;"-"&amp;TEXT(IF(Настройки!Q86="",TEXT(Настройки!$J4,"ч:мм"),TEXT(Настройки!Q86,"ч:мм"))+TIME(0,Сентябрь!O15,0),"ч::мм"))</f>
        <v/>
      </c>
      <c r="M16" s="30" t="str">
        <f ca="1">IF(TEXT(IF(Настройки!R86="",TEXT(Настройки!$J4,"ч:мм"),TEXT(Настройки!R86,"ч:мм"))+TIME(0,Сентябрь!P15,0),"ч::мм")=TEXT(IF(Настройки!R86="",TEXT(Настройки!$J4,"ч:мм"),TEXT(Настройки!R86,"ч:мм")),"ч:мм"),"",TEXT(IF(Настройки!R86="",TEXT(Настройки!$J4,"ч:мм"),TEXT(Настройки!R86,"ч:мм")),"ч:мм")&amp;"-"&amp;TEXT(IF(Настройки!R86="",TEXT(Настройки!$J4,"ч:мм"),TEXT(Настройки!R86,"ч:мм"))+TIME(0,Сентябрь!P15,0),"ч::мм"))</f>
        <v/>
      </c>
      <c r="N16" s="30" t="str">
        <f ca="1">IF(TEXT(IF(Настройки!S86="",TEXT(Настройки!$J4,"ч:мм"),TEXT(Настройки!S86,"ч:мм"))+TIME(0,Сентябрь!Q15,0),"ч::мм")=TEXT(IF(Настройки!S86="",TEXT(Настройки!$J4,"ч:мм"),TEXT(Настройки!S86,"ч:мм")),"ч:мм"),"",TEXT(IF(Настройки!S86="",TEXT(Настройки!$J4,"ч:мм"),TEXT(Настройки!S86,"ч:мм")),"ч:мм")&amp;"-"&amp;TEXT(IF(Настройки!S86="",TEXT(Настройки!$J4,"ч:мм"),TEXT(Настройки!S86,"ч:мм"))+TIME(0,Сентябрь!Q15,0),"ч::мм"))</f>
        <v/>
      </c>
      <c r="O16" s="30" t="str">
        <f ca="1">IF(TEXT(IF(Настройки!T86="",TEXT(Настройки!$J4,"ч:мм"),TEXT(Настройки!T86,"ч:мм"))+TIME(0,Сентябрь!R15,0),"ч::мм")=TEXT(IF(Настройки!T86="",TEXT(Настройки!$J4,"ч:мм"),TEXT(Настройки!T86,"ч:мм")),"ч:мм"),"",TEXT(IF(Настройки!T86="",TEXT(Настройки!$J4,"ч:мм"),TEXT(Настройки!T86,"ч:мм")),"ч:мм")&amp;"-"&amp;TEXT(IF(Настройки!T86="",TEXT(Настройки!$J4,"ч:мм"),TEXT(Настройки!T86,"ч:мм"))+TIME(0,Сентябрь!R15,0),"ч::мм"))</f>
        <v/>
      </c>
      <c r="P16" s="30" t="str">
        <f ca="1">IF(TEXT(IF(Настройки!U86="",TEXT(Настройки!$J4,"ч:мм"),TEXT(Настройки!U86,"ч:мм"))+TIME(0,Сентябрь!S15,0),"ч::мм")=TEXT(IF(Настройки!U86="",TEXT(Настройки!$J4,"ч:мм"),TEXT(Настройки!U86,"ч:мм")),"ч:мм"),"",TEXT(IF(Настройки!U86="",TEXT(Настройки!$J4,"ч:мм"),TEXT(Настройки!U86,"ч:мм")),"ч:мм")&amp;"-"&amp;TEXT(IF(Настройки!U86="",TEXT(Настройки!$J4,"ч:мм"),TEXT(Настройки!U86,"ч:мм"))+TIME(0,Сентябрь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Настройки!V15</f>
        <v>45551</v>
      </c>
      <c r="C20" s="29">
        <f>Настройки!W15</f>
        <v>45552</v>
      </c>
      <c r="D20" s="29">
        <f>Настройки!X15</f>
        <v>45553</v>
      </c>
      <c r="E20" s="29">
        <f>Настройки!Y15</f>
        <v>45554</v>
      </c>
      <c r="F20" s="29">
        <f>Настройки!Z15</f>
        <v>45555</v>
      </c>
      <c r="G20" s="29">
        <f>Настройки!AA15</f>
        <v>45556</v>
      </c>
      <c r="H20" s="29">
        <f>Настройки!AB15</f>
        <v>45557</v>
      </c>
      <c r="I20" s="29">
        <f>Настройки!AC15</f>
        <v>45558</v>
      </c>
      <c r="J20" s="29">
        <f>Настройки!AD15</f>
        <v>45559</v>
      </c>
      <c r="K20" s="29">
        <f>Настройки!AE15</f>
        <v>45560</v>
      </c>
      <c r="L20" s="29">
        <f>Настройки!AF15</f>
        <v>45561</v>
      </c>
      <c r="M20" s="29">
        <f>Настройки!AG15</f>
        <v>45562</v>
      </c>
      <c r="N20" s="29">
        <f>Настройки!AH15</f>
        <v>45563</v>
      </c>
      <c r="O20" s="29">
        <f>Настройки!AI15</f>
        <v>45564</v>
      </c>
      <c r="P20" s="29">
        <f>Настройки!AJ15</f>
        <v>45565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84="",TEXT(Настройки!$J2,"ч:мм"),TEXT(Настройки!V84,"ч:мм"))+TIME(0,Сентябрь!T13,0),"ч::мм")=TEXT(IF(Настройки!V84="",TEXT(Настройки!$J2,"ч:мм"),TEXT(Настройки!V84,"ч:мм")),"ч:мм"),"",TEXT(IF(Настройки!V84="",TEXT(Настройки!$J2,"ч:мм"),TEXT(Настройки!V84,"ч:мм")),"ч:мм")&amp;"-"&amp;TEXT(IF(Настройки!V84="",TEXT(Настройки!$J2,"ч:мм"),TEXT(Настройки!V84,"ч:мм"))+TIME(0,Сентябрь!T13,0),"ч::мм"))</f>
        <v/>
      </c>
      <c r="C24" s="3" t="str">
        <f>IF(TEXT(IF(Настройки!W84="",TEXT(Настройки!$J2,"ч:мм"),TEXT(Настройки!W84,"ч:мм"))+TIME(0,Сентябрь!U13,0),"ч::мм")=TEXT(IF(Настройки!W84="",TEXT(Настройки!$J2,"ч:мм"),TEXT(Настройки!W84,"ч:мм")),"ч:мм"),"",TEXT(IF(Настройки!W84="",TEXT(Настройки!$J2,"ч:мм"),TEXT(Настройки!W84,"ч:мм")),"ч:мм")&amp;"-"&amp;TEXT(IF(Настройки!W84="",TEXT(Настройки!$J2,"ч:мм"),TEXT(Настройки!W84,"ч:мм"))+TIME(0,Сентябрь!U13,0),"ч::мм"))</f>
        <v/>
      </c>
      <c r="D24" s="3" t="str">
        <f>IF(TEXT(IF(Настройки!X84="",TEXT(Настройки!$J2,"ч:мм"),TEXT(Настройки!X84,"ч:мм"))+TIME(0,Сентябрь!V13,0),"ч::мм")=TEXT(IF(Настройки!X84="",TEXT(Настройки!$J2,"ч:мм"),TEXT(Настройки!X84,"ч:мм")),"ч:мм"),"",TEXT(IF(Настройки!X84="",TEXT(Настройки!$J2,"ч:мм"),TEXT(Настройки!X84,"ч:мм")),"ч:мм")&amp;"-"&amp;TEXT(IF(Настройки!X84="",TEXT(Настройки!$J2,"ч:мм"),TEXT(Настройки!X84,"ч:мм"))+TIME(0,Сентябрь!V13,0),"ч::мм"))</f>
        <v/>
      </c>
      <c r="E24" s="3" t="str">
        <f>IF(TEXT(IF(Настройки!Y84="",TEXT(Настройки!$J2,"ч:мм"),TEXT(Настройки!Y84,"ч:мм"))+TIME(0,Сентябрь!W13,0),"ч::мм")=TEXT(IF(Настройки!Y84="",TEXT(Настройки!$J2,"ч:мм"),TEXT(Настройки!Y84,"ч:мм")),"ч:мм"),"",TEXT(IF(Настройки!Y84="",TEXT(Настройки!$J2,"ч:мм"),TEXT(Настройки!Y84,"ч:мм")),"ч:мм")&amp;"-"&amp;TEXT(IF(Настройки!Y84="",TEXT(Настройки!$J2,"ч:мм"),TEXT(Настройки!Y84,"ч:мм"))+TIME(0,Сентябрь!W13,0),"ч::мм"))</f>
        <v/>
      </c>
      <c r="F24" s="3" t="str">
        <f>IF(TEXT(IF(Настройки!Z84="",TEXT(Настройки!$J2,"ч:мм"),TEXT(Настройки!Z84,"ч:мм"))+TIME(0,Сентябрь!X13,0),"ч::мм")=TEXT(IF(Настройки!Z84="",TEXT(Настройки!$J2,"ч:мм"),TEXT(Настройки!Z84,"ч:мм")),"ч:мм"),"",TEXT(IF(Настройки!Z84="",TEXT(Настройки!$J2,"ч:мм"),TEXT(Настройки!Z84,"ч:мм")),"ч:мм")&amp;"-"&amp;TEXT(IF(Настройки!Z84="",TEXT(Настройки!$J2,"ч:мм"),TEXT(Настройки!Z84,"ч:мм"))+TIME(0,Сентябрь!X13,0),"ч::мм"))</f>
        <v/>
      </c>
      <c r="G24" s="3" t="str">
        <f>IF(TEXT(IF(Настройки!AA84="",TEXT(Настройки!$J2,"ч:мм"),TEXT(Настройки!AA84,"ч:мм"))+TIME(0,Сентябрь!Y13,0),"ч::мм")=TEXT(IF(Настройки!AA84="",TEXT(Настройки!$J2,"ч:мм"),TEXT(Настройки!AA84,"ч:мм")),"ч:мм"),"",TEXT(IF(Настройки!AA84="",TEXT(Настройки!$J2,"ч:мм"),TEXT(Настройки!AA84,"ч:мм")),"ч:мм")&amp;"-"&amp;TEXT(IF(Настройки!AA84="",TEXT(Настройки!$J2,"ч:мм"),TEXT(Настройки!AA84,"ч:мм"))+TIME(0,Сентябрь!Y13,0),"ч::мм"))</f>
        <v/>
      </c>
      <c r="H24" s="3" t="str">
        <f>IF(TEXT(IF(Настройки!AB84="",TEXT(Настройки!$J2,"ч:мм"),TEXT(Настройки!AB84,"ч:мм"))+TIME(0,Сентябрь!Z13,0),"ч::мм")=TEXT(IF(Настройки!AB84="",TEXT(Настройки!$J2,"ч:мм"),TEXT(Настройки!AB84,"ч:мм")),"ч:мм"),"",TEXT(IF(Настройки!AB84="",TEXT(Настройки!$J2,"ч:мм"),TEXT(Настройки!AB84,"ч:мм")),"ч:мм")&amp;"-"&amp;TEXT(IF(Настройки!AB84="",TEXT(Настройки!$J2,"ч:мм"),TEXT(Настройки!AB84,"ч:мм"))+TIME(0,Сентябрь!Z13,0),"ч::мм"))</f>
        <v/>
      </c>
      <c r="I24" s="3" t="str">
        <f>IF(TEXT(IF(Настройки!AC84="",TEXT(Настройки!$J2,"ч:мм"),TEXT(Настройки!AC84,"ч:мм"))+TIME(0,Сентябрь!AA13,0),"ч::мм")=TEXT(IF(Настройки!AC84="",TEXT(Настройки!$J2,"ч:мм"),TEXT(Настройки!AC84,"ч:мм")),"ч:мм"),"",TEXT(IF(Настройки!AC84="",TEXT(Настройки!$J2,"ч:мм"),TEXT(Настройки!AC84,"ч:мм")),"ч:мм")&amp;"-"&amp;TEXT(IF(Настройки!AC84="",TEXT(Настройки!$J2,"ч:мм"),TEXT(Настройки!AC84,"ч:мм"))+TIME(0,Сентябрь!AA13,0),"ч::мм"))</f>
        <v/>
      </c>
      <c r="J24" s="3" t="str">
        <f>IF(TEXT(IF(Настройки!AD84="",TEXT(Настройки!$J2,"ч:мм"),TEXT(Настройки!AD84,"ч:мм"))+TIME(0,Сентябрь!AB13,0),"ч::мм")=TEXT(IF(Настройки!AD84="",TEXT(Настройки!$J2,"ч:мм"),TEXT(Настройки!AD84,"ч:мм")),"ч:мм"),"",TEXT(IF(Настройки!AD84="",TEXT(Настройки!$J2,"ч:мм"),TEXT(Настройки!AD84,"ч:мм")),"ч:мм")&amp;"-"&amp;TEXT(IF(Настройки!AD84="",TEXT(Настройки!$J2,"ч:мм"),TEXT(Настройки!AD84,"ч:мм"))+TIME(0,Сентябрь!AB13,0),"ч::мм"))</f>
        <v/>
      </c>
      <c r="K24" s="3" t="str">
        <f>IF(TEXT(IF(Настройки!AE84="",TEXT(Настройки!$J2,"ч:мм"),TEXT(Настройки!AE84,"ч:мм"))+TIME(0,Сентябрь!AC13,0),"ч::мм")=TEXT(IF(Настройки!AE84="",TEXT(Настройки!$J2,"ч:мм"),TEXT(Настройки!AE84,"ч:мм")),"ч:мм"),"",TEXT(IF(Настройки!AE84="",TEXT(Настройки!$J2,"ч:мм"),TEXT(Настройки!AE84,"ч:мм")),"ч:мм")&amp;"-"&amp;TEXT(IF(Настройки!AE84="",TEXT(Настройки!$J2,"ч:мм"),TEXT(Настройки!AE84,"ч:мм"))+TIME(0,Сентябрь!AC13,0),"ч::мм"))</f>
        <v/>
      </c>
      <c r="L24" s="3" t="str">
        <f>IF(TEXT(IF(Настройки!AF84="",TEXT(Настройки!$J2,"ч:мм"),TEXT(Настройки!AF84,"ч:мм"))+TIME(0,Сентябрь!AD13,0),"ч::мм")=TEXT(IF(Настройки!AF84="",TEXT(Настройки!$J2,"ч:мм"),TEXT(Настройки!AF84,"ч:мм")),"ч:мм"),"",TEXT(IF(Настройки!AF84="",TEXT(Настройки!$J2,"ч:мм"),TEXT(Настройки!AF84,"ч:мм")),"ч:мм")&amp;"-"&amp;TEXT(IF(Настройки!AF84="",TEXT(Настройки!$J2,"ч:мм"),TEXT(Настройки!AF84,"ч:мм"))+TIME(0,Сентябрь!AD13,0),"ч::мм"))</f>
        <v/>
      </c>
      <c r="M24" s="3" t="str">
        <f>IF(TEXT(IF(Настройки!AG84="",TEXT(Настройки!$J2,"ч:мм"),TEXT(Настройки!AG84,"ч:мм"))+TIME(0,Сентябрь!AE13,0),"ч::мм")=TEXT(IF(Настройки!AG84="",TEXT(Настройки!$J2,"ч:мм"),TEXT(Настройки!AG84,"ч:мм")),"ч:мм"),"",TEXT(IF(Настройки!AG84="",TEXT(Настройки!$J2,"ч:мм"),TEXT(Настройки!AG84,"ч:мм")),"ч:мм")&amp;"-"&amp;TEXT(IF(Настройки!AG84="",TEXT(Настройки!$J2,"ч:мм"),TEXT(Настройки!AG84,"ч:мм"))+TIME(0,Сентябрь!AE13,0),"ч::мм"))</f>
        <v/>
      </c>
      <c r="N24" s="3" t="str">
        <f>IF(TEXT(IF(Настройки!AH84="",TEXT(Настройки!$J2,"ч:мм"),TEXT(Настройки!AH84,"ч:мм"))+TIME(0,Сентябрь!AF13,0),"ч::мм")=TEXT(IF(Настройки!AH84="",TEXT(Настройки!$J2,"ч:мм"),TEXT(Настройки!AH84,"ч:мм")),"ч:мм"),"",TEXT(IF(Настройки!AH84="",TEXT(Настройки!$J2,"ч:мм"),TEXT(Настройки!AH84,"ч:мм")),"ч:мм")&amp;"-"&amp;TEXT(IF(Настройки!AH84="",TEXT(Настройки!$J2,"ч:мм"),TEXT(Настройки!AH84,"ч:мм"))+TIME(0,Сентябрь!AF13,0),"ч::мм"))</f>
        <v/>
      </c>
      <c r="O24" s="3" t="str">
        <f>IF(TEXT(IF(Настройки!AI84="",TEXT(Настройки!$J2,"ч:мм"),TEXT(Настройки!AI84,"ч:мм"))+TIME(0,Сентябрь!AG13,0),"ч::мм")=TEXT(IF(Настройки!AI84="",TEXT(Настройки!$J2,"ч:мм"),TEXT(Настройки!AI84,"ч:мм")),"ч:мм"),"",TEXT(IF(Настройки!AI84="",TEXT(Настройки!$J2,"ч:мм"),TEXT(Настройки!AI84,"ч:мм")),"ч:мм")&amp;"-"&amp;TEXT(IF(Настройки!AI84="",TEXT(Настройки!$J2,"ч:мм"),TEXT(Настройки!AI84,"ч:мм"))+TIME(0,Сентябрь!AG13,0),"ч::мм"))</f>
        <v/>
      </c>
      <c r="P24" s="3" t="str">
        <f>IF(TEXT(IF(Настройки!AJ84="",TEXT(Настройки!$J2,"ч:мм"),TEXT(Настройки!AJ84,"ч:мм"))+TIME(0,Сентябрь!AH13,0),"ч::мм")=TEXT(IF(Настройки!AJ84="",TEXT(Настройки!$J2,"ч:мм"),TEXT(Настройки!AJ84,"ч:мм")),"ч:мм"),"",TEXT(IF(Настройки!AJ84="",TEXT(Настройки!$J2,"ч:мм"),TEXT(Настройки!AJ84,"ч:мм")),"ч:мм")&amp;"-"&amp;TEXT(IF(Настройки!AJ84="",TEXT(Настройки!$J2,"ч:мм"),TEXT(Настройки!AJ84,"ч:мм"))+TIME(0,Сентябрь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85="",TEXT(Настройки!$J3,"ч:мм"),TEXT(Настройки!V85,"ч:мм"))+TIME(0,Сентябрь!T14,0),"ч::мм")=TEXT(IF(Настройки!V85="",TEXT(Настройки!$J3,"ч:мм"),TEXT(Настройки!V85,"ч:мм")),"ч:мм"),"",TEXT(IF(Настройки!V85="",TEXT(Настройки!$J3,"ч:мм"),TEXT(Настройки!V85,"ч:мм")),"ч:мм")&amp;"-"&amp;TEXT(IF(Настройки!V85="",TEXT(Настройки!$J3,"ч:мм"),TEXT(Настройки!V85,"ч:мм"))+TIME(0,Сентябрь!T14,0),"ч::мм"))</f>
        <v/>
      </c>
      <c r="C25" s="3" t="str">
        <f ca="1">IF(TEXT(IF(Настройки!W85="",TEXT(Настройки!$J3,"ч:мм"),TEXT(Настройки!W85,"ч:мм"))+TIME(0,Сентябрь!U14,0),"ч::мм")=TEXT(IF(Настройки!W85="",TEXT(Настройки!$J3,"ч:мм"),TEXT(Настройки!W85,"ч:мм")),"ч:мм"),"",TEXT(IF(Настройки!W85="",TEXT(Настройки!$J3,"ч:мм"),TEXT(Настройки!W85,"ч:мм")),"ч:мм")&amp;"-"&amp;TEXT(IF(Настройки!W85="",TEXT(Настройки!$J3,"ч:мм"),TEXT(Настройки!W85,"ч:мм"))+TIME(0,Сентябрь!U14,0),"ч::мм"))</f>
        <v/>
      </c>
      <c r="D25" s="3" t="str">
        <f ca="1">IF(TEXT(IF(Настройки!X85="",TEXT(Настройки!$J3,"ч:мм"),TEXT(Настройки!X85,"ч:мм"))+TIME(0,Сентябрь!V14,0),"ч::мм")=TEXT(IF(Настройки!X85="",TEXT(Настройки!$J3,"ч:мм"),TEXT(Настройки!X85,"ч:мм")),"ч:мм"),"",TEXT(IF(Настройки!X85="",TEXT(Настройки!$J3,"ч:мм"),TEXT(Настройки!X85,"ч:мм")),"ч:мм")&amp;"-"&amp;TEXT(IF(Настройки!X85="",TEXT(Настройки!$J3,"ч:мм"),TEXT(Настройки!X85,"ч:мм"))+TIME(0,Сентябрь!V14,0),"ч::мм"))</f>
        <v/>
      </c>
      <c r="E25" s="3" t="str">
        <f ca="1">IF(TEXT(IF(Настройки!Y85="",TEXT(Настройки!$J3,"ч:мм"),TEXT(Настройки!Y85,"ч:мм"))+TIME(0,Сентябрь!W14,0),"ч::мм")=TEXT(IF(Настройки!Y85="",TEXT(Настройки!$J3,"ч:мм"),TEXT(Настройки!Y85,"ч:мм")),"ч:мм"),"",TEXT(IF(Настройки!Y85="",TEXT(Настройки!$J3,"ч:мм"),TEXT(Настройки!Y85,"ч:мм")),"ч:мм")&amp;"-"&amp;TEXT(IF(Настройки!Y85="",TEXT(Настройки!$J3,"ч:мм"),TEXT(Настройки!Y85,"ч:мм"))+TIME(0,Сентябрь!W14,0),"ч::мм"))</f>
        <v/>
      </c>
      <c r="F25" s="3" t="str">
        <f ca="1">IF(TEXT(IF(Настройки!Z85="",TEXT(Настройки!$J3,"ч:мм"),TEXT(Настройки!Z85,"ч:мм"))+TIME(0,Сентябрь!X14,0),"ч::мм")=TEXT(IF(Настройки!Z85="",TEXT(Настройки!$J3,"ч:мм"),TEXT(Настройки!Z85,"ч:мм")),"ч:мм"),"",TEXT(IF(Настройки!Z85="",TEXT(Настройки!$J3,"ч:мм"),TEXT(Настройки!Z85,"ч:мм")),"ч:мм")&amp;"-"&amp;TEXT(IF(Настройки!Z85="",TEXT(Настройки!$J3,"ч:мм"),TEXT(Настройки!Z85,"ч:мм"))+TIME(0,Сентябрь!X14,0),"ч::мм"))</f>
        <v/>
      </c>
      <c r="G25" s="3" t="str">
        <f ca="1">IF(TEXT(IF(Настройки!AA85="",TEXT(Настройки!$J3,"ч:мм"),TEXT(Настройки!AA85,"ч:мм"))+TIME(0,Сентябрь!Y14,0),"ч::мм")=TEXT(IF(Настройки!AA85="",TEXT(Настройки!$J3,"ч:мм"),TEXT(Настройки!AA85,"ч:мм")),"ч:мм"),"",TEXT(IF(Настройки!AA85="",TEXT(Настройки!$J3,"ч:мм"),TEXT(Настройки!AA85,"ч:мм")),"ч:мм")&amp;"-"&amp;TEXT(IF(Настройки!AA85="",TEXT(Настройки!$J3,"ч:мм"),TEXT(Настройки!AA85,"ч:мм"))+TIME(0,Сентябрь!Y14,0),"ч::мм"))</f>
        <v/>
      </c>
      <c r="H25" s="3" t="str">
        <f ca="1">IF(TEXT(IF(Настройки!AB85="",TEXT(Настройки!$J3,"ч:мм"),TEXT(Настройки!AB85,"ч:мм"))+TIME(0,Сентябрь!Z14,0),"ч::мм")=TEXT(IF(Настройки!AB85="",TEXT(Настройки!$J3,"ч:мм"),TEXT(Настройки!AB85,"ч:мм")),"ч:мм"),"",TEXT(IF(Настройки!AB85="",TEXT(Настройки!$J3,"ч:мм"),TEXT(Настройки!AB85,"ч:мм")),"ч:мм")&amp;"-"&amp;TEXT(IF(Настройки!AB85="",TEXT(Настройки!$J3,"ч:мм"),TEXT(Настройки!AB85,"ч:мм"))+TIME(0,Сентябрь!Z14,0),"ч::мм"))</f>
        <v/>
      </c>
      <c r="I25" s="3" t="str">
        <f ca="1">IF(TEXT(IF(Настройки!AC85="",TEXT(Настройки!$J3,"ч:мм"),TEXT(Настройки!AC85,"ч:мм"))+TIME(0,Сентябрь!AA14,0),"ч::мм")=TEXT(IF(Настройки!AC85="",TEXT(Настройки!$J3,"ч:мм"),TEXT(Настройки!AC85,"ч:мм")),"ч:мм"),"",TEXT(IF(Настройки!AC85="",TEXT(Настройки!$J3,"ч:мм"),TEXT(Настройки!AC85,"ч:мм")),"ч:мм")&amp;"-"&amp;TEXT(IF(Настройки!AC85="",TEXT(Настройки!$J3,"ч:мм"),TEXT(Настройки!AC85,"ч:мм"))+TIME(0,Сентябрь!AA14,0),"ч::мм"))</f>
        <v/>
      </c>
      <c r="J25" s="3" t="str">
        <f ca="1">IF(TEXT(IF(Настройки!AD85="",TEXT(Настройки!$J3,"ч:мм"),TEXT(Настройки!AD85,"ч:мм"))+TIME(0,Сентябрь!AB14,0),"ч::мм")=TEXT(IF(Настройки!AD85="",TEXT(Настройки!$J3,"ч:мм"),TEXT(Настройки!AD85,"ч:мм")),"ч:мм"),"",TEXT(IF(Настройки!AD85="",TEXT(Настройки!$J3,"ч:мм"),TEXT(Настройки!AD85,"ч:мм")),"ч:мм")&amp;"-"&amp;TEXT(IF(Настройки!AD85="",TEXT(Настройки!$J3,"ч:мм"),TEXT(Настройки!AD85,"ч:мм"))+TIME(0,Сентябрь!AB14,0),"ч::мм"))</f>
        <v/>
      </c>
      <c r="K25" s="3" t="str">
        <f ca="1">IF(TEXT(IF(Настройки!AE85="",TEXT(Настройки!$J3,"ч:мм"),TEXT(Настройки!AE85,"ч:мм"))+TIME(0,Сентябрь!AC14,0),"ч::мм")=TEXT(IF(Настройки!AE85="",TEXT(Настройки!$J3,"ч:мм"),TEXT(Настройки!AE85,"ч:мм")),"ч:мм"),"",TEXT(IF(Настройки!AE85="",TEXT(Настройки!$J3,"ч:мм"),TEXT(Настройки!AE85,"ч:мм")),"ч:мм")&amp;"-"&amp;TEXT(IF(Настройки!AE85="",TEXT(Настройки!$J3,"ч:мм"),TEXT(Настройки!AE85,"ч:мм"))+TIME(0,Сентябрь!AC14,0),"ч::мм"))</f>
        <v/>
      </c>
      <c r="L25" s="3" t="str">
        <f ca="1">IF(TEXT(IF(Настройки!AF85="",TEXT(Настройки!$J3,"ч:мм"),TEXT(Настройки!AF85,"ч:мм"))+TIME(0,Сентябрь!AD14,0),"ч::мм")=TEXT(IF(Настройки!AF85="",TEXT(Настройки!$J3,"ч:мм"),TEXT(Настройки!AF85,"ч:мм")),"ч:мм"),"",TEXT(IF(Настройки!AF85="",TEXT(Настройки!$J3,"ч:мм"),TEXT(Настройки!AF85,"ч:мм")),"ч:мм")&amp;"-"&amp;TEXT(IF(Настройки!AF85="",TEXT(Настройки!$J3,"ч:мм"),TEXT(Настройки!AF85,"ч:мм"))+TIME(0,Сентябрь!AD14,0),"ч::мм"))</f>
        <v/>
      </c>
      <c r="M25" s="3" t="str">
        <f ca="1">IF(TEXT(IF(Настройки!AG85="",TEXT(Настройки!$J3,"ч:мм"),TEXT(Настройки!AG85,"ч:мм"))+TIME(0,Сентябрь!AE14,0),"ч::мм")=TEXT(IF(Настройки!AG85="",TEXT(Настройки!$J3,"ч:мм"),TEXT(Настройки!AG85,"ч:мм")),"ч:мм"),"",TEXT(IF(Настройки!AG85="",TEXT(Настройки!$J3,"ч:мм"),TEXT(Настройки!AG85,"ч:мм")),"ч:мм")&amp;"-"&amp;TEXT(IF(Настройки!AG85="",TEXT(Настройки!$J3,"ч:мм"),TEXT(Настройки!AG85,"ч:мм"))+TIME(0,Сентябрь!AE14,0),"ч::мм"))</f>
        <v/>
      </c>
      <c r="N25" s="3" t="str">
        <f ca="1">IF(TEXT(IF(Настройки!AH85="",TEXT(Настройки!$J3,"ч:мм"),TEXT(Настройки!AH85,"ч:мм"))+TIME(0,Сентябрь!AF14,0),"ч::мм")=TEXT(IF(Настройки!AH85="",TEXT(Настройки!$J3,"ч:мм"),TEXT(Настройки!AH85,"ч:мм")),"ч:мм"),"",TEXT(IF(Настройки!AH85="",TEXT(Настройки!$J3,"ч:мм"),TEXT(Настройки!AH85,"ч:мм")),"ч:мм")&amp;"-"&amp;TEXT(IF(Настройки!AH85="",TEXT(Настройки!$J3,"ч:мм"),TEXT(Настройки!AH85,"ч:мм"))+TIME(0,Сентябрь!AF14,0),"ч::мм"))</f>
        <v/>
      </c>
      <c r="O25" s="3" t="str">
        <f ca="1">IF(TEXT(IF(Настройки!AI85="",TEXT(Настройки!$J3,"ч:мм"),TEXT(Настройки!AI85,"ч:мм"))+TIME(0,Сентябрь!AG14,0),"ч::мм")=TEXT(IF(Настройки!AI85="",TEXT(Настройки!$J3,"ч:мм"),TEXT(Настройки!AI85,"ч:мм")),"ч:мм"),"",TEXT(IF(Настройки!AI85="",TEXT(Настройки!$J3,"ч:мм"),TEXT(Настройки!AI85,"ч:мм")),"ч:мм")&amp;"-"&amp;TEXT(IF(Настройки!AI85="",TEXT(Настройки!$J3,"ч:мм"),TEXT(Настройки!AI85,"ч:мм"))+TIME(0,Сентябрь!AG14,0),"ч::мм"))</f>
        <v/>
      </c>
      <c r="P25" s="3" t="str">
        <f ca="1">IF(TEXT(IF(Настройки!AJ85="",TEXT(Настройки!$J3,"ч:мм"),TEXT(Настройки!AJ85,"ч:мм"))+TIME(0,Сентябрь!AH14,0),"ч::мм")=TEXT(IF(Настройки!AJ85="",TEXT(Настройки!$J3,"ч:мм"),TEXT(Настройки!AJ85,"ч:мм")),"ч:мм"),"",TEXT(IF(Настройки!AJ85="",TEXT(Настройки!$J3,"ч:мм"),TEXT(Настройки!AJ85,"ч:мм")),"ч:мм")&amp;"-"&amp;TEXT(IF(Настройки!AJ85="",TEXT(Настройки!$J3,"ч:мм"),TEXT(Настройки!AJ85,"ч:мм"))+TIME(0,Сентябрь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86="",TEXT(Настройки!$J4,"ч:мм"),TEXT(Настройки!V86,"ч:мм"))+TIME(0,Сентябрь!T15,0),"ч::мм")=TEXT(IF(Настройки!V86="",TEXT(Настройки!$J4,"ч:мм"),TEXT(Настройки!V86,"ч:мм")),"ч:мм"),"",TEXT(IF(Настройки!V86="",TEXT(Настройки!$J4,"ч:мм"),TEXT(Настройки!V86,"ч:мм")),"ч:мм")&amp;"-"&amp;TEXT(IF(Настройки!V86="",TEXT(Настройки!$J4,"ч:мм"),TEXT(Настройки!V86,"ч:мм"))+TIME(0,Сентябрь!T15,0),"ч::мм"))</f>
        <v/>
      </c>
      <c r="C26" s="3" t="str">
        <f ca="1">IF(TEXT(IF(Настройки!W86="",TEXT(Настройки!$J4,"ч:мм"),TEXT(Настройки!W86,"ч:мм"))+TIME(0,Сентябрь!U15,0),"ч::мм")=TEXT(IF(Настройки!W86="",TEXT(Настройки!$J4,"ч:мм"),TEXT(Настройки!W86,"ч:мм")),"ч:мм"),"",TEXT(IF(Настройки!W86="",TEXT(Настройки!$J4,"ч:мм"),TEXT(Настройки!W86,"ч:мм")),"ч:мм")&amp;"-"&amp;TEXT(IF(Настройки!W86="",TEXT(Настройки!$J4,"ч:мм"),TEXT(Настройки!W86,"ч:мм"))+TIME(0,Сентябрь!U15,0),"ч::мм"))</f>
        <v/>
      </c>
      <c r="D26" s="3" t="str">
        <f ca="1">IF(TEXT(IF(Настройки!X86="",TEXT(Настройки!$J4,"ч:мм"),TEXT(Настройки!X86,"ч:мм"))+TIME(0,Сентябрь!V15,0),"ч::мм")=TEXT(IF(Настройки!X86="",TEXT(Настройки!$J4,"ч:мм"),TEXT(Настройки!X86,"ч:мм")),"ч:мм"),"",TEXT(IF(Настройки!X86="",TEXT(Настройки!$J4,"ч:мм"),TEXT(Настройки!X86,"ч:мм")),"ч:мм")&amp;"-"&amp;TEXT(IF(Настройки!X86="",TEXT(Настройки!$J4,"ч:мм"),TEXT(Настройки!X86,"ч:мм"))+TIME(0,Сентябрь!V15,0),"ч::мм"))</f>
        <v/>
      </c>
      <c r="E26" s="3" t="str">
        <f ca="1">IF(TEXT(IF(Настройки!Y86="",TEXT(Настройки!$J4,"ч:мм"),TEXT(Настройки!Y86,"ч:мм"))+TIME(0,Сентябрь!W15,0),"ч::мм")=TEXT(IF(Настройки!Y86="",TEXT(Настройки!$J4,"ч:мм"),TEXT(Настройки!Y86,"ч:мм")),"ч:мм"),"",TEXT(IF(Настройки!Y86="",TEXT(Настройки!$J4,"ч:мм"),TEXT(Настройки!Y86,"ч:мм")),"ч:мм")&amp;"-"&amp;TEXT(IF(Настройки!Y86="",TEXT(Настройки!$J4,"ч:мм"),TEXT(Настройки!Y86,"ч:мм"))+TIME(0,Сентябрь!W15,0),"ч::мм"))</f>
        <v/>
      </c>
      <c r="F26" s="3" t="str">
        <f ca="1">IF(TEXT(IF(Настройки!Z86="",TEXT(Настройки!$J4,"ч:мм"),TEXT(Настройки!Z86,"ч:мм"))+TIME(0,Сентябрь!X15,0),"ч::мм")=TEXT(IF(Настройки!Z86="",TEXT(Настройки!$J4,"ч:мм"),TEXT(Настройки!Z86,"ч:мм")),"ч:мм"),"",TEXT(IF(Настройки!Z86="",TEXT(Настройки!$J4,"ч:мм"),TEXT(Настройки!Z86,"ч:мм")),"ч:мм")&amp;"-"&amp;TEXT(IF(Настройки!Z86="",TEXT(Настройки!$J4,"ч:мм"),TEXT(Настройки!Z86,"ч:мм"))+TIME(0,Сентябрь!X15,0),"ч::мм"))</f>
        <v/>
      </c>
      <c r="G26" s="3" t="str">
        <f ca="1">IF(TEXT(IF(Настройки!AA86="",TEXT(Настройки!$J4,"ч:мм"),TEXT(Настройки!AA86,"ч:мм"))+TIME(0,Сентябрь!Y15,0),"ч::мм")=TEXT(IF(Настройки!AA86="",TEXT(Настройки!$J4,"ч:мм"),TEXT(Настройки!AA86,"ч:мм")),"ч:мм"),"",TEXT(IF(Настройки!AA86="",TEXT(Настройки!$J4,"ч:мм"),TEXT(Настройки!AA86,"ч:мм")),"ч:мм")&amp;"-"&amp;TEXT(IF(Настройки!AA86="",TEXT(Настройки!$J4,"ч:мм"),TEXT(Настройки!AA86,"ч:мм"))+TIME(0,Сентябрь!Y15,0),"ч::мм"))</f>
        <v/>
      </c>
      <c r="H26" s="3" t="str">
        <f ca="1">IF(TEXT(IF(Настройки!AB86="",TEXT(Настройки!$J4,"ч:мм"),TEXT(Настройки!AB86,"ч:мм"))+TIME(0,Сентябрь!Z15,0),"ч::мм")=TEXT(IF(Настройки!AB86="",TEXT(Настройки!$J4,"ч:мм"),TEXT(Настройки!AB86,"ч:мм")),"ч:мм"),"",TEXT(IF(Настройки!AB86="",TEXT(Настройки!$J4,"ч:мм"),TEXT(Настройки!AB86,"ч:мм")),"ч:мм")&amp;"-"&amp;TEXT(IF(Настройки!AB86="",TEXT(Настройки!$J4,"ч:мм"),TEXT(Настройки!AB86,"ч:мм"))+TIME(0,Сентябрь!Z15,0),"ч::мм"))</f>
        <v/>
      </c>
      <c r="I26" s="3" t="str">
        <f ca="1">IF(TEXT(IF(Настройки!AC86="",TEXT(Настройки!$J4,"ч:мм"),TEXT(Настройки!AC86,"ч:мм"))+TIME(0,Сентябрь!AA15,0),"ч::мм")=TEXT(IF(Настройки!AC86="",TEXT(Настройки!$J4,"ч:мм"),TEXT(Настройки!AC86,"ч:мм")),"ч:мм"),"",TEXT(IF(Настройки!AC86="",TEXT(Настройки!$J4,"ч:мм"),TEXT(Настройки!AC86,"ч:мм")),"ч:мм")&amp;"-"&amp;TEXT(IF(Настройки!AC86="",TEXT(Настройки!$J4,"ч:мм"),TEXT(Настройки!AC86,"ч:мм"))+TIME(0,Сентябрь!AA15,0),"ч::мм"))</f>
        <v/>
      </c>
      <c r="J26" s="3" t="str">
        <f ca="1">IF(TEXT(IF(Настройки!AD86="",TEXT(Настройки!$J4,"ч:мм"),TEXT(Настройки!AD86,"ч:мм"))+TIME(0,Сентябрь!AB15,0),"ч::мм")=TEXT(IF(Настройки!AD86="",TEXT(Настройки!$J4,"ч:мм"),TEXT(Настройки!AD86,"ч:мм")),"ч:мм"),"",TEXT(IF(Настройки!AD86="",TEXT(Настройки!$J4,"ч:мм"),TEXT(Настройки!AD86,"ч:мм")),"ч:мм")&amp;"-"&amp;TEXT(IF(Настройки!AD86="",TEXT(Настройки!$J4,"ч:мм"),TEXT(Настройки!AD86,"ч:мм"))+TIME(0,Сентябрь!AB15,0),"ч::мм"))</f>
        <v/>
      </c>
      <c r="K26" s="3" t="str">
        <f ca="1">IF(TEXT(IF(Настройки!AE86="",TEXT(Настройки!$J4,"ч:мм"),TEXT(Настройки!AE86,"ч:мм"))+TIME(0,Сентябрь!AC15,0),"ч::мм")=TEXT(IF(Настройки!AE86="",TEXT(Настройки!$J4,"ч:мм"),TEXT(Настройки!AE86,"ч:мм")),"ч:мм"),"",TEXT(IF(Настройки!AE86="",TEXT(Настройки!$J4,"ч:мм"),TEXT(Настройки!AE86,"ч:мм")),"ч:мм")&amp;"-"&amp;TEXT(IF(Настройки!AE86="",TEXT(Настройки!$J4,"ч:мм"),TEXT(Настройки!AE86,"ч:мм"))+TIME(0,Сентябрь!AC15,0),"ч::мм"))</f>
        <v/>
      </c>
      <c r="L26" s="3" t="str">
        <f ca="1">IF(TEXT(IF(Настройки!AF86="",TEXT(Настройки!$J4,"ч:мм"),TEXT(Настройки!AF86,"ч:мм"))+TIME(0,Сентябрь!AD15,0),"ч::мм")=TEXT(IF(Настройки!AF86="",TEXT(Настройки!$J4,"ч:мм"),TEXT(Настройки!AF86,"ч:мм")),"ч:мм"),"",TEXT(IF(Настройки!AF86="",TEXT(Настройки!$J4,"ч:мм"),TEXT(Настройки!AF86,"ч:мм")),"ч:мм")&amp;"-"&amp;TEXT(IF(Настройки!AF86="",TEXT(Настройки!$J4,"ч:мм"),TEXT(Настройки!AF86,"ч:мм"))+TIME(0,Сентябрь!AD15,0),"ч::мм"))</f>
        <v/>
      </c>
      <c r="M26" s="3" t="str">
        <f ca="1">IF(TEXT(IF(Настройки!AG86="",TEXT(Настройки!$J4,"ч:мм"),TEXT(Настройки!AG86,"ч:мм"))+TIME(0,Сентябрь!AE15,0),"ч::мм")=TEXT(IF(Настройки!AG86="",TEXT(Настройки!$J4,"ч:мм"),TEXT(Настройки!AG86,"ч:мм")),"ч:мм"),"",TEXT(IF(Настройки!AG86="",TEXT(Настройки!$J4,"ч:мм"),TEXT(Настройки!AG86,"ч:мм")),"ч:мм")&amp;"-"&amp;TEXT(IF(Настройки!AG86="",TEXT(Настройки!$J4,"ч:мм"),TEXT(Настройки!AG86,"ч:мм"))+TIME(0,Сентябрь!AE15,0),"ч::мм"))</f>
        <v/>
      </c>
      <c r="N26" s="3" t="str">
        <f ca="1">IF(TEXT(IF(Настройки!AH86="",TEXT(Настройки!$J4,"ч:мм"),TEXT(Настройки!AH86,"ч:мм"))+TIME(0,Сентябрь!AF15,0),"ч::мм")=TEXT(IF(Настройки!AH86="",TEXT(Настройки!$J4,"ч:мм"),TEXT(Настройки!AH86,"ч:мм")),"ч:мм"),"",TEXT(IF(Настройки!AH86="",TEXT(Настройки!$J4,"ч:мм"),TEXT(Настройки!AH86,"ч:мм")),"ч:мм")&amp;"-"&amp;TEXT(IF(Настройки!AH86="",TEXT(Настройки!$J4,"ч:мм"),TEXT(Настройки!AH86,"ч:мм"))+TIME(0,Сентябрь!AF15,0),"ч::мм"))</f>
        <v/>
      </c>
      <c r="O26" s="3" t="str">
        <f ca="1">IF(TEXT(IF(Настройки!AI86="",TEXT(Настройки!$J4,"ч:мм"),TEXT(Настройки!AI86,"ч:мм"))+TIME(0,Сентябрь!AG15,0),"ч::мм")=TEXT(IF(Настройки!AI86="",TEXT(Настройки!$J4,"ч:мм"),TEXT(Настройки!AI86,"ч:мм")),"ч:мм"),"",TEXT(IF(Настройки!AI86="",TEXT(Настройки!$J4,"ч:мм"),TEXT(Настройки!AI86,"ч:мм")),"ч:мм")&amp;"-"&amp;TEXT(IF(Настройки!AI86="",TEXT(Настройки!$J4,"ч:мм"),TEXT(Настройки!AI86,"ч:мм"))+TIME(0,Сентябрь!AG15,0),"ч::мм"))</f>
        <v/>
      </c>
      <c r="P26" s="3" t="str">
        <f ca="1">IF(TEXT(IF(Настройки!AJ86="",TEXT(Настройки!$J4,"ч:мм"),TEXT(Настройки!AJ86,"ч:мм"))+TIME(0,Сентябрь!AH15,0),"ч::мм")=TEXT(IF(Настройки!AJ86="",TEXT(Настройки!$J4,"ч:мм"),TEXT(Настройки!AJ86,"ч:мм")),"ч:мм"),"",TEXT(IF(Настройки!AJ86="",TEXT(Настройки!$J4,"ч:мм"),TEXT(Настройки!AJ86,"ч:мм")),"ч:мм")&amp;"-"&amp;TEXT(IF(Настройки!AJ86="",TEXT(Настройки!$J4,"ч:мм"),TEXT(Настройки!AJ86,"ч:мм"))+TIME(0,Сентябрь!AH15,0),"ч::мм"))</f>
        <v/>
      </c>
    </row>
    <row r="27" spans="1:18" x14ac:dyDescent="0.25">
      <c r="Q27" s="9"/>
      <c r="R27" s="9"/>
    </row>
  </sheetData>
  <mergeCells count="9">
    <mergeCell ref="A18:A22"/>
    <mergeCell ref="B18:P19"/>
    <mergeCell ref="B21:P22"/>
    <mergeCell ref="A2:P2"/>
    <mergeCell ref="F6:G6"/>
    <mergeCell ref="H6:I6"/>
    <mergeCell ref="A8:A12"/>
    <mergeCell ref="B8:P9"/>
    <mergeCell ref="B11:P12"/>
  </mergeCells>
  <conditionalFormatting sqref="B10:P10">
    <cfRule type="expression" dxfId="370" priority="2">
      <formula>WEEKDAY(B10:P10,2)&gt;5</formula>
    </cfRule>
  </conditionalFormatting>
  <conditionalFormatting sqref="B20:P20">
    <cfRule type="expression" dxfId="369" priority="1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2"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4" tint="0.39997558519241921"/>
    <pageSetUpPr fitToPage="1"/>
  </sheetPr>
  <dimension ref="A2:AL28"/>
  <sheetViews>
    <sheetView zoomScale="70" zoomScaleNormal="70" workbookViewId="0">
      <selection activeCell="F1" sqref="F1"/>
    </sheetView>
  </sheetViews>
  <sheetFormatPr defaultRowHeight="15.75" x14ac:dyDescent="0.25"/>
  <cols>
    <col min="1" max="1" width="21.42578125" style="3" customWidth="1"/>
    <col min="2" max="2" width="18.28515625" style="3" bestFit="1" customWidth="1"/>
    <col min="3" max="3" width="14.42578125" style="3" bestFit="1" customWidth="1"/>
    <col min="4" max="4" width="9.28515625" style="3" customWidth="1"/>
    <col min="5" max="17" width="4.42578125" style="3" bestFit="1" customWidth="1"/>
    <col min="18" max="18" width="6.42578125" style="3" bestFit="1" customWidth="1"/>
    <col min="19" max="35" width="4.42578125" style="3" bestFit="1" customWidth="1"/>
    <col min="36" max="36" width="9.5703125" style="3" bestFit="1" customWidth="1"/>
    <col min="37" max="37" width="10" style="3" bestFit="1" customWidth="1"/>
    <col min="38" max="38" width="14" style="3" bestFit="1" customWidth="1"/>
    <col min="39" max="16384" width="9.140625" style="3"/>
  </cols>
  <sheetData>
    <row r="2" spans="1:38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8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8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8" ht="18.75" x14ac:dyDescent="0.25">
      <c r="L5" s="10" t="s">
        <v>69</v>
      </c>
      <c r="M5" s="61" t="s">
        <v>129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7" spans="1:38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9"/>
      <c r="AJ7" s="63" t="s">
        <v>64</v>
      </c>
      <c r="AK7" s="64" t="s">
        <v>64</v>
      </c>
    </row>
    <row r="8" spans="1:38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78"/>
      <c r="AJ8" s="63"/>
      <c r="AK8" s="65"/>
    </row>
    <row r="9" spans="1:38" x14ac:dyDescent="0.25">
      <c r="A9" s="73"/>
      <c r="B9" s="76"/>
      <c r="C9" s="76"/>
      <c r="D9" s="82"/>
      <c r="E9" s="17">
        <f>Настройки!G16</f>
        <v>45566</v>
      </c>
      <c r="F9" s="17">
        <f>Настройки!H16</f>
        <v>45567</v>
      </c>
      <c r="G9" s="17">
        <f>Настройки!I16</f>
        <v>45568</v>
      </c>
      <c r="H9" s="17">
        <f>Настройки!J16</f>
        <v>45569</v>
      </c>
      <c r="I9" s="17">
        <f>Настройки!K16</f>
        <v>45570</v>
      </c>
      <c r="J9" s="17">
        <f>Настройки!L16</f>
        <v>45571</v>
      </c>
      <c r="K9" s="17">
        <f>Настройки!M16</f>
        <v>45572</v>
      </c>
      <c r="L9" s="17">
        <f>Настройки!N16</f>
        <v>45573</v>
      </c>
      <c r="M9" s="17">
        <f>Настройки!O16</f>
        <v>45574</v>
      </c>
      <c r="N9" s="17">
        <f>Настройки!P16</f>
        <v>45575</v>
      </c>
      <c r="O9" s="17">
        <f>Настройки!Q16</f>
        <v>45576</v>
      </c>
      <c r="P9" s="17">
        <f>Настройки!R16</f>
        <v>45577</v>
      </c>
      <c r="Q9" s="17">
        <f>Настройки!S16</f>
        <v>45578</v>
      </c>
      <c r="R9" s="17">
        <f>Настройки!T16</f>
        <v>45579</v>
      </c>
      <c r="S9" s="17">
        <f>Настройки!U16</f>
        <v>45580</v>
      </c>
      <c r="T9" s="17">
        <f>Настройки!V16</f>
        <v>45581</v>
      </c>
      <c r="U9" s="17">
        <f>Настройки!W16</f>
        <v>45582</v>
      </c>
      <c r="V9" s="17">
        <f>Настройки!X16</f>
        <v>45583</v>
      </c>
      <c r="W9" s="17">
        <f>Настройки!Y16</f>
        <v>45584</v>
      </c>
      <c r="X9" s="17">
        <f>Настройки!Z16</f>
        <v>45585</v>
      </c>
      <c r="Y9" s="17">
        <f>Настройки!AA16</f>
        <v>45586</v>
      </c>
      <c r="Z9" s="17">
        <f>Настройки!AB16</f>
        <v>45587</v>
      </c>
      <c r="AA9" s="17">
        <f>Настройки!AC16</f>
        <v>45588</v>
      </c>
      <c r="AB9" s="17">
        <f>Настройки!AD16</f>
        <v>45589</v>
      </c>
      <c r="AC9" s="17">
        <f>Настройки!AE16</f>
        <v>45590</v>
      </c>
      <c r="AD9" s="17">
        <f>Настройки!AF16</f>
        <v>45591</v>
      </c>
      <c r="AE9" s="17">
        <f>Настройки!AG16</f>
        <v>45592</v>
      </c>
      <c r="AF9" s="17">
        <f>Настройки!AH16</f>
        <v>45593</v>
      </c>
      <c r="AG9" s="17">
        <f>Настройки!AI16</f>
        <v>45594</v>
      </c>
      <c r="AH9" s="17">
        <f>Настройки!AJ16</f>
        <v>45595</v>
      </c>
      <c r="AI9" s="17">
        <f>Настройки!AK16</f>
        <v>45596</v>
      </c>
      <c r="AJ9" s="63"/>
      <c r="AK9" s="65"/>
    </row>
    <row r="10" spans="1:38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9"/>
      <c r="AJ10" s="63"/>
      <c r="AK10" s="65"/>
    </row>
    <row r="11" spans="1:38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2"/>
      <c r="AJ11" s="63"/>
      <c r="AK11" s="66"/>
    </row>
    <row r="12" spans="1:38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SUMPRODUCT((Настройки!$G$30:$AK$30=1)*E16:AI16)</f>
        <v>0</v>
      </c>
      <c r="D13" s="5">
        <v>1</v>
      </c>
      <c r="E13" s="23">
        <f>SUMPRODUCT((Октябрь[№]=1)*Октябрь[1],Октябрь[Объем])</f>
        <v>0</v>
      </c>
      <c r="F13" s="23">
        <f>SUMPRODUCT((Октябрь[№]=1)*Октябрь[2],Октябрь[Объем])</f>
        <v>0</v>
      </c>
      <c r="G13" s="23">
        <f>SUMPRODUCT((Октябрь[№]=1)*Октябрь[3],Октябрь[Объем])</f>
        <v>0</v>
      </c>
      <c r="H13" s="23">
        <f>SUMPRODUCT((Октябрь[№]=1)*Октябрь[4],Октябрь[Объем])</f>
        <v>0</v>
      </c>
      <c r="I13" s="23">
        <f>SUMPRODUCT((Октябрь[№]=1)*Октябрь[5],Октябрь[Объем])</f>
        <v>0</v>
      </c>
      <c r="J13" s="23">
        <f>SUMPRODUCT((Октябрь[№]=1)*Октябрь[6],Октябрь[Объем])</f>
        <v>0</v>
      </c>
      <c r="K13" s="23">
        <f>SUMPRODUCT((Октябрь[№]=1)*Октябрь[7],Октябрь[Объем])</f>
        <v>0</v>
      </c>
      <c r="L13" s="23">
        <f>SUMPRODUCT((Октябрь[№]=1)*Октябрь[8],Октябрь[Объем])</f>
        <v>0</v>
      </c>
      <c r="M13" s="23">
        <f>SUMPRODUCT((Октябрь[№]=1)*Октябрь[9],Октябрь[Объем])</f>
        <v>0</v>
      </c>
      <c r="N13" s="23">
        <f>SUMPRODUCT((Октябрь[№]=1)*Октябрь[10],Октябрь[Объем])</f>
        <v>0</v>
      </c>
      <c r="O13" s="23">
        <f>SUMPRODUCT((Октябрь[№]=1)*Октябрь[11],Октябрь[Объем])</f>
        <v>0</v>
      </c>
      <c r="P13" s="23">
        <f>SUMPRODUCT((Октябрь[№]=1)*Октябрь[12],Октябрь[Объем])</f>
        <v>0</v>
      </c>
      <c r="Q13" s="23">
        <f>SUMPRODUCT((Октябрь[№]=1)*Октябрь[13],Октябрь[Объем])</f>
        <v>0</v>
      </c>
      <c r="R13" s="23">
        <f>SUMPRODUCT((Октябрь[№]=1)*Октябрь[14],Октябрь[Объем])</f>
        <v>0</v>
      </c>
      <c r="S13" s="23">
        <f>SUMPRODUCT((Октябрь[№]=1)*Октябрь[15],Октябрь[Объем])</f>
        <v>0</v>
      </c>
      <c r="T13" s="23">
        <f>SUMPRODUCT((Октябрь[№]=1)*Октябрь[16],Октябрь[Объем])</f>
        <v>0</v>
      </c>
      <c r="U13" s="23">
        <f>SUMPRODUCT((Октябрь[№]=1)*Октябрь[17],Октябрь[Объем])</f>
        <v>0</v>
      </c>
      <c r="V13" s="23">
        <f>SUMPRODUCT((Октябрь[№]=1)*Октябрь[18],Октябрь[Объем])</f>
        <v>0</v>
      </c>
      <c r="W13" s="23">
        <f>SUMPRODUCT((Октябрь[№]=1)*Октябрь[19],Октябрь[Объем])</f>
        <v>0</v>
      </c>
      <c r="X13" s="23">
        <f>SUMPRODUCT((Октябрь[№]=1)*Октябрь[20],Октябрь[Объем])</f>
        <v>0</v>
      </c>
      <c r="Y13" s="23">
        <f>SUMPRODUCT((Октябрь[№]=1)*Октябрь[21],Октябрь[Объем])</f>
        <v>0</v>
      </c>
      <c r="Z13" s="23">
        <f>SUMPRODUCT((Октябрь[№]=1)*Октябрь[22],Октябрь[Объем])</f>
        <v>0</v>
      </c>
      <c r="AA13" s="23">
        <f>SUMPRODUCT((Октябрь[№]=1)*Октябрь[23],Октябрь[Объем])</f>
        <v>0</v>
      </c>
      <c r="AB13" s="23">
        <f>SUMPRODUCT((Октябрь[№]=1)*Октябрь[24],Октябрь[Объем])</f>
        <v>0</v>
      </c>
      <c r="AC13" s="23">
        <f>SUMPRODUCT((Октябрь[№]=1)*Октябрь[25],Октябрь[Объем])</f>
        <v>0</v>
      </c>
      <c r="AD13" s="23">
        <f>SUMPRODUCT((Октябрь[№]=1)*Октябрь[26],Октябрь[Объем])</f>
        <v>0</v>
      </c>
      <c r="AE13" s="23">
        <f>SUMPRODUCT((Октябрь[№]=1)*Октябрь[27],Октябрь[Объем])</f>
        <v>0</v>
      </c>
      <c r="AF13" s="23">
        <f>SUMPRODUCT((Октябрь[№]=1)*Октябрь[28],Октябрь[Объем])</f>
        <v>0</v>
      </c>
      <c r="AG13" s="23">
        <f>SUMPRODUCT((Октябрь[№]=1)*Октябрь[29],Октябрь[Объем])</f>
        <v>0</v>
      </c>
      <c r="AH13" s="23">
        <f>SUMPRODUCT((Октябрь[№]=1)*Октябрь[30],Октябрь[Объем])</f>
        <v>0</v>
      </c>
      <c r="AI13" s="23">
        <f>SUMPRODUCT((Октябрь[№]=1)*Октябрь[31],Октябрь[Объем])</f>
        <v>0</v>
      </c>
      <c r="AL13" s="4"/>
    </row>
    <row r="14" spans="1:38" x14ac:dyDescent="0.25">
      <c r="B14" s="3">
        <f ca="1">SUMPRODUCT((Настройки!$G$30:$AK$30=2)*E16:AI16)</f>
        <v>0</v>
      </c>
      <c r="D14" s="5">
        <v>2</v>
      </c>
      <c r="E14" s="23">
        <f ca="1">SUMPRODUCT((Октябрь[№]=2)*Октябрь[1],OFFSET(Октябрь[Объем],-1,0))</f>
        <v>0</v>
      </c>
      <c r="F14" s="23">
        <f ca="1">SUMPRODUCT((Октябрь[№]=2)*Октябрь[2],OFFSET(Октябрь[Объем],-1,0))</f>
        <v>0</v>
      </c>
      <c r="G14" s="23">
        <f ca="1">SUMPRODUCT((Октябрь[№]=2)*Октябрь[3],OFFSET(Октябрь[Объем],-1,0))</f>
        <v>0</v>
      </c>
      <c r="H14" s="23">
        <f ca="1">SUMPRODUCT((Октябрь[№]=2)*Октябрь[4],OFFSET(Октябрь[Объем],-1,0))</f>
        <v>0</v>
      </c>
      <c r="I14" s="23">
        <f ca="1">SUMPRODUCT((Октябрь[№]=2)*Октябрь[5],OFFSET(Октябрь[Объем],-1,0))</f>
        <v>0</v>
      </c>
      <c r="J14" s="23">
        <f ca="1">SUMPRODUCT((Октябрь[№]=2)*Октябрь[6],OFFSET(Октябрь[Объем],-1,0))</f>
        <v>0</v>
      </c>
      <c r="K14" s="23">
        <f ca="1">SUMPRODUCT((Октябрь[№]=2)*Октябрь[7],OFFSET(Октябрь[Объем],-1,0))</f>
        <v>0</v>
      </c>
      <c r="L14" s="23">
        <f ca="1">SUMPRODUCT((Октябрь[№]=2)*Октябрь[8],OFFSET(Октябрь[Объем],-1,0))</f>
        <v>0</v>
      </c>
      <c r="M14" s="23">
        <f ca="1">SUMPRODUCT((Октябрь[№]=2)*Октябрь[9],OFFSET(Октябрь[Объем],-1,0))</f>
        <v>0</v>
      </c>
      <c r="N14" s="23">
        <f ca="1">SUMPRODUCT((Октябрь[№]=2)*Октябрь[10],OFFSET(Октябрь[Объем],-1,0))</f>
        <v>0</v>
      </c>
      <c r="O14" s="23">
        <f ca="1">SUMPRODUCT((Октябрь[№]=2)*Октябрь[11],OFFSET(Октябрь[Объем],-1,0))</f>
        <v>0</v>
      </c>
      <c r="P14" s="23">
        <f ca="1">SUMPRODUCT((Октябрь[№]=2)*Октябрь[12],OFFSET(Октябрь[Объем],-1,0))</f>
        <v>0</v>
      </c>
      <c r="Q14" s="23">
        <f ca="1">SUMPRODUCT((Октябрь[№]=2)*Октябрь[13],OFFSET(Октябрь[Объем],-1,0))</f>
        <v>0</v>
      </c>
      <c r="R14" s="23">
        <f ca="1">SUMPRODUCT((Октябрь[№]=2)*Октябрь[14],OFFSET(Октябрь[Объем],-1,0))</f>
        <v>0</v>
      </c>
      <c r="S14" s="23">
        <f ca="1">SUMPRODUCT((Октябрь[№]=2)*Октябрь[15],OFFSET(Октябрь[Объем],-1,0))</f>
        <v>0</v>
      </c>
      <c r="T14" s="23">
        <f ca="1">SUMPRODUCT((Октябрь[№]=2)*Октябрь[16],OFFSET(Октябрь[Объем],-1,0))</f>
        <v>0</v>
      </c>
      <c r="U14" s="23">
        <f ca="1">SUMPRODUCT((Октябрь[№]=2)*Октябрь[17],OFFSET(Октябрь[Объем],-1,0))</f>
        <v>0</v>
      </c>
      <c r="V14" s="23">
        <f ca="1">SUMPRODUCT((Октябрь[№]=2)*Октябрь[18],OFFSET(Октябрь[Объем],-1,0))</f>
        <v>0</v>
      </c>
      <c r="W14" s="23">
        <f ca="1">SUMPRODUCT((Октябрь[№]=2)*Октябрь[19],OFFSET(Октябрь[Объем],-1,0))</f>
        <v>0</v>
      </c>
      <c r="X14" s="23">
        <f ca="1">SUMPRODUCT((Октябрь[№]=2)*Октябрь[20],OFFSET(Октябрь[Объем],-1,0))</f>
        <v>0</v>
      </c>
      <c r="Y14" s="23">
        <f ca="1">SUMPRODUCT((Октябрь[№]=2)*Октябрь[21],OFFSET(Октябрь[Объем],-1,0))</f>
        <v>0</v>
      </c>
      <c r="Z14" s="23">
        <f ca="1">SUMPRODUCT((Октябрь[№]=2)*Октябрь[22],OFFSET(Октябрь[Объем],-1,0))</f>
        <v>0</v>
      </c>
      <c r="AA14" s="23">
        <f ca="1">SUMPRODUCT((Октябрь[№]=2)*Октябрь[23],OFFSET(Октябрь[Объем],-1,0))</f>
        <v>0</v>
      </c>
      <c r="AB14" s="23">
        <f ca="1">SUMPRODUCT((Октябрь[№]=2)*Октябрь[24],OFFSET(Октябрь[Объем],-1,0))</f>
        <v>0</v>
      </c>
      <c r="AC14" s="23">
        <f ca="1">SUMPRODUCT((Октябрь[№]=2)*Октябрь[25],OFFSET(Октябрь[Объем],-1,0))</f>
        <v>0</v>
      </c>
      <c r="AD14" s="23">
        <f ca="1">SUMPRODUCT((Октябрь[№]=2)*Октябрь[26],OFFSET(Октябрь[Объем],-1,0))</f>
        <v>0</v>
      </c>
      <c r="AE14" s="23">
        <f ca="1">SUMPRODUCT((Октябрь[№]=2)*Октябрь[27],OFFSET(Октябрь[Объем],-1,0))</f>
        <v>0</v>
      </c>
      <c r="AF14" s="23">
        <f ca="1">SUMPRODUCT((Октябрь[№]=2)*Октябрь[28],OFFSET(Октябрь[Объем],-1,0))</f>
        <v>0</v>
      </c>
      <c r="AG14" s="23">
        <f ca="1">SUMPRODUCT((Октябрь[№]=2)*Октябрь[29],OFFSET(Октябрь[Объем],-1,0))</f>
        <v>0</v>
      </c>
      <c r="AH14" s="23">
        <f ca="1">SUMPRODUCT((Октябрь[№]=2)*Октябрь[30],OFFSET(Октябрь[Объем],-1,0))</f>
        <v>0</v>
      </c>
      <c r="AI14" s="23">
        <f ca="1">SUMPRODUCT((Октябрь[№]=2)*Октябрь[31],OFFSET(Октябрь[Объем],-1,0))</f>
        <v>0</v>
      </c>
      <c r="AL14" s="4"/>
    </row>
    <row r="15" spans="1:38" x14ac:dyDescent="0.25">
      <c r="B15" s="3">
        <f ca="1">SUMPRODUCT((Настройки!$G$30:$AK$30=3)*E16:AI16)</f>
        <v>0</v>
      </c>
      <c r="D15" s="5">
        <v>3</v>
      </c>
      <c r="E15" s="23">
        <f ca="1">SUMPRODUCT((Октябрь[№]=3)*Октябрь[1],OFFSET(Октябрь[Объем],-2,0))</f>
        <v>0</v>
      </c>
      <c r="F15" s="23">
        <f ca="1">SUMPRODUCT((Октябрь[№]=3)*Октябрь[2],OFFSET(Октябрь[Объем],-2,0))</f>
        <v>0</v>
      </c>
      <c r="G15" s="23">
        <f ca="1">SUMPRODUCT((Октябрь[№]=3)*Октябрь[3],OFFSET(Октябрь[Объем],-2,0))</f>
        <v>0</v>
      </c>
      <c r="H15" s="23">
        <f ca="1">SUMPRODUCT((Октябрь[№]=3)*Октябрь[4],OFFSET(Октябрь[Объем],-2,0))</f>
        <v>0</v>
      </c>
      <c r="I15" s="23">
        <f ca="1">SUMPRODUCT((Октябрь[№]=3)*Октябрь[5],OFFSET(Октябрь[Объем],-2,0))</f>
        <v>0</v>
      </c>
      <c r="J15" s="23">
        <f ca="1">SUMPRODUCT((Октябрь[№]=3)*Октябрь[6],OFFSET(Октябрь[Объем],-2,0))</f>
        <v>0</v>
      </c>
      <c r="K15" s="23">
        <f ca="1">SUMPRODUCT((Октябрь[№]=3)*Октябрь[7],OFFSET(Октябрь[Объем],-2,0))</f>
        <v>0</v>
      </c>
      <c r="L15" s="23">
        <f ca="1">SUMPRODUCT((Октябрь[№]=3)*Октябрь[8],OFFSET(Октябрь[Объем],-2,0))</f>
        <v>0</v>
      </c>
      <c r="M15" s="23">
        <f ca="1">SUMPRODUCT((Октябрь[№]=3)*Октябрь[9],OFFSET(Октябрь[Объем],-2,0))</f>
        <v>0</v>
      </c>
      <c r="N15" s="23">
        <f ca="1">SUMPRODUCT((Октябрь[№]=3)*Октябрь[10],OFFSET(Октябрь[Объем],-2,0))</f>
        <v>0</v>
      </c>
      <c r="O15" s="23">
        <f ca="1">SUMPRODUCT((Октябрь[№]=3)*Октябрь[11],OFFSET(Октябрь[Объем],-2,0))</f>
        <v>0</v>
      </c>
      <c r="P15" s="23">
        <f ca="1">SUMPRODUCT((Октябрь[№]=3)*Октябрь[12],OFFSET(Октябрь[Объем],-2,0))</f>
        <v>0</v>
      </c>
      <c r="Q15" s="23">
        <f ca="1">SUMPRODUCT((Октябрь[№]=3)*Октябрь[13],OFFSET(Октябрь[Объем],-2,0))</f>
        <v>0</v>
      </c>
      <c r="R15" s="23">
        <f ca="1">SUMPRODUCT((Октябрь[№]=3)*Октябрь[14],OFFSET(Октябрь[Объем],-2,0))</f>
        <v>0</v>
      </c>
      <c r="S15" s="23">
        <f ca="1">SUMPRODUCT((Октябрь[№]=3)*Октябрь[15],OFFSET(Октябрь[Объем],-2,0))</f>
        <v>0</v>
      </c>
      <c r="T15" s="23">
        <f ca="1">SUMPRODUCT((Октябрь[№]=3)*Октябрь[16],OFFSET(Октябрь[Объем],-2,0))</f>
        <v>0</v>
      </c>
      <c r="U15" s="23">
        <f ca="1">SUMPRODUCT((Октябрь[№]=3)*Октябрь[17],OFFSET(Октябрь[Объем],-2,0))</f>
        <v>0</v>
      </c>
      <c r="V15" s="23">
        <f ca="1">SUMPRODUCT((Октябрь[№]=3)*Октябрь[18],OFFSET(Октябрь[Объем],-2,0))</f>
        <v>0</v>
      </c>
      <c r="W15" s="23">
        <f ca="1">SUMPRODUCT((Октябрь[№]=3)*Октябрь[19],OFFSET(Октябрь[Объем],-2,0))</f>
        <v>0</v>
      </c>
      <c r="X15" s="23">
        <f ca="1">SUMPRODUCT((Октябрь[№]=3)*Октябрь[20],OFFSET(Октябрь[Объем],-2,0))</f>
        <v>0</v>
      </c>
      <c r="Y15" s="23">
        <f ca="1">SUMPRODUCT((Октябрь[№]=3)*Октябрь[21],OFFSET(Октябрь[Объем],-2,0))</f>
        <v>0</v>
      </c>
      <c r="Z15" s="23">
        <f ca="1">SUMPRODUCT((Октябрь[№]=3)*Октябрь[22],OFFSET(Октябрь[Объем],-2,0))</f>
        <v>0</v>
      </c>
      <c r="AA15" s="23">
        <f ca="1">SUMPRODUCT((Октябрь[№]=3)*Октябрь[23],OFFSET(Октябрь[Объем],-2,0))</f>
        <v>0</v>
      </c>
      <c r="AB15" s="23">
        <f ca="1">SUMPRODUCT((Октябрь[№]=3)*Октябрь[24],OFFSET(Октябрь[Объем],-2,0))</f>
        <v>0</v>
      </c>
      <c r="AC15" s="23">
        <f ca="1">SUMPRODUCT((Октябрь[№]=3)*Октябрь[25],OFFSET(Октябрь[Объем],-2,0))</f>
        <v>0</v>
      </c>
      <c r="AD15" s="23">
        <f ca="1">SUMPRODUCT((Октябрь[№]=3)*Октябрь[26],OFFSET(Октябрь[Объем],-2,0))</f>
        <v>0</v>
      </c>
      <c r="AE15" s="23">
        <f ca="1">SUMPRODUCT((Октябрь[№]=3)*Октябрь[27],OFFSET(Октябрь[Объем],-2,0))</f>
        <v>0</v>
      </c>
      <c r="AF15" s="23">
        <f ca="1">SUMPRODUCT((Октябрь[№]=3)*Октябрь[28],OFFSET(Октябрь[Объем],-2,0))</f>
        <v>0</v>
      </c>
      <c r="AG15" s="23">
        <f ca="1">SUMPRODUCT((Октябрь[№]=3)*Октябрь[29],OFFSET(Октябрь[Объем],-2,0))</f>
        <v>0</v>
      </c>
      <c r="AH15" s="23">
        <f ca="1">SUMPRODUCT((Октябрь[№]=3)*Октябрь[30],OFFSET(Октябрь[Объем],-2,0))</f>
        <v>0</v>
      </c>
      <c r="AI15" s="23">
        <f ca="1">SUMPRODUCT((Октябрь[№]=3)*Октябрь[31],OFFSET(Октябрь[Объем],-2,0))</f>
        <v>0</v>
      </c>
      <c r="AK15" s="9"/>
    </row>
    <row r="16" spans="1:38" x14ac:dyDescent="0.25">
      <c r="B16" s="3">
        <f ca="1">SUMPRODUCT((Настройки!$G$30:$AK$30=4)*E16:AI16)</f>
        <v>0</v>
      </c>
      <c r="D16" s="5"/>
      <c r="E16" s="2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I16" s="23">
        <f ca="1">SUM(AI13:AI15)</f>
        <v>0</v>
      </c>
      <c r="AK16" s="9"/>
    </row>
    <row r="17" spans="1:37" x14ac:dyDescent="0.25">
      <c r="B17" s="3">
        <f ca="1">SUMPRODUCT((Настройки!$G$30:$AK$30=5)*E16:AI16)</f>
        <v>0</v>
      </c>
      <c r="C17" s="5">
        <f ca="1">ОктябрьИтоги[[#This Row],[№]]*60</f>
        <v>0</v>
      </c>
      <c r="D17" s="7">
        <f ca="1">SUM(ОктябрьИтоги[[#This Row],[1]:[31]])</f>
        <v>0</v>
      </c>
      <c r="E17" s="24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24">
        <f ca="1">AI16/60</f>
        <v>0</v>
      </c>
      <c r="AJ17" s="5">
        <f ca="1">SUM(Октябрь[УСЛУГ])</f>
        <v>0</v>
      </c>
      <c r="AK17" s="15">
        <f ca="1">SUM(Октябрь[МИНУТ])</f>
        <v>0</v>
      </c>
    </row>
    <row r="18" spans="1:37" x14ac:dyDescent="0.25">
      <c r="B18" s="13">
        <f ca="1">SUMPRODUCT((Настройки!$G$30:$AK$30=6)*E16:AI16)</f>
        <v>0</v>
      </c>
      <c r="C18" s="13"/>
      <c r="D18" s="7"/>
      <c r="E18" s="46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46"/>
      <c r="AJ18" s="13"/>
      <c r="AK18" s="45"/>
    </row>
    <row r="20" spans="1:37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9"/>
      <c r="AJ20" s="63" t="s">
        <v>64</v>
      </c>
      <c r="AK20" s="64" t="s">
        <v>64</v>
      </c>
    </row>
    <row r="21" spans="1:37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78"/>
      <c r="AJ21" s="63"/>
      <c r="AK21" s="65"/>
    </row>
    <row r="22" spans="1:37" x14ac:dyDescent="0.25">
      <c r="A22" s="73"/>
      <c r="B22" s="73"/>
      <c r="C22" s="74"/>
      <c r="D22" s="76"/>
      <c r="E22" s="20">
        <f>Настройки!G16</f>
        <v>45566</v>
      </c>
      <c r="F22" s="20">
        <f>Настройки!H16</f>
        <v>45567</v>
      </c>
      <c r="G22" s="20">
        <f>Настройки!I16</f>
        <v>45568</v>
      </c>
      <c r="H22" s="20">
        <f>Настройки!J16</f>
        <v>45569</v>
      </c>
      <c r="I22" s="20">
        <f>Настройки!K16</f>
        <v>45570</v>
      </c>
      <c r="J22" s="20">
        <f>Настройки!L16</f>
        <v>45571</v>
      </c>
      <c r="K22" s="20">
        <f>Настройки!M16</f>
        <v>45572</v>
      </c>
      <c r="L22" s="20">
        <f>Настройки!N16</f>
        <v>45573</v>
      </c>
      <c r="M22" s="20">
        <f>Настройки!O16</f>
        <v>45574</v>
      </c>
      <c r="N22" s="20">
        <f>Настройки!P16</f>
        <v>45575</v>
      </c>
      <c r="O22" s="20">
        <f>Настройки!Q16</f>
        <v>45576</v>
      </c>
      <c r="P22" s="20">
        <f>Настройки!R16</f>
        <v>45577</v>
      </c>
      <c r="Q22" s="20">
        <f>Настройки!S16</f>
        <v>45578</v>
      </c>
      <c r="R22" s="20">
        <f>Настройки!T16</f>
        <v>45579</v>
      </c>
      <c r="S22" s="20">
        <f>Настройки!U16</f>
        <v>45580</v>
      </c>
      <c r="T22" s="20">
        <f>Настройки!V16</f>
        <v>45581</v>
      </c>
      <c r="U22" s="20">
        <f>Настройки!W16</f>
        <v>45582</v>
      </c>
      <c r="V22" s="20">
        <f>Настройки!X16</f>
        <v>45583</v>
      </c>
      <c r="W22" s="20">
        <f>Настройки!Y16</f>
        <v>45584</v>
      </c>
      <c r="X22" s="20">
        <f>Настройки!Z16</f>
        <v>45585</v>
      </c>
      <c r="Y22" s="20">
        <f>Настройки!AA16</f>
        <v>45586</v>
      </c>
      <c r="Z22" s="20">
        <f>Настройки!AB16</f>
        <v>45587</v>
      </c>
      <c r="AA22" s="20">
        <f>Настройки!AC16</f>
        <v>45588</v>
      </c>
      <c r="AB22" s="20">
        <f>Настройки!AD16</f>
        <v>45589</v>
      </c>
      <c r="AC22" s="20">
        <f>Настройки!AE16</f>
        <v>45590</v>
      </c>
      <c r="AD22" s="20">
        <f>Настройки!AF16</f>
        <v>45591</v>
      </c>
      <c r="AE22" s="20">
        <f>Настройки!AG16</f>
        <v>45592</v>
      </c>
      <c r="AF22" s="20">
        <f>Настройки!AH16</f>
        <v>45593</v>
      </c>
      <c r="AG22" s="20">
        <f>Настройки!AI16</f>
        <v>45594</v>
      </c>
      <c r="AH22" s="20">
        <f>Настройки!AJ16</f>
        <v>45595</v>
      </c>
      <c r="AI22" s="20">
        <f>Настройки!AK16</f>
        <v>45596</v>
      </c>
      <c r="AJ22" s="63"/>
      <c r="AK22" s="65"/>
    </row>
    <row r="23" spans="1:37" x14ac:dyDescent="0.25">
      <c r="A23" s="73"/>
      <c r="B23" s="73"/>
      <c r="C23" s="74"/>
      <c r="D23" s="76"/>
      <c r="E23" s="73" t="s">
        <v>54</v>
      </c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9"/>
      <c r="AJ23" s="63"/>
      <c r="AK23" s="65"/>
    </row>
    <row r="24" spans="1:37" x14ac:dyDescent="0.25">
      <c r="A24" s="73"/>
      <c r="B24" s="73"/>
      <c r="C24" s="74"/>
      <c r="D24" s="76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9"/>
      <c r="AJ24" s="63"/>
      <c r="AK24" s="66"/>
    </row>
    <row r="25" spans="1:37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IF(Октябрь[[#This Row],[№]]=1,SUM(Октябрь[[#This Row],[1]:[31]])+SUM(OFFSET(Октябрь[[#This Row],[1]:[31]],1,0))+SUM(OFFSET(Октябрь[[#This Row],[1]:[31]],2,0)),"")</f>
        <v>0</v>
      </c>
      <c r="AK26" s="5">
        <f ca="1">IF(Октябрь[[#This Row],[УСЛУГ]]&lt;&gt;"",Октябрь[[#This Row],[УСЛУГ]]*Октябрь[[#This Row],[Объем]],"")</f>
        <v>0</v>
      </c>
    </row>
    <row r="27" spans="1:37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IF(Октябрь[[#This Row],[№]]=1,SUM(Октябрь[[#This Row],[1]:[31]])+SUM(OFFSET(Октябрь[[#This Row],[1]:[31]],1,0))+SUM(OFFSET(Октябрь[[#This Row],[1]:[31]],2,0)),"")</f>
        <v/>
      </c>
      <c r="AK27" s="5" t="str">
        <f ca="1">IF(Октябрь[[#This Row],[УСЛУГ]]&lt;&gt;"",Октябрь[[#This Row],[УСЛУГ]]*Октябрь[[#This Row],[Объем]],"")</f>
        <v/>
      </c>
    </row>
    <row r="28" spans="1:37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IF(Октябрь[[#This Row],[№]]=1,SUM(Октябрь[[#This Row],[1]:[31]])+SUM(OFFSET(Октябрь[[#This Row],[1]:[31]],1,0))+SUM(OFFSET(Октябрь[[#This Row],[1]:[31]],2,0)),"")</f>
        <v/>
      </c>
      <c r="AK28" s="5" t="str">
        <f ca="1">IF(Октябрь[[#This Row],[УСЛУГ]]&lt;&gt;"",Октябрь[[#This Row],[УСЛУГ]]*Октябрь[[#This Row],[Объем]],"")</f>
        <v/>
      </c>
    </row>
  </sheetData>
  <mergeCells count="20">
    <mergeCell ref="A2:AJ2"/>
    <mergeCell ref="A3:AJ3"/>
    <mergeCell ref="J4:L4"/>
    <mergeCell ref="M4:U4"/>
    <mergeCell ref="M5:Q5"/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</mergeCells>
  <conditionalFormatting sqref="E9:AI9">
    <cfRule type="expression" dxfId="335" priority="2">
      <formula>WEEKDAY(E9:AI9,2)&gt;5</formula>
    </cfRule>
  </conditionalFormatting>
  <conditionalFormatting sqref="E22:AI22">
    <cfRule type="expression" dxfId="334" priority="1">
      <formula>WEEKDAY(E22:AI22,2)&gt;5</formula>
    </cfRule>
  </conditionalFormatting>
  <dataValidations count="2">
    <dataValidation type="list" allowBlank="1" showInputMessage="1" showErrorMessage="1" sqref="D26:D28">
      <formula1>INDIRECT("Посещения")</formula1>
    </dataValidation>
    <dataValidation type="list" allowBlank="1" showInputMessage="1" showErrorMessage="1" sqref="A26:A28">
      <formula1>INDIRECT("Услуги[Кратко]")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AI13:AK13 B13:B18 E16:E17 AI16:AK17 AJ14:AK14 AJ15:AK15 E14:AI15" calculatedColumn="1"/>
  </ignoredErrors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7" tint="0.39997558519241921"/>
    <pageSetUpPr fitToPage="1"/>
  </sheetPr>
  <dimension ref="A2:AF36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129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Настройки!G16</f>
        <v>45566</v>
      </c>
      <c r="C10" s="29">
        <f>Настройки!H16</f>
        <v>45567</v>
      </c>
      <c r="D10" s="29">
        <f>Настройки!I16</f>
        <v>45568</v>
      </c>
      <c r="E10" s="29">
        <f>Настройки!J16</f>
        <v>45569</v>
      </c>
      <c r="F10" s="29">
        <f>Настройки!K16</f>
        <v>45570</v>
      </c>
      <c r="G10" s="29">
        <f>Настройки!L16</f>
        <v>45571</v>
      </c>
      <c r="H10" s="29">
        <f>Настройки!M16</f>
        <v>45572</v>
      </c>
      <c r="I10" s="29">
        <f>Настройки!N16</f>
        <v>45573</v>
      </c>
      <c r="J10" s="29">
        <f>Настройки!O16</f>
        <v>45574</v>
      </c>
      <c r="K10" s="29">
        <f>Настройки!P16</f>
        <v>45575</v>
      </c>
      <c r="L10" s="29">
        <f>Настройки!Q16</f>
        <v>45576</v>
      </c>
      <c r="M10" s="29">
        <f>Настройки!R16</f>
        <v>45577</v>
      </c>
      <c r="N10" s="29">
        <f>Настройки!S16</f>
        <v>45578</v>
      </c>
      <c r="O10" s="29">
        <f>Настройки!T16</f>
        <v>45579</v>
      </c>
      <c r="P10" s="29">
        <f>Настройки!U16</f>
        <v>45580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IF(Настройки!J2&lt;&gt;"",TEXT(MIN(Настройки!G90:AK90,Настройки!J2),"ч:мм")&amp;"-"&amp;TEXT(MAX(Настройки!G90:AK90,Настройки!J2)+TIME(0,MAX(Октябрь!E13:AI13),0),"ч:мм"),"")</f>
        <v>9:00-9:00</v>
      </c>
      <c r="B14" s="30" t="str">
        <f>IF(TEXT(IF(Настройки!G90="",TEXT(Настройки!$J2,"ч:мм"),TEXT(Настройки!G90,"ч:мм"))+TIME(0,Октябрь!E13,0),"ч::мм")=TEXT(IF(Настройки!G90="",TEXT(Настройки!$J2,"ч:мм"),TEXT(Настройки!G90,"ч:мм")),"ч:мм"),"",TEXT(IF(Настройки!G90="",TEXT(Настройки!$J2,"ч:мм"),TEXT(Настройки!G90,"ч:мм")),"ч:мм")&amp;"-"&amp;TEXT(IF(Настройки!G90="",TEXT(Настройки!$J2,"ч:мм"),TEXT(Настройки!G90,"ч:мм"))+TIME(0,Октябрь!E13,0),"ч::мм"))</f>
        <v/>
      </c>
      <c r="C14" s="30" t="str">
        <f>IF(TEXT(IF(Настройки!H90="",TEXT(Настройки!$J2,"ч:мм"),TEXT(Настройки!H90,"ч:мм"))+TIME(0,Октябрь!F13,0),"ч::мм")=TEXT(IF(Настройки!H90="",TEXT(Настройки!$J2,"ч:мм"),TEXT(Настройки!H90,"ч:мм")),"ч:мм"),"",TEXT(IF(Настройки!H90="",TEXT(Настройки!$J2,"ч:мм"),TEXT(Настройки!H90,"ч:мм")),"ч:мм")&amp;"-"&amp;TEXT(IF(Настройки!H90="",TEXT(Настройки!$J2,"ч:мм"),TEXT(Настройки!H90,"ч:мм"))+TIME(0,Октябрь!F13,0),"ч::мм"))</f>
        <v/>
      </c>
      <c r="D14" s="30" t="str">
        <f>IF(TEXT(IF(Настройки!I90="",TEXT(Настройки!$J2,"ч:мм"),TEXT(Настройки!I90,"ч:мм"))+TIME(0,Октябрь!G13,0),"ч::мм")=TEXT(IF(Настройки!I90="",TEXT(Настройки!$J2,"ч:мм"),TEXT(Настройки!I90,"ч:мм")),"ч:мм"),"",TEXT(IF(Настройки!I90="",TEXT(Настройки!$J2,"ч:мм"),TEXT(Настройки!I90,"ч:мм")),"ч:мм")&amp;"-"&amp;TEXT(IF(Настройки!I90="",TEXT(Настройки!$J2,"ч:мм"),TEXT(Настройки!I90,"ч:мм"))+TIME(0,Октябрь!G13,0),"ч::мм"))</f>
        <v/>
      </c>
      <c r="E14" s="30" t="str">
        <f>IF(TEXT(IF(Настройки!J90="",TEXT(Настройки!$J2,"ч:мм"),TEXT(Настройки!J90,"ч:мм"))+TIME(0,Октябрь!H13,0),"ч::мм")=TEXT(IF(Настройки!J90="",TEXT(Настройки!$J2,"ч:мм"),TEXT(Настройки!J90,"ч:мм")),"ч:мм"),"",TEXT(IF(Настройки!J90="",TEXT(Настройки!$J2,"ч:мм"),TEXT(Настройки!J90,"ч:мм")),"ч:мм")&amp;"-"&amp;TEXT(IF(Настройки!J90="",TEXT(Настройки!$J2,"ч:мм"),TEXT(Настройки!J90,"ч:мм"))+TIME(0,Октябрь!H13,0),"ч::мм"))</f>
        <v/>
      </c>
      <c r="F14" s="30" t="str">
        <f>IF(TEXT(IF(Настройки!K90="",TEXT(Настройки!$J2,"ч:мм"),TEXT(Настройки!K90,"ч:мм"))+TIME(0,Октябрь!I13,0),"ч::мм")=TEXT(IF(Настройки!K90="",TEXT(Настройки!$J2,"ч:мм"),TEXT(Настройки!K90,"ч:мм")),"ч:мм"),"",TEXT(IF(Настройки!K90="",TEXT(Настройки!$J2,"ч:мм"),TEXT(Настройки!K90,"ч:мм")),"ч:мм")&amp;"-"&amp;TEXT(IF(Настройки!K90="",TEXT(Настройки!$J2,"ч:мм"),TEXT(Настройки!K90,"ч:мм"))+TIME(0,Октябрь!I13,0),"ч::мм"))</f>
        <v/>
      </c>
      <c r="G14" s="30" t="str">
        <f>IF(TEXT(IF(Настройки!L90="",TEXT(Настройки!$J2,"ч:мм"),TEXT(Настройки!L90,"ч:мм"))+TIME(0,Октябрь!J13,0),"ч::мм")=TEXT(IF(Настройки!L90="",TEXT(Настройки!$J2,"ч:мм"),TEXT(Настройки!L90,"ч:мм")),"ч:мм"),"",TEXT(IF(Настройки!L90="",TEXT(Настройки!$J2,"ч:мм"),TEXT(Настройки!L90,"ч:мм")),"ч:мм")&amp;"-"&amp;TEXT(IF(Настройки!L90="",TEXT(Настройки!$J2,"ч:мм"),TEXT(Настройки!L90,"ч:мм"))+TIME(0,Октябрь!J13,0),"ч::мм"))</f>
        <v/>
      </c>
      <c r="H14" s="30" t="str">
        <f>IF(TEXT(IF(Настройки!M90="",TEXT(Настройки!$J2,"ч:мм"),TEXT(Настройки!M90,"ч:мм"))+TIME(0,Октябрь!K13,0),"ч::мм")=TEXT(IF(Настройки!M90="",TEXT(Настройки!$J2,"ч:мм"),TEXT(Настройки!M90,"ч:мм")),"ч:мм"),"",TEXT(IF(Настройки!M90="",TEXT(Настройки!$J2,"ч:мм"),TEXT(Настройки!M90,"ч:мм")),"ч:мм")&amp;"-"&amp;TEXT(IF(Настройки!M90="",TEXT(Настройки!$J2,"ч:мм"),TEXT(Настройки!M90,"ч:мм"))+TIME(0,Октябрь!K13,0),"ч::мм"))</f>
        <v/>
      </c>
      <c r="I14" s="30" t="str">
        <f>IF(TEXT(IF(Настройки!N90="",TEXT(Настройки!$J2,"ч:мм"),TEXT(Настройки!N90,"ч:мм"))+TIME(0,Октябрь!L13,0),"ч::мм")=TEXT(IF(Настройки!N90="",TEXT(Настройки!$J2,"ч:мм"),TEXT(Настройки!N90,"ч:мм")),"ч:мм"),"",TEXT(IF(Настройки!N90="",TEXT(Настройки!$J2,"ч:мм"),TEXT(Настройки!N90,"ч:мм")),"ч:мм")&amp;"-"&amp;TEXT(IF(Настройки!N90="",TEXT(Настройки!$J2,"ч:мм"),TEXT(Настройки!N90,"ч:мм"))+TIME(0,Октябрь!L13,0),"ч::мм"))</f>
        <v/>
      </c>
      <c r="J14" s="30" t="str">
        <f>IF(TEXT(IF(Настройки!O90="",TEXT(Настройки!$J2,"ч:мм"),TEXT(Настройки!O90,"ч:мм"))+TIME(0,Октябрь!M13,0),"ч::мм")=TEXT(IF(Настройки!O90="",TEXT(Настройки!$J2,"ч:мм"),TEXT(Настройки!O90,"ч:мм")),"ч:мм"),"",TEXT(IF(Настройки!O90="",TEXT(Настройки!$J2,"ч:мм"),TEXT(Настройки!O90,"ч:мм")),"ч:мм")&amp;"-"&amp;TEXT(IF(Настройки!O90="",TEXT(Настройки!$J2,"ч:мм"),TEXT(Настройки!O90,"ч:мм"))+TIME(0,Октябрь!M13,0),"ч::мм"))</f>
        <v/>
      </c>
      <c r="K14" s="30" t="str">
        <f>IF(TEXT(IF(Настройки!P90="",TEXT(Настройки!$J2,"ч:мм"),TEXT(Настройки!P90,"ч:мм"))+TIME(0,Октябрь!N13,0),"ч::мм")=TEXT(IF(Настройки!P90="",TEXT(Настройки!$J2,"ч:мм"),TEXT(Настройки!P90,"ч:мм")),"ч:мм"),"",TEXT(IF(Настройки!P90="",TEXT(Настройки!$J2,"ч:мм"),TEXT(Настройки!P90,"ч:мм")),"ч:мм")&amp;"-"&amp;TEXT(IF(Настройки!P90="",TEXT(Настройки!$J2,"ч:мм"),TEXT(Настройки!P90,"ч:мм"))+TIME(0,Октябрь!N13,0),"ч::мм"))</f>
        <v/>
      </c>
      <c r="L14" s="30" t="str">
        <f>IF(TEXT(IF(Настройки!Q90="",TEXT(Настройки!$J2,"ч:мм"),TEXT(Настройки!Q90,"ч:мм"))+TIME(0,Октябрь!O13,0),"ч::мм")=TEXT(IF(Настройки!Q90="",TEXT(Настройки!$J2,"ч:мм"),TEXT(Настройки!Q90,"ч:мм")),"ч:мм"),"",TEXT(IF(Настройки!Q90="",TEXT(Настройки!$J2,"ч:мм"),TEXT(Настройки!Q90,"ч:мм")),"ч:мм")&amp;"-"&amp;TEXT(IF(Настройки!Q90="",TEXT(Настройки!$J2,"ч:мм"),TEXT(Настройки!Q90,"ч:мм"))+TIME(0,Октябрь!O13,0),"ч::мм"))</f>
        <v/>
      </c>
      <c r="M14" s="30" t="str">
        <f>IF(TEXT(IF(Настройки!R90="",TEXT(Настройки!$J2,"ч:мм"),TEXT(Настройки!R90,"ч:мм"))+TIME(0,Октябрь!P13,0),"ч::мм")=TEXT(IF(Настройки!R90="",TEXT(Настройки!$J2,"ч:мм"),TEXT(Настройки!R90,"ч:мм")),"ч:мм"),"",TEXT(IF(Настройки!R90="",TEXT(Настройки!$J2,"ч:мм"),TEXT(Настройки!R90,"ч:мм")),"ч:мм")&amp;"-"&amp;TEXT(IF(Настройки!R90="",TEXT(Настройки!$J2,"ч:мм"),TEXT(Настройки!R90,"ч:мм"))+TIME(0,Октябрь!P13,0),"ч::мм"))</f>
        <v/>
      </c>
      <c r="N14" s="30" t="str">
        <f>IF(TEXT(IF(Настройки!S90="",TEXT(Настройки!$J2,"ч:мм"),TEXT(Настройки!S90,"ч:мм"))+TIME(0,Октябрь!Q13,0),"ч::мм")=TEXT(IF(Настройки!S90="",TEXT(Настройки!$J2,"ч:мм"),TEXT(Настройки!S90,"ч:мм")),"ч:мм"),"",TEXT(IF(Настройки!S90="",TEXT(Настройки!$J2,"ч:мм"),TEXT(Настройки!S90,"ч:мм")),"ч:мм")&amp;"-"&amp;TEXT(IF(Настройки!S90="",TEXT(Настройки!$J2,"ч:мм"),TEXT(Настройки!S90,"ч:мм"))+TIME(0,Октябрь!Q13,0),"ч::мм"))</f>
        <v/>
      </c>
      <c r="O14" s="30" t="str">
        <f>IF(TEXT(IF(Настройки!T90="",TEXT(Настройки!$J2,"ч:мм"),TEXT(Настройки!T90,"ч:мм"))+TIME(0,Октябрь!R13,0),"ч::мм")=TEXT(IF(Настройки!T90="",TEXT(Настройки!$J2,"ч:мм"),TEXT(Настройки!T90,"ч:мм")),"ч:мм"),"",TEXT(IF(Настройки!T90="",TEXT(Настройки!$J2,"ч:мм"),TEXT(Настройки!T90,"ч:мм")),"ч:мм")&amp;"-"&amp;TEXT(IF(Настройки!T90="",TEXT(Настройки!$J2,"ч:мм"),TEXT(Настройки!T90,"ч:мм"))+TIME(0,Октябрь!R13,0),"ч::мм"))</f>
        <v/>
      </c>
      <c r="P14" s="30" t="str">
        <f>IF(TEXT(IF(Настройки!U90="",TEXT(Настройки!$J2,"ч:мм"),TEXT(Настройки!U90,"ч:мм"))+TIME(0,Октябрь!S13,0),"ч::мм")=TEXT(IF(Настройки!U90="",TEXT(Настройки!$J2,"ч:мм"),TEXT(Настройки!U90,"ч:мм")),"ч:мм"),"",TEXT(IF(Настройки!U90="",TEXT(Настройки!$J2,"ч:мм"),TEXT(Настройки!U90,"ч:мм")),"ч:мм")&amp;"-"&amp;TEXT(IF(Настройки!U90="",TEXT(Настройки!$J2,"ч:мм"),TEXT(Настройки!U90,"ч:мм"))+TIME(0,Октябрь!S13,0),"ч::мм"))</f>
        <v/>
      </c>
      <c r="R14" s="30"/>
    </row>
    <row r="15" spans="1:32" x14ac:dyDescent="0.25">
      <c r="A15" s="32" t="str">
        <f ca="1">IF(Настройки!J3&lt;&gt;"",TEXT(MIN(Настройки!G91:AK91,Настройки!J3),"ч:мм")&amp;"-"&amp;TEXT(MAX(Настройки!G91:AK91,Настройки!J3)+TIME(0,MAX(Октябрь!E14:AI14),0),"ч:мм"),"")</f>
        <v>13:00-13:00</v>
      </c>
      <c r="B15" s="30" t="str">
        <f ca="1">IF(TEXT(IF(Настройки!G91="",TEXT(Настройки!$J3,"ч:мм"),TEXT(Настройки!G91,"ч:мм"))+TIME(0,Октябрь!E14,0),"ч::мм")=TEXT(IF(Настройки!G91="",TEXT(Настройки!$J3,"ч:мм"),TEXT(Настройки!G91,"ч:мм")),"ч:мм"),"",TEXT(IF(Настройки!G91="",TEXT(Настройки!$J3,"ч:мм"),TEXT(Настройки!G91,"ч:мм")),"ч:мм")&amp;"-"&amp;TEXT(IF(Настройки!G91="",TEXT(Настройки!$J3,"ч:мм"),TEXT(Настройки!G91,"ч:мм"))+TIME(0,Октябрь!E14,0),"ч::мм"))</f>
        <v/>
      </c>
      <c r="C15" s="30" t="str">
        <f ca="1">IF(TEXT(IF(Настройки!H91="",TEXT(Настройки!$J3,"ч:мм"),TEXT(Настройки!H91,"ч:мм"))+TIME(0,Октябрь!F14,0),"ч::мм")=TEXT(IF(Настройки!H91="",TEXT(Настройки!$J3,"ч:мм"),TEXT(Настройки!H91,"ч:мм")),"ч:мм"),"",TEXT(IF(Настройки!H91="",TEXT(Настройки!$J3,"ч:мм"),TEXT(Настройки!H91,"ч:мм")),"ч:мм")&amp;"-"&amp;TEXT(IF(Настройки!H91="",TEXT(Настройки!$J3,"ч:мм"),TEXT(Настройки!H91,"ч:мм"))+TIME(0,Октябрь!F14,0),"ч::мм"))</f>
        <v/>
      </c>
      <c r="D15" s="30" t="str">
        <f ca="1">IF(TEXT(IF(Настройки!I91="",TEXT(Настройки!$J3,"ч:мм"),TEXT(Настройки!I91,"ч:мм"))+TIME(0,Октябрь!G14,0),"ч::мм")=TEXT(IF(Настройки!I91="",TEXT(Настройки!$J3,"ч:мм"),TEXT(Настройки!I91,"ч:мм")),"ч:мм"),"",TEXT(IF(Настройки!I91="",TEXT(Настройки!$J3,"ч:мм"),TEXT(Настройки!I91,"ч:мм")),"ч:мм")&amp;"-"&amp;TEXT(IF(Настройки!I91="",TEXT(Настройки!$J3,"ч:мм"),TEXT(Настройки!I91,"ч:мм"))+TIME(0,Октябрь!G14,0),"ч::мм"))</f>
        <v/>
      </c>
      <c r="E15" s="30" t="str">
        <f ca="1">IF(TEXT(IF(Настройки!J91="",TEXT(Настройки!$J3,"ч:мм"),TEXT(Настройки!J91,"ч:мм"))+TIME(0,Октябрь!H14,0),"ч::мм")=TEXT(IF(Настройки!J91="",TEXT(Настройки!$J3,"ч:мм"),TEXT(Настройки!J91,"ч:мм")),"ч:мм"),"",TEXT(IF(Настройки!J91="",TEXT(Настройки!$J3,"ч:мм"),TEXT(Настройки!J91,"ч:мм")),"ч:мм")&amp;"-"&amp;TEXT(IF(Настройки!J91="",TEXT(Настройки!$J3,"ч:мм"),TEXT(Настройки!J91,"ч:мм"))+TIME(0,Октябрь!H14,0),"ч::мм"))</f>
        <v/>
      </c>
      <c r="F15" s="30" t="str">
        <f ca="1">IF(TEXT(IF(Настройки!K91="",TEXT(Настройки!$J3,"ч:мм"),TEXT(Настройки!K91,"ч:мм"))+TIME(0,Октябрь!I14,0),"ч::мм")=TEXT(IF(Настройки!K91="",TEXT(Настройки!$J3,"ч:мм"),TEXT(Настройки!K91,"ч:мм")),"ч:мм"),"",TEXT(IF(Настройки!K91="",TEXT(Настройки!$J3,"ч:мм"),TEXT(Настройки!K91,"ч:мм")),"ч:мм")&amp;"-"&amp;TEXT(IF(Настройки!K91="",TEXT(Настройки!$J3,"ч:мм"),TEXT(Настройки!K91,"ч:мм"))+TIME(0,Октябрь!I14,0),"ч::мм"))</f>
        <v/>
      </c>
      <c r="G15" s="30" t="str">
        <f ca="1">IF(TEXT(IF(Настройки!L91="",TEXT(Настройки!$J3,"ч:мм"),TEXT(Настройки!L91,"ч:мм"))+TIME(0,Октябрь!J14,0),"ч::мм")=TEXT(IF(Настройки!L91="",TEXT(Настройки!$J3,"ч:мм"),TEXT(Настройки!L91,"ч:мм")),"ч:мм"),"",TEXT(IF(Настройки!L91="",TEXT(Настройки!$J3,"ч:мм"),TEXT(Настройки!L91,"ч:мм")),"ч:мм")&amp;"-"&amp;TEXT(IF(Настройки!L91="",TEXT(Настройки!$J3,"ч:мм"),TEXT(Настройки!L91,"ч:мм"))+TIME(0,Октябрь!J14,0),"ч::мм"))</f>
        <v/>
      </c>
      <c r="H15" s="30" t="str">
        <f ca="1">IF(TEXT(IF(Настройки!M91="",TEXT(Настройки!$J3,"ч:мм"),TEXT(Настройки!M91,"ч:мм"))+TIME(0,Октябрь!K14,0),"ч::мм")=TEXT(IF(Настройки!M91="",TEXT(Настройки!$J3,"ч:мм"),TEXT(Настройки!M91,"ч:мм")),"ч:мм"),"",TEXT(IF(Настройки!M91="",TEXT(Настройки!$J3,"ч:мм"),TEXT(Настройки!M91,"ч:мм")),"ч:мм")&amp;"-"&amp;TEXT(IF(Настройки!M91="",TEXT(Настройки!$J3,"ч:мм"),TEXT(Настройки!M91,"ч:мм"))+TIME(0,Октябрь!K14,0),"ч::мм"))</f>
        <v/>
      </c>
      <c r="I15" s="30" t="str">
        <f ca="1">IF(TEXT(IF(Настройки!N91="",TEXT(Настройки!$J3,"ч:мм"),TEXT(Настройки!N91,"ч:мм"))+TIME(0,Октябрь!L14,0),"ч::мм")=TEXT(IF(Настройки!N91="",TEXT(Настройки!$J3,"ч:мм"),TEXT(Настройки!N91,"ч:мм")),"ч:мм"),"",TEXT(IF(Настройки!N91="",TEXT(Настройки!$J3,"ч:мм"),TEXT(Настройки!N91,"ч:мм")),"ч:мм")&amp;"-"&amp;TEXT(IF(Настройки!N91="",TEXT(Настройки!$J3,"ч:мм"),TEXT(Настройки!N91,"ч:мм"))+TIME(0,Октябрь!L14,0),"ч::мм"))</f>
        <v/>
      </c>
      <c r="J15" s="30" t="str">
        <f ca="1">IF(TEXT(IF(Настройки!O91="",TEXT(Настройки!$J3,"ч:мм"),TEXT(Настройки!O91,"ч:мм"))+TIME(0,Октябрь!M14,0),"ч::мм")=TEXT(IF(Настройки!O91="",TEXT(Настройки!$J3,"ч:мм"),TEXT(Настройки!O91,"ч:мм")),"ч:мм"),"",TEXT(IF(Настройки!O91="",TEXT(Настройки!$J3,"ч:мм"),TEXT(Настройки!O91,"ч:мм")),"ч:мм")&amp;"-"&amp;TEXT(IF(Настройки!O91="",TEXT(Настройки!$J3,"ч:мм"),TEXT(Настройки!O91,"ч:мм"))+TIME(0,Октябрь!M14,0),"ч::мм"))</f>
        <v/>
      </c>
      <c r="K15" s="30" t="str">
        <f ca="1">IF(TEXT(IF(Настройки!P91="",TEXT(Настройки!$J3,"ч:мм"),TEXT(Настройки!P91,"ч:мм"))+TIME(0,Октябрь!N14,0),"ч::мм")=TEXT(IF(Настройки!P91="",TEXT(Настройки!$J3,"ч:мм"),TEXT(Настройки!P91,"ч:мм")),"ч:мм"),"",TEXT(IF(Настройки!P91="",TEXT(Настройки!$J3,"ч:мм"),TEXT(Настройки!P91,"ч:мм")),"ч:мм")&amp;"-"&amp;TEXT(IF(Настройки!P91="",TEXT(Настройки!$J3,"ч:мм"),TEXT(Настройки!P91,"ч:мм"))+TIME(0,Октябрь!N14,0),"ч::мм"))</f>
        <v/>
      </c>
      <c r="L15" s="30" t="str">
        <f ca="1">IF(TEXT(IF(Настройки!Q91="",TEXT(Настройки!$J3,"ч:мм"),TEXT(Настройки!Q91,"ч:мм"))+TIME(0,Октябрь!O14,0),"ч::мм")=TEXT(IF(Настройки!Q91="",TEXT(Настройки!$J3,"ч:мм"),TEXT(Настройки!Q91,"ч:мм")),"ч:мм"),"",TEXT(IF(Настройки!Q91="",TEXT(Настройки!$J3,"ч:мм"),TEXT(Настройки!Q91,"ч:мм")),"ч:мм")&amp;"-"&amp;TEXT(IF(Настройки!Q91="",TEXT(Настройки!$J3,"ч:мм"),TEXT(Настройки!Q91,"ч:мм"))+TIME(0,Октябрь!O14,0),"ч::мм"))</f>
        <v/>
      </c>
      <c r="M15" s="30" t="str">
        <f ca="1">IF(TEXT(IF(Настройки!R91="",TEXT(Настройки!$J3,"ч:мм"),TEXT(Настройки!R91,"ч:мм"))+TIME(0,Октябрь!P14,0),"ч::мм")=TEXT(IF(Настройки!R91="",TEXT(Настройки!$J3,"ч:мм"),TEXT(Настройки!R91,"ч:мм")),"ч:мм"),"",TEXT(IF(Настройки!R91="",TEXT(Настройки!$J3,"ч:мм"),TEXT(Настройки!R91,"ч:мм")),"ч:мм")&amp;"-"&amp;TEXT(IF(Настройки!R91="",TEXT(Настройки!$J3,"ч:мм"),TEXT(Настройки!R91,"ч:мм"))+TIME(0,Октябрь!P14,0),"ч::мм"))</f>
        <v/>
      </c>
      <c r="N15" s="30" t="str">
        <f ca="1">IF(TEXT(IF(Настройки!S91="",TEXT(Настройки!$J3,"ч:мм"),TEXT(Настройки!S91,"ч:мм"))+TIME(0,Октябрь!Q14,0),"ч::мм")=TEXT(IF(Настройки!S91="",TEXT(Настройки!$J3,"ч:мм"),TEXT(Настройки!S91,"ч:мм")),"ч:мм"),"",TEXT(IF(Настройки!S91="",TEXT(Настройки!$J3,"ч:мм"),TEXT(Настройки!S91,"ч:мм")),"ч:мм")&amp;"-"&amp;TEXT(IF(Настройки!S91="",TEXT(Настройки!$J3,"ч:мм"),TEXT(Настройки!S91,"ч:мм"))+TIME(0,Октябрь!Q14,0),"ч::мм"))</f>
        <v/>
      </c>
      <c r="O15" s="30" t="str">
        <f ca="1">IF(TEXT(IF(Настройки!T91="",TEXT(Настройки!$J3,"ч:мм"),TEXT(Настройки!T91,"ч:мм"))+TIME(0,Октябрь!R14,0),"ч::мм")=TEXT(IF(Настройки!T91="",TEXT(Настройки!$J3,"ч:мм"),TEXT(Настройки!T91,"ч:мм")),"ч:мм"),"",TEXT(IF(Настройки!T91="",TEXT(Настройки!$J3,"ч:мм"),TEXT(Настройки!T91,"ч:мм")),"ч:мм")&amp;"-"&amp;TEXT(IF(Настройки!T91="",TEXT(Настройки!$J3,"ч:мм"),TEXT(Настройки!T91,"ч:мм"))+TIME(0,Октябрь!R14,0),"ч::мм"))</f>
        <v/>
      </c>
      <c r="P15" s="30" t="str">
        <f ca="1">IF(TEXT(IF(Настройки!U91="",TEXT(Настройки!$J3,"ч:мм"),TEXT(Настройки!U91,"ч:мм"))+TIME(0,Октябрь!S14,0),"ч::мм")=TEXT(IF(Настройки!U91="",TEXT(Настройки!$J3,"ч:мм"),TEXT(Настройки!U91,"ч:мм")),"ч:мм"),"",TEXT(IF(Настройки!U91="",TEXT(Настройки!$J3,"ч:мм"),TEXT(Настройки!U91,"ч:мм")),"ч:мм")&amp;"-"&amp;TEXT(IF(Настройки!U91="",TEXT(Настройки!$J3,"ч:мм"),TEXT(Настройки!U91,"ч:мм"))+TIME(0,Октябрь!S14,0),"ч::мм"))</f>
        <v/>
      </c>
      <c r="S15" s="30"/>
    </row>
    <row r="16" spans="1:32" x14ac:dyDescent="0.25">
      <c r="A16" s="32" t="str">
        <f ca="1">IF(Настройки!J4&lt;&gt;"",TEXT(MIN(Настройки!G92:AK92,Настройки!J4),"ч:мм")&amp;"-"&amp;TEXT(MAX(Настройки!G92:AK92,Настройки!J4)+TIME(0,MAX(Октябрь!E15:AI15),0),"ч:мм"),"")</f>
        <v>16:00-16:00</v>
      </c>
      <c r="B16" s="30" t="str">
        <f ca="1">IF(TEXT(IF(Настройки!G92="",TEXT(Настройки!$J4,"ч:мм"),TEXT(Настройки!G92,"ч:мм"))+TIME(0,Октябрь!E15,0),"ч::мм")=TEXT(IF(Настройки!G92="",TEXT(Настройки!$J4,"ч:мм"),TEXT(Настройки!G92,"ч:мм")),"ч:мм"),"",TEXT(IF(Настройки!G92="",TEXT(Настройки!$J4,"ч:мм"),TEXT(Настройки!G92,"ч:мм")),"ч:мм")&amp;"-"&amp;TEXT(IF(Настройки!G92="",TEXT(Настройки!$J4,"ч:мм"),TEXT(Настройки!G92,"ч:мм"))+TIME(0,Октябрь!E15,0),"ч::мм"))</f>
        <v/>
      </c>
      <c r="C16" s="30" t="str">
        <f ca="1">IF(TEXT(IF(Настройки!H92="",TEXT(Настройки!$J4,"ч:мм"),TEXT(Настройки!H92,"ч:мм"))+TIME(0,Октябрь!F15,0),"ч::мм")=TEXT(IF(Настройки!H92="",TEXT(Настройки!$J4,"ч:мм"),TEXT(Настройки!H92,"ч:мм")),"ч:мм"),"",TEXT(IF(Настройки!H92="",TEXT(Настройки!$J4,"ч:мм"),TEXT(Настройки!H92,"ч:мм")),"ч:мм")&amp;"-"&amp;TEXT(IF(Настройки!H92="",TEXT(Настройки!$J4,"ч:мм"),TEXT(Настройки!H92,"ч:мм"))+TIME(0,Октябрь!F15,0),"ч::мм"))</f>
        <v/>
      </c>
      <c r="D16" s="30" t="str">
        <f ca="1">IF(TEXT(IF(Настройки!I92="",TEXT(Настройки!$J4,"ч:мм"),TEXT(Настройки!I92,"ч:мм"))+TIME(0,Октябрь!G15,0),"ч::мм")=TEXT(IF(Настройки!I92="",TEXT(Настройки!$J4,"ч:мм"),TEXT(Настройки!I92,"ч:мм")),"ч:мм"),"",TEXT(IF(Настройки!I92="",TEXT(Настройки!$J4,"ч:мм"),TEXT(Настройки!I92,"ч:мм")),"ч:мм")&amp;"-"&amp;TEXT(IF(Настройки!I92="",TEXT(Настройки!$J4,"ч:мм"),TEXT(Настройки!I92,"ч:мм"))+TIME(0,Октябрь!G15,0),"ч::мм"))</f>
        <v/>
      </c>
      <c r="E16" s="30" t="str">
        <f ca="1">IF(TEXT(IF(Настройки!J92="",TEXT(Настройки!$J4,"ч:мм"),TEXT(Настройки!J92,"ч:мм"))+TIME(0,Октябрь!H15,0),"ч::мм")=TEXT(IF(Настройки!J92="",TEXT(Настройки!$J4,"ч:мм"),TEXT(Настройки!J92,"ч:мм")),"ч:мм"),"",TEXT(IF(Настройки!J92="",TEXT(Настройки!$J4,"ч:мм"),TEXT(Настройки!J92,"ч:мм")),"ч:мм")&amp;"-"&amp;TEXT(IF(Настройки!J92="",TEXT(Настройки!$J4,"ч:мм"),TEXT(Настройки!J92,"ч:мм"))+TIME(0,Октябрь!H15,0),"ч::мм"))</f>
        <v/>
      </c>
      <c r="F16" s="30" t="str">
        <f ca="1">IF(TEXT(IF(Настройки!K92="",TEXT(Настройки!$J4,"ч:мм"),TEXT(Настройки!K92,"ч:мм"))+TIME(0,Октябрь!I15,0),"ч::мм")=TEXT(IF(Настройки!K92="",TEXT(Настройки!$J4,"ч:мм"),TEXT(Настройки!K92,"ч:мм")),"ч:мм"),"",TEXT(IF(Настройки!K92="",TEXT(Настройки!$J4,"ч:мм"),TEXT(Настройки!K92,"ч:мм")),"ч:мм")&amp;"-"&amp;TEXT(IF(Настройки!K92="",TEXT(Настройки!$J4,"ч:мм"),TEXT(Настройки!K92,"ч:мм"))+TIME(0,Октябрь!I15,0),"ч::мм"))</f>
        <v/>
      </c>
      <c r="G16" s="30" t="str">
        <f ca="1">IF(TEXT(IF(Настройки!L92="",TEXT(Настройки!$J4,"ч:мм"),TEXT(Настройки!L92,"ч:мм"))+TIME(0,Октябрь!J15,0),"ч::мм")=TEXT(IF(Настройки!L92="",TEXT(Настройки!$J4,"ч:мм"),TEXT(Настройки!L92,"ч:мм")),"ч:мм"),"",TEXT(IF(Настройки!L92="",TEXT(Настройки!$J4,"ч:мм"),TEXT(Настройки!L92,"ч:мм")),"ч:мм")&amp;"-"&amp;TEXT(IF(Настройки!L92="",TEXT(Настройки!$J4,"ч:мм"),TEXT(Настройки!L92,"ч:мм"))+TIME(0,Октябрь!J15,0),"ч::мм"))</f>
        <v/>
      </c>
      <c r="H16" s="30" t="str">
        <f ca="1">IF(TEXT(IF(Настройки!M92="",TEXT(Настройки!$J4,"ч:мм"),TEXT(Настройки!M92,"ч:мм"))+TIME(0,Октябрь!K15,0),"ч::мм")=TEXT(IF(Настройки!M92="",TEXT(Настройки!$J4,"ч:мм"),TEXT(Настройки!M92,"ч:мм")),"ч:мм"),"",TEXT(IF(Настройки!M92="",TEXT(Настройки!$J4,"ч:мм"),TEXT(Настройки!M92,"ч:мм")),"ч:мм")&amp;"-"&amp;TEXT(IF(Настройки!M92="",TEXT(Настройки!$J4,"ч:мм"),TEXT(Настройки!M92,"ч:мм"))+TIME(0,Октябрь!K15,0),"ч::мм"))</f>
        <v/>
      </c>
      <c r="I16" s="30" t="str">
        <f ca="1">IF(TEXT(IF(Настройки!N92="",TEXT(Настройки!$J4,"ч:мм"),TEXT(Настройки!N92,"ч:мм"))+TIME(0,Октябрь!L15,0),"ч::мм")=TEXT(IF(Настройки!N92="",TEXT(Настройки!$J4,"ч:мм"),TEXT(Настройки!N92,"ч:мм")),"ч:мм"),"",TEXT(IF(Настройки!N92="",TEXT(Настройки!$J4,"ч:мм"),TEXT(Настройки!N92,"ч:мм")),"ч:мм")&amp;"-"&amp;TEXT(IF(Настройки!N92="",TEXT(Настройки!$J4,"ч:мм"),TEXT(Настройки!N92,"ч:мм"))+TIME(0,Октябрь!L15,0),"ч::мм"))</f>
        <v/>
      </c>
      <c r="J16" s="30" t="str">
        <f ca="1">IF(TEXT(IF(Настройки!O92="",TEXT(Настройки!$J4,"ч:мм"),TEXT(Настройки!O92,"ч:мм"))+TIME(0,Октябрь!M15,0),"ч::мм")=TEXT(IF(Настройки!O92="",TEXT(Настройки!$J4,"ч:мм"),TEXT(Настройки!O92,"ч:мм")),"ч:мм"),"",TEXT(IF(Настройки!O92="",TEXT(Настройки!$J4,"ч:мм"),TEXT(Настройки!O92,"ч:мм")),"ч:мм")&amp;"-"&amp;TEXT(IF(Настройки!O92="",TEXT(Настройки!$J4,"ч:мм"),TEXT(Настройки!O92,"ч:мм"))+TIME(0,Октябрь!M15,0),"ч::мм"))</f>
        <v/>
      </c>
      <c r="K16" s="30" t="str">
        <f ca="1">IF(TEXT(IF(Настройки!P92="",TEXT(Настройки!$J4,"ч:мм"),TEXT(Настройки!P92,"ч:мм"))+TIME(0,Октябрь!N15,0),"ч::мм")=TEXT(IF(Настройки!P92="",TEXT(Настройки!$J4,"ч:мм"),TEXT(Настройки!P92,"ч:мм")),"ч:мм"),"",TEXT(IF(Настройки!P92="",TEXT(Настройки!$J4,"ч:мм"),TEXT(Настройки!P92,"ч:мм")),"ч:мм")&amp;"-"&amp;TEXT(IF(Настройки!P92="",TEXT(Настройки!$J4,"ч:мм"),TEXT(Настройки!P92,"ч:мм"))+TIME(0,Октябрь!N15,0),"ч::мм"))</f>
        <v/>
      </c>
      <c r="L16" s="30" t="str">
        <f ca="1">IF(TEXT(IF(Настройки!Q92="",TEXT(Настройки!$J4,"ч:мм"),TEXT(Настройки!Q92,"ч:мм"))+TIME(0,Октябрь!O15,0),"ч::мм")=TEXT(IF(Настройки!Q92="",TEXT(Настройки!$J4,"ч:мм"),TEXT(Настройки!Q92,"ч:мм")),"ч:мм"),"",TEXT(IF(Настройки!Q92="",TEXT(Настройки!$J4,"ч:мм"),TEXT(Настройки!Q92,"ч:мм")),"ч:мм")&amp;"-"&amp;TEXT(IF(Настройки!Q92="",TEXT(Настройки!$J4,"ч:мм"),TEXT(Настройки!Q92,"ч:мм"))+TIME(0,Октябрь!O15,0),"ч::мм"))</f>
        <v/>
      </c>
      <c r="M16" s="30" t="str">
        <f ca="1">IF(TEXT(IF(Настройки!R92="",TEXT(Настройки!$J4,"ч:мм"),TEXT(Настройки!R92,"ч:мм"))+TIME(0,Октябрь!P15,0),"ч::мм")=TEXT(IF(Настройки!R92="",TEXT(Настройки!$J4,"ч:мм"),TEXT(Настройки!R92,"ч:мм")),"ч:мм"),"",TEXT(IF(Настройки!R92="",TEXT(Настройки!$J4,"ч:мм"),TEXT(Настройки!R92,"ч:мм")),"ч:мм")&amp;"-"&amp;TEXT(IF(Настройки!R92="",TEXT(Настройки!$J4,"ч:мм"),TEXT(Настройки!R92,"ч:мм"))+TIME(0,Октябрь!P15,0),"ч::мм"))</f>
        <v/>
      </c>
      <c r="N16" s="30" t="str">
        <f ca="1">IF(TEXT(IF(Настройки!S92="",TEXT(Настройки!$J4,"ч:мм"),TEXT(Настройки!S92,"ч:мм"))+TIME(0,Октябрь!Q15,0),"ч::мм")=TEXT(IF(Настройки!S92="",TEXT(Настройки!$J4,"ч:мм"),TEXT(Настройки!S92,"ч:мм")),"ч:мм"),"",TEXT(IF(Настройки!S92="",TEXT(Настройки!$J4,"ч:мм"),TEXT(Настройки!S92,"ч:мм")),"ч:мм")&amp;"-"&amp;TEXT(IF(Настройки!S92="",TEXT(Настройки!$J4,"ч:мм"),TEXT(Настройки!S92,"ч:мм"))+TIME(0,Октябрь!Q15,0),"ч::мм"))</f>
        <v/>
      </c>
      <c r="O16" s="30" t="str">
        <f ca="1">IF(TEXT(IF(Настройки!T92="",TEXT(Настройки!$J4,"ч:мм"),TEXT(Настройки!T92,"ч:мм"))+TIME(0,Октябрь!R15,0),"ч::мм")=TEXT(IF(Настройки!T92="",TEXT(Настройки!$J4,"ч:мм"),TEXT(Настройки!T92,"ч:мм")),"ч:мм"),"",TEXT(IF(Настройки!T92="",TEXT(Настройки!$J4,"ч:мм"),TEXT(Настройки!T92,"ч:мм")),"ч:мм")&amp;"-"&amp;TEXT(IF(Настройки!T92="",TEXT(Настройки!$J4,"ч:мм"),TEXT(Настройки!T92,"ч:мм"))+TIME(0,Октябрь!R15,0),"ч::мм"))</f>
        <v/>
      </c>
      <c r="P16" s="30" t="str">
        <f ca="1">IF(TEXT(IF(Настройки!U92="",TEXT(Настройки!$J4,"ч:мм"),TEXT(Настройки!U92,"ч:мм"))+TIME(0,Октябрь!S15,0),"ч::мм")=TEXT(IF(Настройки!U92="",TEXT(Настройки!$J4,"ч:мм"),TEXT(Настройки!U92,"ч:мм")),"ч:мм"),"",TEXT(IF(Настройки!U92="",TEXT(Настройки!$J4,"ч:мм"),TEXT(Настройки!U92,"ч:мм")),"ч:мм")&amp;"-"&amp;TEXT(IF(Настройки!U92="",TEXT(Настройки!$J4,"ч:мм"),TEXT(Настройки!U92,"ч:мм"))+TIME(0,Октябрь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Настройки!V16</f>
        <v>45581</v>
      </c>
      <c r="C20" s="29">
        <f>Настройки!W16</f>
        <v>45582</v>
      </c>
      <c r="D20" s="29">
        <f>Настройки!X16</f>
        <v>45583</v>
      </c>
      <c r="E20" s="29">
        <f>Настройки!Y16</f>
        <v>45584</v>
      </c>
      <c r="F20" s="29">
        <f>Настройки!Z16</f>
        <v>45585</v>
      </c>
      <c r="G20" s="29">
        <f>Настройки!AA16</f>
        <v>45586</v>
      </c>
      <c r="H20" s="29">
        <f>Настройки!AB16</f>
        <v>45587</v>
      </c>
      <c r="I20" s="29">
        <f>Настройки!AC16</f>
        <v>45588</v>
      </c>
      <c r="J20" s="29">
        <f>Настройки!AD16</f>
        <v>45589</v>
      </c>
      <c r="K20" s="29">
        <f>Настройки!AE16</f>
        <v>45590</v>
      </c>
      <c r="L20" s="29">
        <f>Настройки!AF16</f>
        <v>45591</v>
      </c>
      <c r="M20" s="29">
        <f>Настройки!AG16</f>
        <v>45592</v>
      </c>
      <c r="N20" s="29">
        <f>Настройки!AH16</f>
        <v>45593</v>
      </c>
      <c r="O20" s="29">
        <f>Настройки!AI16</f>
        <v>45594</v>
      </c>
      <c r="P20" s="29">
        <f>Настройки!AJ16</f>
        <v>45595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90="",TEXT(Настройки!$J2,"ч:мм"),TEXT(Настройки!V90,"ч:мм"))+TIME(0,Октябрь!T13,0),"ч::мм")=TEXT(IF(Настройки!V90="",TEXT(Настройки!$J2,"ч:мм"),TEXT(Настройки!V90,"ч:мм")),"ч:мм"),"",TEXT(IF(Настройки!V90="",TEXT(Настройки!$J2,"ч:мм"),TEXT(Настройки!V90,"ч:мм")),"ч:мм")&amp;"-"&amp;TEXT(IF(Настройки!V90="",TEXT(Настройки!$J2,"ч:мм"),TEXT(Настройки!V90,"ч:мм"))+TIME(0,Октябрь!T13,0),"ч::мм"))</f>
        <v/>
      </c>
      <c r="C24" s="3" t="str">
        <f>IF(TEXT(IF(Настройки!W90="",TEXT(Настройки!$J2,"ч:мм"),TEXT(Настройки!W90,"ч:мм"))+TIME(0,Октябрь!U13,0),"ч::мм")=TEXT(IF(Настройки!W90="",TEXT(Настройки!$J2,"ч:мм"),TEXT(Настройки!W90,"ч:мм")),"ч:мм"),"",TEXT(IF(Настройки!W90="",TEXT(Настройки!$J2,"ч:мм"),TEXT(Настройки!W90,"ч:мм")),"ч:мм")&amp;"-"&amp;TEXT(IF(Настройки!W90="",TEXT(Настройки!$J2,"ч:мм"),TEXT(Настройки!W90,"ч:мм"))+TIME(0,Октябрь!U13,0),"ч::мм"))</f>
        <v/>
      </c>
      <c r="D24" s="3" t="str">
        <f>IF(TEXT(IF(Настройки!X90="",TEXT(Настройки!$J2,"ч:мм"),TEXT(Настройки!X90,"ч:мм"))+TIME(0,Октябрь!V13,0),"ч::мм")=TEXT(IF(Настройки!X90="",TEXT(Настройки!$J2,"ч:мм"),TEXT(Настройки!X90,"ч:мм")),"ч:мм"),"",TEXT(IF(Настройки!X90="",TEXT(Настройки!$J2,"ч:мм"),TEXT(Настройки!X90,"ч:мм")),"ч:мм")&amp;"-"&amp;TEXT(IF(Настройки!X90="",TEXT(Настройки!$J2,"ч:мм"),TEXT(Настройки!X90,"ч:мм"))+TIME(0,Октябрь!V13,0),"ч::мм"))</f>
        <v/>
      </c>
      <c r="E24" s="3" t="str">
        <f>IF(TEXT(IF(Настройки!Y90="",TEXT(Настройки!$J2,"ч:мм"),TEXT(Настройки!Y90,"ч:мм"))+TIME(0,Октябрь!W13,0),"ч::мм")=TEXT(IF(Настройки!Y90="",TEXT(Настройки!$J2,"ч:мм"),TEXT(Настройки!Y90,"ч:мм")),"ч:мм"),"",TEXT(IF(Настройки!Y90="",TEXT(Настройки!$J2,"ч:мм"),TEXT(Настройки!Y90,"ч:мм")),"ч:мм")&amp;"-"&amp;TEXT(IF(Настройки!Y90="",TEXT(Настройки!$J2,"ч:мм"),TEXT(Настройки!Y90,"ч:мм"))+TIME(0,Октябрь!W13,0),"ч::мм"))</f>
        <v/>
      </c>
      <c r="F24" s="3" t="str">
        <f>IF(TEXT(IF(Настройки!Z90="",TEXT(Настройки!$J2,"ч:мм"),TEXT(Настройки!Z90,"ч:мм"))+TIME(0,Октябрь!X13,0),"ч::мм")=TEXT(IF(Настройки!Z90="",TEXT(Настройки!$J2,"ч:мм"),TEXT(Настройки!Z90,"ч:мм")),"ч:мм"),"",TEXT(IF(Настройки!Z90="",TEXT(Настройки!$J2,"ч:мм"),TEXT(Настройки!Z90,"ч:мм")),"ч:мм")&amp;"-"&amp;TEXT(IF(Настройки!Z90="",TEXT(Настройки!$J2,"ч:мм"),TEXT(Настройки!Z90,"ч:мм"))+TIME(0,Октябрь!X13,0),"ч::мм"))</f>
        <v/>
      </c>
      <c r="G24" s="3" t="str">
        <f>IF(TEXT(IF(Настройки!AA90="",TEXT(Настройки!$J2,"ч:мм"),TEXT(Настройки!AA90,"ч:мм"))+TIME(0,Октябрь!Y13,0),"ч::мм")=TEXT(IF(Настройки!AA90="",TEXT(Настройки!$J2,"ч:мм"),TEXT(Настройки!AA90,"ч:мм")),"ч:мм"),"",TEXT(IF(Настройки!AA90="",TEXT(Настройки!$J2,"ч:мм"),TEXT(Настройки!AA90,"ч:мм")),"ч:мм")&amp;"-"&amp;TEXT(IF(Настройки!AA90="",TEXT(Настройки!$J2,"ч:мм"),TEXT(Настройки!AA90,"ч:мм"))+TIME(0,Октябрь!Y13,0),"ч::мм"))</f>
        <v/>
      </c>
      <c r="H24" s="3" t="str">
        <f>IF(TEXT(IF(Настройки!AB90="",TEXT(Настройки!$J2,"ч:мм"),TEXT(Настройки!AB90,"ч:мм"))+TIME(0,Октябрь!Z13,0),"ч::мм")=TEXT(IF(Настройки!AB90="",TEXT(Настройки!$J2,"ч:мм"),TEXT(Настройки!AB90,"ч:мм")),"ч:мм"),"",TEXT(IF(Настройки!AB90="",TEXT(Настройки!$J2,"ч:мм"),TEXT(Настройки!AB90,"ч:мм")),"ч:мм")&amp;"-"&amp;TEXT(IF(Настройки!AB90="",TEXT(Настройки!$J2,"ч:мм"),TEXT(Настройки!AB90,"ч:мм"))+TIME(0,Октябрь!Z13,0),"ч::мм"))</f>
        <v/>
      </c>
      <c r="I24" s="3" t="str">
        <f>IF(TEXT(IF(Настройки!AC90="",TEXT(Настройки!$J2,"ч:мм"),TEXT(Настройки!AC90,"ч:мм"))+TIME(0,Октябрь!AA13,0),"ч::мм")=TEXT(IF(Настройки!AC90="",TEXT(Настройки!$J2,"ч:мм"),TEXT(Настройки!AC90,"ч:мм")),"ч:мм"),"",TEXT(IF(Настройки!AC90="",TEXT(Настройки!$J2,"ч:мм"),TEXT(Настройки!AC90,"ч:мм")),"ч:мм")&amp;"-"&amp;TEXT(IF(Настройки!AC90="",TEXT(Настройки!$J2,"ч:мм"),TEXT(Настройки!AC90,"ч:мм"))+TIME(0,Октябрь!AA13,0),"ч::мм"))</f>
        <v/>
      </c>
      <c r="J24" s="3" t="str">
        <f>IF(TEXT(IF(Настройки!AD90="",TEXT(Настройки!$J2,"ч:мм"),TEXT(Настройки!AD90,"ч:мм"))+TIME(0,Октябрь!AB13,0),"ч::мм")=TEXT(IF(Настройки!AD90="",TEXT(Настройки!$J2,"ч:мм"),TEXT(Настройки!AD90,"ч:мм")),"ч:мм"),"",TEXT(IF(Настройки!AD90="",TEXT(Настройки!$J2,"ч:мм"),TEXT(Настройки!AD90,"ч:мм")),"ч:мм")&amp;"-"&amp;TEXT(IF(Настройки!AD90="",TEXT(Настройки!$J2,"ч:мм"),TEXT(Настройки!AD90,"ч:мм"))+TIME(0,Октябрь!AB13,0),"ч::мм"))</f>
        <v/>
      </c>
      <c r="K24" s="3" t="str">
        <f>IF(TEXT(IF(Настройки!AE90="",TEXT(Настройки!$J2,"ч:мм"),TEXT(Настройки!AE90,"ч:мм"))+TIME(0,Октябрь!AC13,0),"ч::мм")=TEXT(IF(Настройки!AE90="",TEXT(Настройки!$J2,"ч:мм"),TEXT(Настройки!AE90,"ч:мм")),"ч:мм"),"",TEXT(IF(Настройки!AE90="",TEXT(Настройки!$J2,"ч:мм"),TEXT(Настройки!AE90,"ч:мм")),"ч:мм")&amp;"-"&amp;TEXT(IF(Настройки!AE90="",TEXT(Настройки!$J2,"ч:мм"),TEXT(Настройки!AE90,"ч:мм"))+TIME(0,Октябрь!AC13,0),"ч::мм"))</f>
        <v/>
      </c>
      <c r="L24" s="3" t="str">
        <f>IF(TEXT(IF(Настройки!AF90="",TEXT(Настройки!$J2,"ч:мм"),TEXT(Настройки!AF90,"ч:мм"))+TIME(0,Октябрь!AD13,0),"ч::мм")=TEXT(IF(Настройки!AF90="",TEXT(Настройки!$J2,"ч:мм"),TEXT(Настройки!AF90,"ч:мм")),"ч:мм"),"",TEXT(IF(Настройки!AF90="",TEXT(Настройки!$J2,"ч:мм"),TEXT(Настройки!AF90,"ч:мм")),"ч:мм")&amp;"-"&amp;TEXT(IF(Настройки!AF90="",TEXT(Настройки!$J2,"ч:мм"),TEXT(Настройки!AF90,"ч:мм"))+TIME(0,Октябрь!AD13,0),"ч::мм"))</f>
        <v/>
      </c>
      <c r="M24" s="3" t="str">
        <f>IF(TEXT(IF(Настройки!AG90="",TEXT(Настройки!$J2,"ч:мм"),TEXT(Настройки!AG90,"ч:мм"))+TIME(0,Октябрь!AE13,0),"ч::мм")=TEXT(IF(Настройки!AG90="",TEXT(Настройки!$J2,"ч:мм"),TEXT(Настройки!AG90,"ч:мм")),"ч:мм"),"",TEXT(IF(Настройки!AG90="",TEXT(Настройки!$J2,"ч:мм"),TEXT(Настройки!AG90,"ч:мм")),"ч:мм")&amp;"-"&amp;TEXT(IF(Настройки!AG90="",TEXT(Настройки!$J2,"ч:мм"),TEXT(Настройки!AG90,"ч:мм"))+TIME(0,Октябрь!AE13,0),"ч::мм"))</f>
        <v/>
      </c>
      <c r="N24" s="3" t="str">
        <f>IF(TEXT(IF(Настройки!AH90="",TEXT(Настройки!$J2,"ч:мм"),TEXT(Настройки!AH90,"ч:мм"))+TIME(0,Октябрь!AF13,0),"ч::мм")=TEXT(IF(Настройки!AH90="",TEXT(Настройки!$J2,"ч:мм"),TEXT(Настройки!AH90,"ч:мм")),"ч:мм"),"",TEXT(IF(Настройки!AH90="",TEXT(Настройки!$J2,"ч:мм"),TEXT(Настройки!AH90,"ч:мм")),"ч:мм")&amp;"-"&amp;TEXT(IF(Настройки!AH90="",TEXT(Настройки!$J2,"ч:мм"),TEXT(Настройки!AH90,"ч:мм"))+TIME(0,Октябрь!AF13,0),"ч::мм"))</f>
        <v/>
      </c>
      <c r="O24" s="3" t="str">
        <f>IF(TEXT(IF(Настройки!AI90="",TEXT(Настройки!$J2,"ч:мм"),TEXT(Настройки!AI90,"ч:мм"))+TIME(0,Октябрь!AG13,0),"ч::мм")=TEXT(IF(Настройки!AI90="",TEXT(Настройки!$J2,"ч:мм"),TEXT(Настройки!AI90,"ч:мм")),"ч:мм"),"",TEXT(IF(Настройки!AI90="",TEXT(Настройки!$J2,"ч:мм"),TEXT(Настройки!AI90,"ч:мм")),"ч:мм")&amp;"-"&amp;TEXT(IF(Настройки!AI90="",TEXT(Настройки!$J2,"ч:мм"),TEXT(Настройки!AI90,"ч:мм"))+TIME(0,Октябрь!AG13,0),"ч::мм"))</f>
        <v/>
      </c>
      <c r="P24" s="3" t="str">
        <f>IF(TEXT(IF(Настройки!AJ90="",TEXT(Настройки!$J2,"ч:мм"),TEXT(Настройки!AJ90,"ч:мм"))+TIME(0,Октябрь!AH13,0),"ч::мм")=TEXT(IF(Настройки!AJ90="",TEXT(Настройки!$J2,"ч:мм"),TEXT(Настройки!AJ90,"ч:мм")),"ч:мм"),"",TEXT(IF(Настройки!AJ90="",TEXT(Настройки!$J2,"ч:мм"),TEXT(Настройки!AJ90,"ч:мм")),"ч:мм")&amp;"-"&amp;TEXT(IF(Настройки!AJ90="",TEXT(Настройки!$J2,"ч:мм"),TEXT(Настройки!AJ90,"ч:мм"))+TIME(0,Октябрь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91="",TEXT(Настройки!$J3,"ч:мм"),TEXT(Настройки!V91,"ч:мм"))+TIME(0,Октябрь!T14,0),"ч::мм")=TEXT(IF(Настройки!V91="",TEXT(Настройки!$J3,"ч:мм"),TEXT(Настройки!V91,"ч:мм")),"ч:мм"),"",TEXT(IF(Настройки!V91="",TEXT(Настройки!$J3,"ч:мм"),TEXT(Настройки!V91,"ч:мм")),"ч:мм")&amp;"-"&amp;TEXT(IF(Настройки!V91="",TEXT(Настройки!$J3,"ч:мм"),TEXT(Настройки!V91,"ч:мм"))+TIME(0,Октябрь!T14,0),"ч::мм"))</f>
        <v/>
      </c>
      <c r="C25" s="3" t="str">
        <f ca="1">IF(TEXT(IF(Настройки!W91="",TEXT(Настройки!$J3,"ч:мм"),TEXT(Настройки!W91,"ч:мм"))+TIME(0,Октябрь!U14,0),"ч::мм")=TEXT(IF(Настройки!W91="",TEXT(Настройки!$J3,"ч:мм"),TEXT(Настройки!W91,"ч:мм")),"ч:мм"),"",TEXT(IF(Настройки!W91="",TEXT(Настройки!$J3,"ч:мм"),TEXT(Настройки!W91,"ч:мм")),"ч:мм")&amp;"-"&amp;TEXT(IF(Настройки!W91="",TEXT(Настройки!$J3,"ч:мм"),TEXT(Настройки!W91,"ч:мм"))+TIME(0,Октябрь!U14,0),"ч::мм"))</f>
        <v/>
      </c>
      <c r="D25" s="3" t="str">
        <f ca="1">IF(TEXT(IF(Настройки!X91="",TEXT(Настройки!$J3,"ч:мм"),TEXT(Настройки!X91,"ч:мм"))+TIME(0,Октябрь!V14,0),"ч::мм")=TEXT(IF(Настройки!X91="",TEXT(Настройки!$J3,"ч:мм"),TEXT(Настройки!X91,"ч:мм")),"ч:мм"),"",TEXT(IF(Настройки!X91="",TEXT(Настройки!$J3,"ч:мм"),TEXT(Настройки!X91,"ч:мм")),"ч:мм")&amp;"-"&amp;TEXT(IF(Настройки!X91="",TEXT(Настройки!$J3,"ч:мм"),TEXT(Настройки!X91,"ч:мм"))+TIME(0,Октябрь!V14,0),"ч::мм"))</f>
        <v/>
      </c>
      <c r="E25" s="3" t="str">
        <f ca="1">IF(TEXT(IF(Настройки!Y91="",TEXT(Настройки!$J3,"ч:мм"),TEXT(Настройки!Y91,"ч:мм"))+TIME(0,Октябрь!W14,0),"ч::мм")=TEXT(IF(Настройки!Y91="",TEXT(Настройки!$J3,"ч:мм"),TEXT(Настройки!Y91,"ч:мм")),"ч:мм"),"",TEXT(IF(Настройки!Y91="",TEXT(Настройки!$J3,"ч:мм"),TEXT(Настройки!Y91,"ч:мм")),"ч:мм")&amp;"-"&amp;TEXT(IF(Настройки!Y91="",TEXT(Настройки!$J3,"ч:мм"),TEXT(Настройки!Y91,"ч:мм"))+TIME(0,Октябрь!W14,0),"ч::мм"))</f>
        <v/>
      </c>
      <c r="F25" s="3" t="str">
        <f ca="1">IF(TEXT(IF(Настройки!Z91="",TEXT(Настройки!$J3,"ч:мм"),TEXT(Настройки!Z91,"ч:мм"))+TIME(0,Октябрь!X14,0),"ч::мм")=TEXT(IF(Настройки!Z91="",TEXT(Настройки!$J3,"ч:мм"),TEXT(Настройки!Z91,"ч:мм")),"ч:мм"),"",TEXT(IF(Настройки!Z91="",TEXT(Настройки!$J3,"ч:мм"),TEXT(Настройки!Z91,"ч:мм")),"ч:мм")&amp;"-"&amp;TEXT(IF(Настройки!Z91="",TEXT(Настройки!$J3,"ч:мм"),TEXT(Настройки!Z91,"ч:мм"))+TIME(0,Октябрь!X14,0),"ч::мм"))</f>
        <v/>
      </c>
      <c r="G25" s="3" t="str">
        <f ca="1">IF(TEXT(IF(Настройки!AA91="",TEXT(Настройки!$J3,"ч:мм"),TEXT(Настройки!AA91,"ч:мм"))+TIME(0,Октябрь!Y14,0),"ч::мм")=TEXT(IF(Настройки!AA91="",TEXT(Настройки!$J3,"ч:мм"),TEXT(Настройки!AA91,"ч:мм")),"ч:мм"),"",TEXT(IF(Настройки!AA91="",TEXT(Настройки!$J3,"ч:мм"),TEXT(Настройки!AA91,"ч:мм")),"ч:мм")&amp;"-"&amp;TEXT(IF(Настройки!AA91="",TEXT(Настройки!$J3,"ч:мм"),TEXT(Настройки!AA91,"ч:мм"))+TIME(0,Октябрь!Y14,0),"ч::мм"))</f>
        <v/>
      </c>
      <c r="H25" s="3" t="str">
        <f ca="1">IF(TEXT(IF(Настройки!AB91="",TEXT(Настройки!$J3,"ч:мм"),TEXT(Настройки!AB91,"ч:мм"))+TIME(0,Октябрь!Z14,0),"ч::мм")=TEXT(IF(Настройки!AB91="",TEXT(Настройки!$J3,"ч:мм"),TEXT(Настройки!AB91,"ч:мм")),"ч:мм"),"",TEXT(IF(Настройки!AB91="",TEXT(Настройки!$J3,"ч:мм"),TEXT(Настройки!AB91,"ч:мм")),"ч:мм")&amp;"-"&amp;TEXT(IF(Настройки!AB91="",TEXT(Настройки!$J3,"ч:мм"),TEXT(Настройки!AB91,"ч:мм"))+TIME(0,Октябрь!Z14,0),"ч::мм"))</f>
        <v/>
      </c>
      <c r="I25" s="3" t="str">
        <f ca="1">IF(TEXT(IF(Настройки!AC91="",TEXT(Настройки!$J3,"ч:мм"),TEXT(Настройки!AC91,"ч:мм"))+TIME(0,Октябрь!AA14,0),"ч::мм")=TEXT(IF(Настройки!AC91="",TEXT(Настройки!$J3,"ч:мм"),TEXT(Настройки!AC91,"ч:мм")),"ч:мм"),"",TEXT(IF(Настройки!AC91="",TEXT(Настройки!$J3,"ч:мм"),TEXT(Настройки!AC91,"ч:мм")),"ч:мм")&amp;"-"&amp;TEXT(IF(Настройки!AC91="",TEXT(Настройки!$J3,"ч:мм"),TEXT(Настройки!AC91,"ч:мм"))+TIME(0,Октябрь!AA14,0),"ч::мм"))</f>
        <v/>
      </c>
      <c r="J25" s="3" t="str">
        <f ca="1">IF(TEXT(IF(Настройки!AD91="",TEXT(Настройки!$J3,"ч:мм"),TEXT(Настройки!AD91,"ч:мм"))+TIME(0,Октябрь!AB14,0),"ч::мм")=TEXT(IF(Настройки!AD91="",TEXT(Настройки!$J3,"ч:мм"),TEXT(Настройки!AD91,"ч:мм")),"ч:мм"),"",TEXT(IF(Настройки!AD91="",TEXT(Настройки!$J3,"ч:мм"),TEXT(Настройки!AD91,"ч:мм")),"ч:мм")&amp;"-"&amp;TEXT(IF(Настройки!AD91="",TEXT(Настройки!$J3,"ч:мм"),TEXT(Настройки!AD91,"ч:мм"))+TIME(0,Октябрь!AB14,0),"ч::мм"))</f>
        <v/>
      </c>
      <c r="K25" s="3" t="str">
        <f ca="1">IF(TEXT(IF(Настройки!AE91="",TEXT(Настройки!$J3,"ч:мм"),TEXT(Настройки!AE91,"ч:мм"))+TIME(0,Октябрь!AC14,0),"ч::мм")=TEXT(IF(Настройки!AE91="",TEXT(Настройки!$J3,"ч:мм"),TEXT(Настройки!AE91,"ч:мм")),"ч:мм"),"",TEXT(IF(Настройки!AE91="",TEXT(Настройки!$J3,"ч:мм"),TEXT(Настройки!AE91,"ч:мм")),"ч:мм")&amp;"-"&amp;TEXT(IF(Настройки!AE91="",TEXT(Настройки!$J3,"ч:мм"),TEXT(Настройки!AE91,"ч:мм"))+TIME(0,Октябрь!AC14,0),"ч::мм"))</f>
        <v/>
      </c>
      <c r="L25" s="3" t="str">
        <f ca="1">IF(TEXT(IF(Настройки!AF91="",TEXT(Настройки!$J3,"ч:мм"),TEXT(Настройки!AF91,"ч:мм"))+TIME(0,Октябрь!AD14,0),"ч::мм")=TEXT(IF(Настройки!AF91="",TEXT(Настройки!$J3,"ч:мм"),TEXT(Настройки!AF91,"ч:мм")),"ч:мм"),"",TEXT(IF(Настройки!AF91="",TEXT(Настройки!$J3,"ч:мм"),TEXT(Настройки!AF91,"ч:мм")),"ч:мм")&amp;"-"&amp;TEXT(IF(Настройки!AF91="",TEXT(Настройки!$J3,"ч:мм"),TEXT(Настройки!AF91,"ч:мм"))+TIME(0,Октябрь!AD14,0),"ч::мм"))</f>
        <v/>
      </c>
      <c r="M25" s="3" t="str">
        <f ca="1">IF(TEXT(IF(Настройки!AG91="",TEXT(Настройки!$J3,"ч:мм"),TEXT(Настройки!AG91,"ч:мм"))+TIME(0,Октябрь!AE14,0),"ч::мм")=TEXT(IF(Настройки!AG91="",TEXT(Настройки!$J3,"ч:мм"),TEXT(Настройки!AG91,"ч:мм")),"ч:мм"),"",TEXT(IF(Настройки!AG91="",TEXT(Настройки!$J3,"ч:мм"),TEXT(Настройки!AG91,"ч:мм")),"ч:мм")&amp;"-"&amp;TEXT(IF(Настройки!AG91="",TEXT(Настройки!$J3,"ч:мм"),TEXT(Настройки!AG91,"ч:мм"))+TIME(0,Октябрь!AE14,0),"ч::мм"))</f>
        <v/>
      </c>
      <c r="N25" s="3" t="str">
        <f ca="1">IF(TEXT(IF(Настройки!AH91="",TEXT(Настройки!$J3,"ч:мм"),TEXT(Настройки!AH91,"ч:мм"))+TIME(0,Октябрь!AF14,0),"ч::мм")=TEXT(IF(Настройки!AH91="",TEXT(Настройки!$J3,"ч:мм"),TEXT(Настройки!AH91,"ч:мм")),"ч:мм"),"",TEXT(IF(Настройки!AH91="",TEXT(Настройки!$J3,"ч:мм"),TEXT(Настройки!AH91,"ч:мм")),"ч:мм")&amp;"-"&amp;TEXT(IF(Настройки!AH91="",TEXT(Настройки!$J3,"ч:мм"),TEXT(Настройки!AH91,"ч:мм"))+TIME(0,Октябрь!AF14,0),"ч::мм"))</f>
        <v/>
      </c>
      <c r="O25" s="3" t="str">
        <f ca="1">IF(TEXT(IF(Настройки!AI91="",TEXT(Настройки!$J3,"ч:мм"),TEXT(Настройки!AI91,"ч:мм"))+TIME(0,Октябрь!AG14,0),"ч::мм")=TEXT(IF(Настройки!AI91="",TEXT(Настройки!$J3,"ч:мм"),TEXT(Настройки!AI91,"ч:мм")),"ч:мм"),"",TEXT(IF(Настройки!AI91="",TEXT(Настройки!$J3,"ч:мм"),TEXT(Настройки!AI91,"ч:мм")),"ч:мм")&amp;"-"&amp;TEXT(IF(Настройки!AI91="",TEXT(Настройки!$J3,"ч:мм"),TEXT(Настройки!AI91,"ч:мм"))+TIME(0,Октябрь!AG14,0),"ч::мм"))</f>
        <v/>
      </c>
      <c r="P25" s="3" t="str">
        <f ca="1">IF(TEXT(IF(Настройки!AJ91="",TEXT(Настройки!$J3,"ч:мм"),TEXT(Настройки!AJ91,"ч:мм"))+TIME(0,Октябрь!AH14,0),"ч::мм")=TEXT(IF(Настройки!AJ91="",TEXT(Настройки!$J3,"ч:мм"),TEXT(Настройки!AJ91,"ч:мм")),"ч:мм"),"",TEXT(IF(Настройки!AJ91="",TEXT(Настройки!$J3,"ч:мм"),TEXT(Настройки!AJ91,"ч:мм")),"ч:мм")&amp;"-"&amp;TEXT(IF(Настройки!AJ91="",TEXT(Настройки!$J3,"ч:мм"),TEXT(Настройки!AJ91,"ч:мм"))+TIME(0,Октябрь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92="",TEXT(Настройки!$J4,"ч:мм"),TEXT(Настройки!V92,"ч:мм"))+TIME(0,Октябрь!T15,0),"ч::мм")=TEXT(IF(Настройки!V92="",TEXT(Настройки!$J4,"ч:мм"),TEXT(Настройки!V92,"ч:мм")),"ч:мм"),"",TEXT(IF(Настройки!V92="",TEXT(Настройки!$J4,"ч:мм"),TEXT(Настройки!V92,"ч:мм")),"ч:мм")&amp;"-"&amp;TEXT(IF(Настройки!V92="",TEXT(Настройки!$J4,"ч:мм"),TEXT(Настройки!V92,"ч:мм"))+TIME(0,Октябрь!T15,0),"ч::мм"))</f>
        <v/>
      </c>
      <c r="C26" s="3" t="str">
        <f ca="1">IF(TEXT(IF(Настройки!W92="",TEXT(Настройки!$J4,"ч:мм"),TEXT(Настройки!W92,"ч:мм"))+TIME(0,Октябрь!U15,0),"ч::мм")=TEXT(IF(Настройки!W92="",TEXT(Настройки!$J4,"ч:мм"),TEXT(Настройки!W92,"ч:мм")),"ч:мм"),"",TEXT(IF(Настройки!W92="",TEXT(Настройки!$J4,"ч:мм"),TEXT(Настройки!W92,"ч:мм")),"ч:мм")&amp;"-"&amp;TEXT(IF(Настройки!W92="",TEXT(Настройки!$J4,"ч:мм"),TEXT(Настройки!W92,"ч:мм"))+TIME(0,Октябрь!U15,0),"ч::мм"))</f>
        <v/>
      </c>
      <c r="D26" s="3" t="str">
        <f ca="1">IF(TEXT(IF(Настройки!X92="",TEXT(Настройки!$J4,"ч:мм"),TEXT(Настройки!X92,"ч:мм"))+TIME(0,Октябрь!V15,0),"ч::мм")=TEXT(IF(Настройки!X92="",TEXT(Настройки!$J4,"ч:мм"),TEXT(Настройки!X92,"ч:мм")),"ч:мм"),"",TEXT(IF(Настройки!X92="",TEXT(Настройки!$J4,"ч:мм"),TEXT(Настройки!X92,"ч:мм")),"ч:мм")&amp;"-"&amp;TEXT(IF(Настройки!X92="",TEXT(Настройки!$J4,"ч:мм"),TEXT(Настройки!X92,"ч:мм"))+TIME(0,Октябрь!V15,0),"ч::мм"))</f>
        <v/>
      </c>
      <c r="E26" s="3" t="str">
        <f ca="1">IF(TEXT(IF(Настройки!Y92="",TEXT(Настройки!$J4,"ч:мм"),TEXT(Настройки!Y92,"ч:мм"))+TIME(0,Октябрь!W15,0),"ч::мм")=TEXT(IF(Настройки!Y92="",TEXT(Настройки!$J4,"ч:мм"),TEXT(Настройки!Y92,"ч:мм")),"ч:мм"),"",TEXT(IF(Настройки!Y92="",TEXT(Настройки!$J4,"ч:мм"),TEXT(Настройки!Y92,"ч:мм")),"ч:мм")&amp;"-"&amp;TEXT(IF(Настройки!Y92="",TEXT(Настройки!$J4,"ч:мм"),TEXT(Настройки!Y92,"ч:мм"))+TIME(0,Октябрь!W15,0),"ч::мм"))</f>
        <v/>
      </c>
      <c r="F26" s="3" t="str">
        <f ca="1">IF(TEXT(IF(Настройки!Z92="",TEXT(Настройки!$J4,"ч:мм"),TEXT(Настройки!Z92,"ч:мм"))+TIME(0,Октябрь!X15,0),"ч::мм")=TEXT(IF(Настройки!Z92="",TEXT(Настройки!$J4,"ч:мм"),TEXT(Настройки!Z92,"ч:мм")),"ч:мм"),"",TEXT(IF(Настройки!Z92="",TEXT(Настройки!$J4,"ч:мм"),TEXT(Настройки!Z92,"ч:мм")),"ч:мм")&amp;"-"&amp;TEXT(IF(Настройки!Z92="",TEXT(Настройки!$J4,"ч:мм"),TEXT(Настройки!Z92,"ч:мм"))+TIME(0,Октябрь!X15,0),"ч::мм"))</f>
        <v/>
      </c>
      <c r="G26" s="3" t="str">
        <f ca="1">IF(TEXT(IF(Настройки!AA92="",TEXT(Настройки!$J4,"ч:мм"),TEXT(Настройки!AA92,"ч:мм"))+TIME(0,Октябрь!Y15,0),"ч::мм")=TEXT(IF(Настройки!AA92="",TEXT(Настройки!$J4,"ч:мм"),TEXT(Настройки!AA92,"ч:мм")),"ч:мм"),"",TEXT(IF(Настройки!AA92="",TEXT(Настройки!$J4,"ч:мм"),TEXT(Настройки!AA92,"ч:мм")),"ч:мм")&amp;"-"&amp;TEXT(IF(Настройки!AA92="",TEXT(Настройки!$J4,"ч:мм"),TEXT(Настройки!AA92,"ч:мм"))+TIME(0,Октябрь!Y15,0),"ч::мм"))</f>
        <v/>
      </c>
      <c r="H26" s="3" t="str">
        <f ca="1">IF(TEXT(IF(Настройки!AB92="",TEXT(Настройки!$J4,"ч:мм"),TEXT(Настройки!AB92,"ч:мм"))+TIME(0,Октябрь!Z15,0),"ч::мм")=TEXT(IF(Настройки!AB92="",TEXT(Настройки!$J4,"ч:мм"),TEXT(Настройки!AB92,"ч:мм")),"ч:мм"),"",TEXT(IF(Настройки!AB92="",TEXT(Настройки!$J4,"ч:мм"),TEXT(Настройки!AB92,"ч:мм")),"ч:мм")&amp;"-"&amp;TEXT(IF(Настройки!AB92="",TEXT(Настройки!$J4,"ч:мм"),TEXT(Настройки!AB92,"ч:мм"))+TIME(0,Октябрь!Z15,0),"ч::мм"))</f>
        <v/>
      </c>
      <c r="I26" s="3" t="str">
        <f ca="1">IF(TEXT(IF(Настройки!AC92="",TEXT(Настройки!$J4,"ч:мм"),TEXT(Настройки!AC92,"ч:мм"))+TIME(0,Октябрь!AA15,0),"ч::мм")=TEXT(IF(Настройки!AC92="",TEXT(Настройки!$J4,"ч:мм"),TEXT(Настройки!AC92,"ч:мм")),"ч:мм"),"",TEXT(IF(Настройки!AC92="",TEXT(Настройки!$J4,"ч:мм"),TEXT(Настройки!AC92,"ч:мм")),"ч:мм")&amp;"-"&amp;TEXT(IF(Настройки!AC92="",TEXT(Настройки!$J4,"ч:мм"),TEXT(Настройки!AC92,"ч:мм"))+TIME(0,Октябрь!AA15,0),"ч::мм"))</f>
        <v/>
      </c>
      <c r="J26" s="3" t="str">
        <f ca="1">IF(TEXT(IF(Настройки!AD92="",TEXT(Настройки!$J4,"ч:мм"),TEXT(Настройки!AD92,"ч:мм"))+TIME(0,Октябрь!AB15,0),"ч::мм")=TEXT(IF(Настройки!AD92="",TEXT(Настройки!$J4,"ч:мм"),TEXT(Настройки!AD92,"ч:мм")),"ч:мм"),"",TEXT(IF(Настройки!AD92="",TEXT(Настройки!$J4,"ч:мм"),TEXT(Настройки!AD92,"ч:мм")),"ч:мм")&amp;"-"&amp;TEXT(IF(Настройки!AD92="",TEXT(Настройки!$J4,"ч:мм"),TEXT(Настройки!AD92,"ч:мм"))+TIME(0,Октябрь!AB15,0),"ч::мм"))</f>
        <v/>
      </c>
      <c r="K26" s="3" t="str">
        <f ca="1">IF(TEXT(IF(Настройки!AE92="",TEXT(Настройки!$J4,"ч:мм"),TEXT(Настройки!AE92,"ч:мм"))+TIME(0,Октябрь!AC15,0),"ч::мм")=TEXT(IF(Настройки!AE92="",TEXT(Настройки!$J4,"ч:мм"),TEXT(Настройки!AE92,"ч:мм")),"ч:мм"),"",TEXT(IF(Настройки!AE92="",TEXT(Настройки!$J4,"ч:мм"),TEXT(Настройки!AE92,"ч:мм")),"ч:мм")&amp;"-"&amp;TEXT(IF(Настройки!AE92="",TEXT(Настройки!$J4,"ч:мм"),TEXT(Настройки!AE92,"ч:мм"))+TIME(0,Октябрь!AC15,0),"ч::мм"))</f>
        <v/>
      </c>
      <c r="L26" s="3" t="str">
        <f ca="1">IF(TEXT(IF(Настройки!AF92="",TEXT(Настройки!$J4,"ч:мм"),TEXT(Настройки!AF92,"ч:мм"))+TIME(0,Октябрь!AD15,0),"ч::мм")=TEXT(IF(Настройки!AF92="",TEXT(Настройки!$J4,"ч:мм"),TEXT(Настройки!AF92,"ч:мм")),"ч:мм"),"",TEXT(IF(Настройки!AF92="",TEXT(Настройки!$J4,"ч:мм"),TEXT(Настройки!AF92,"ч:мм")),"ч:мм")&amp;"-"&amp;TEXT(IF(Настройки!AF92="",TEXT(Настройки!$J4,"ч:мм"),TEXT(Настройки!AF92,"ч:мм"))+TIME(0,Октябрь!AD15,0),"ч::мм"))</f>
        <v/>
      </c>
      <c r="M26" s="3" t="str">
        <f ca="1">IF(TEXT(IF(Настройки!AG92="",TEXT(Настройки!$J4,"ч:мм"),TEXT(Настройки!AG92,"ч:мм"))+TIME(0,Октябрь!AE15,0),"ч::мм")=TEXT(IF(Настройки!AG92="",TEXT(Настройки!$J4,"ч:мм"),TEXT(Настройки!AG92,"ч:мм")),"ч:мм"),"",TEXT(IF(Настройки!AG92="",TEXT(Настройки!$J4,"ч:мм"),TEXT(Настройки!AG92,"ч:мм")),"ч:мм")&amp;"-"&amp;TEXT(IF(Настройки!AG92="",TEXT(Настройки!$J4,"ч:мм"),TEXT(Настройки!AG92,"ч:мм"))+TIME(0,Октябрь!AE15,0),"ч::мм"))</f>
        <v/>
      </c>
      <c r="N26" s="3" t="str">
        <f ca="1">IF(TEXT(IF(Настройки!AH92="",TEXT(Настройки!$J4,"ч:мм"),TEXT(Настройки!AH92,"ч:мм"))+TIME(0,Октябрь!AF15,0),"ч::мм")=TEXT(IF(Настройки!AH92="",TEXT(Настройки!$J4,"ч:мм"),TEXT(Настройки!AH92,"ч:мм")),"ч:мм"),"",TEXT(IF(Настройки!AH92="",TEXT(Настройки!$J4,"ч:мм"),TEXT(Настройки!AH92,"ч:мм")),"ч:мм")&amp;"-"&amp;TEXT(IF(Настройки!AH92="",TEXT(Настройки!$J4,"ч:мм"),TEXT(Настройки!AH92,"ч:мм"))+TIME(0,Октябрь!AF15,0),"ч::мм"))</f>
        <v/>
      </c>
      <c r="O26" s="3" t="str">
        <f ca="1">IF(TEXT(IF(Настройки!AI92="",TEXT(Настройки!$J4,"ч:мм"),TEXT(Настройки!AI92,"ч:мм"))+TIME(0,Октябрь!AG15,0),"ч::мм")=TEXT(IF(Настройки!AI92="",TEXT(Настройки!$J4,"ч:мм"),TEXT(Настройки!AI92,"ч:мм")),"ч:мм"),"",TEXT(IF(Настройки!AI92="",TEXT(Настройки!$J4,"ч:мм"),TEXT(Настройки!AI92,"ч:мм")),"ч:мм")&amp;"-"&amp;TEXT(IF(Настройки!AI92="",TEXT(Настройки!$J4,"ч:мм"),TEXT(Настройки!AI92,"ч:мм"))+TIME(0,Октябрь!AG15,0),"ч::мм"))</f>
        <v/>
      </c>
      <c r="P26" s="3" t="str">
        <f ca="1">IF(TEXT(IF(Настройки!AJ92="",TEXT(Настройки!$J4,"ч:мм"),TEXT(Настройки!AJ92,"ч:мм"))+TIME(0,Октябрь!AH15,0),"ч::мм")=TEXT(IF(Настройки!AJ92="",TEXT(Настройки!$J4,"ч:мм"),TEXT(Настройки!AJ92,"ч:мм")),"ч:мм"),"",TEXT(IF(Настройки!AJ92="",TEXT(Настройки!$J4,"ч:мм"),TEXT(Настройки!AJ92,"ч:мм")),"ч:мм")&amp;"-"&amp;TEXT(IF(Настройки!AJ92="",TEXT(Настройки!$J4,"ч:мм"),TEXT(Настройки!AJ92,"ч:мм"))+TIME(0,Октябрь!AH15,0),"ч::мм"))</f>
        <v/>
      </c>
    </row>
    <row r="27" spans="1:18" x14ac:dyDescent="0.25">
      <c r="Q27" s="9"/>
      <c r="R27" s="9"/>
    </row>
    <row r="28" spans="1:18" x14ac:dyDescent="0.25">
      <c r="A28" s="81"/>
      <c r="B28" s="67" t="s">
        <v>55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4"/>
      <c r="Q28" s="33"/>
      <c r="R28" s="9"/>
    </row>
    <row r="29" spans="1:18" x14ac:dyDescent="0.25">
      <c r="A29" s="83"/>
      <c r="B29" s="95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6"/>
      <c r="Q29" s="33"/>
      <c r="R29" s="9"/>
    </row>
    <row r="30" spans="1:18" x14ac:dyDescent="0.25">
      <c r="A30" s="83"/>
      <c r="B30" s="29">
        <f>Настройки!AK16</f>
        <v>45596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31"/>
      <c r="R30" s="9"/>
    </row>
    <row r="31" spans="1:18" x14ac:dyDescent="0.25">
      <c r="A31" s="83"/>
      <c r="B31" s="67" t="s">
        <v>54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4"/>
      <c r="Q31" s="33"/>
      <c r="R31" s="9"/>
    </row>
    <row r="32" spans="1:18" x14ac:dyDescent="0.25">
      <c r="A32" s="84"/>
      <c r="B32" s="95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6"/>
      <c r="Q32" s="33"/>
      <c r="R32" s="9"/>
    </row>
    <row r="33" spans="1:16" x14ac:dyDescent="0.25">
      <c r="A33" s="3" t="s">
        <v>138</v>
      </c>
      <c r="B33" s="3" t="s">
        <v>113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</row>
    <row r="34" spans="1:16" x14ac:dyDescent="0.25">
      <c r="A34" s="32" t="str">
        <f t="shared" ref="A34:A36" si="1">A24</f>
        <v>9:00-9:00</v>
      </c>
      <c r="B34" s="3" t="str">
        <f>IF(TEXT(IF(Настройки!AK90="",TEXT(Настройки!$J2,"ч:мм"),TEXT(Настройки!AK90,"ч:мм"))+TIME(0,Октябрь!AI13,0),"ч::мм")=TEXT(IF(Настройки!AK90="",TEXT(Настройки!$J2,"ч:мм"),TEXT(Настройки!AK90,"ч:мм")),"ч:мм"),"",TEXT(IF(Настройки!AK90="",TEXT(Настройки!$J2,"ч:мм"),TEXT(Настройки!AK90,"ч:мм")),"ч:мм")&amp;"-"&amp;TEXT(IF(Настройки!AK90="",TEXT(Настройки!$J2,"ч:мм"),TEXT(Настройки!AK90,"ч:мм"))+TIME(0,Октябрь!AI13,0),"ч::мм"))</f>
        <v/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</row>
    <row r="35" spans="1:16" x14ac:dyDescent="0.25">
      <c r="A35" s="32" t="str">
        <f t="shared" ca="1" si="1"/>
        <v>13:00-13:00</v>
      </c>
      <c r="B35" s="3" t="str">
        <f ca="1">IF(TEXT(IF(Настройки!AK91="",TEXT(Настройки!$J3,"ч:мм"),TEXT(Настройки!AK91,"ч:мм"))+TIME(0,Октябрь!AI14,0),"ч::мм")=TEXT(IF(Настройки!AK91="",TEXT(Настройки!$J3,"ч:мм"),TEXT(Настройки!AK91,"ч:мм")),"ч:мм"),"",TEXT(IF(Настройки!AK91="",TEXT(Настройки!$J3,"ч:мм"),TEXT(Настройки!AK91,"ч:мм")),"ч:мм")&amp;"-"&amp;TEXT(IF(Настройки!AK91="",TEXT(Настройки!$J3,"ч:мм"),TEXT(Настройки!AK91,"ч:мм"))+TIME(0,Октябрь!AI14,0),"ч::мм"))</f>
        <v/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</row>
    <row r="36" spans="1:16" x14ac:dyDescent="0.25">
      <c r="A36" s="32" t="str">
        <f t="shared" ca="1" si="1"/>
        <v>16:00-16:00</v>
      </c>
      <c r="B36" s="3" t="str">
        <f ca="1">IF(TEXT(IF(Настройки!AK92="",TEXT(Настройки!$J4,"ч:мм"),TEXT(Настройки!AK92,"ч:мм"))+TIME(0,Октябрь!AI15,0),"ч::мм")=TEXT(IF(Настройки!AK92="",TEXT(Настройки!$J4,"ч:мм"),TEXT(Настройки!AK92,"ч:мм")),"ч:мм"),"",TEXT(IF(Настройки!AK92="",TEXT(Настройки!$J4,"ч:мм"),TEXT(Настройки!AK92,"ч:мм")),"ч:мм")&amp;"-"&amp;TEXT(IF(Настройки!AK92="",TEXT(Настройки!$J4,"ч:мм"),TEXT(Настройки!AK92,"ч:мм"))+TIME(0,Октябрь!AI15,0),"ч::мм"))</f>
        <v/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</row>
  </sheetData>
  <mergeCells count="12">
    <mergeCell ref="A2:P2"/>
    <mergeCell ref="F6:G6"/>
    <mergeCell ref="H6:I6"/>
    <mergeCell ref="A8:A12"/>
    <mergeCell ref="B8:P9"/>
    <mergeCell ref="B11:P12"/>
    <mergeCell ref="A18:A22"/>
    <mergeCell ref="B18:P19"/>
    <mergeCell ref="B21:P22"/>
    <mergeCell ref="A28:A32"/>
    <mergeCell ref="B28:P29"/>
    <mergeCell ref="B31:P32"/>
  </mergeCells>
  <conditionalFormatting sqref="B10:P10">
    <cfRule type="expression" dxfId="267" priority="3">
      <formula>WEEKDAY(B10:P10,2)&gt;5</formula>
    </cfRule>
  </conditionalFormatting>
  <conditionalFormatting sqref="B20:P20">
    <cfRule type="expression" dxfId="266" priority="2">
      <formula>WEEKDAY(B20:P20,2)&gt;5</formula>
    </cfRule>
  </conditionalFormatting>
  <conditionalFormatting sqref="B30">
    <cfRule type="expression" dxfId="265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theme="4" tint="0.39997558519241921"/>
    <pageSetUpPr fitToPage="1"/>
  </sheetPr>
  <dimension ref="A1:AK28"/>
  <sheetViews>
    <sheetView zoomScale="70" zoomScaleNormal="70" workbookViewId="0">
      <selection activeCell="D1" sqref="D1"/>
    </sheetView>
  </sheetViews>
  <sheetFormatPr defaultRowHeight="15.75" x14ac:dyDescent="0.25"/>
  <cols>
    <col min="1" max="1" width="21.42578125" style="3" customWidth="1"/>
    <col min="2" max="2" width="18.28515625" style="3" bestFit="1" customWidth="1"/>
    <col min="3" max="3" width="14.42578125" style="3" bestFit="1" customWidth="1"/>
    <col min="4" max="4" width="9.28515625" style="3" customWidth="1"/>
    <col min="5" max="17" width="4.42578125" style="3" bestFit="1" customWidth="1"/>
    <col min="18" max="18" width="6.42578125" style="3" bestFit="1" customWidth="1"/>
    <col min="19" max="34" width="4.42578125" style="3" bestFit="1" customWidth="1"/>
    <col min="35" max="35" width="9.5703125" style="3" bestFit="1" customWidth="1"/>
    <col min="36" max="36" width="10" style="3" bestFit="1" customWidth="1"/>
    <col min="37" max="37" width="10.5703125" style="3" customWidth="1"/>
    <col min="38" max="38" width="14" style="3" bestFit="1" customWidth="1"/>
    <col min="39" max="16384" width="9.140625" style="3"/>
  </cols>
  <sheetData>
    <row r="1" spans="1:37" x14ac:dyDescent="0.25">
      <c r="D1" s="56"/>
    </row>
    <row r="2" spans="1:37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7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7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7" ht="18.75" x14ac:dyDescent="0.25">
      <c r="C5" s="14"/>
      <c r="L5" s="10" t="s">
        <v>69</v>
      </c>
      <c r="M5" s="61" t="s">
        <v>130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6" spans="1:37" ht="18.75" x14ac:dyDescent="0.25">
      <c r="C6" s="14"/>
      <c r="L6" s="10"/>
      <c r="M6" s="16"/>
      <c r="N6" s="25"/>
      <c r="O6" s="25"/>
      <c r="P6" s="25"/>
      <c r="Q6" s="25"/>
      <c r="R6" s="16"/>
      <c r="S6" s="25"/>
      <c r="T6" s="12"/>
      <c r="U6" s="12"/>
    </row>
    <row r="7" spans="1:37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69"/>
      <c r="AI7" s="63" t="s">
        <v>64</v>
      </c>
      <c r="AJ7" s="63" t="s">
        <v>64</v>
      </c>
      <c r="AK7" s="4"/>
    </row>
    <row r="8" spans="1:37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78"/>
      <c r="AI8" s="63"/>
      <c r="AJ8" s="63"/>
      <c r="AK8" s="4"/>
    </row>
    <row r="9" spans="1:37" x14ac:dyDescent="0.25">
      <c r="A9" s="73"/>
      <c r="B9" s="76"/>
      <c r="C9" s="76"/>
      <c r="D9" s="82"/>
      <c r="E9" s="17">
        <f>Настройки!G17</f>
        <v>45597</v>
      </c>
      <c r="F9" s="17">
        <f>Настройки!H17</f>
        <v>45598</v>
      </c>
      <c r="G9" s="17">
        <f>Настройки!I17</f>
        <v>45599</v>
      </c>
      <c r="H9" s="17">
        <f>Настройки!J17</f>
        <v>45600</v>
      </c>
      <c r="I9" s="17">
        <f>Настройки!K17</f>
        <v>45601</v>
      </c>
      <c r="J9" s="17">
        <f>Настройки!L17</f>
        <v>45602</v>
      </c>
      <c r="K9" s="17">
        <f>Настройки!M17</f>
        <v>45603</v>
      </c>
      <c r="L9" s="17">
        <f>Настройки!N17</f>
        <v>45604</v>
      </c>
      <c r="M9" s="17">
        <f>Настройки!O17</f>
        <v>45605</v>
      </c>
      <c r="N9" s="17">
        <f>Настройки!P17</f>
        <v>45606</v>
      </c>
      <c r="O9" s="17">
        <f>Настройки!Q17</f>
        <v>45607</v>
      </c>
      <c r="P9" s="17">
        <f>Настройки!R17</f>
        <v>45608</v>
      </c>
      <c r="Q9" s="17">
        <f>Настройки!S17</f>
        <v>45609</v>
      </c>
      <c r="R9" s="17">
        <f>Настройки!T17</f>
        <v>45610</v>
      </c>
      <c r="S9" s="17">
        <f>Настройки!U17</f>
        <v>45611</v>
      </c>
      <c r="T9" s="17">
        <f>Настройки!V17</f>
        <v>45612</v>
      </c>
      <c r="U9" s="17">
        <f>Настройки!W17</f>
        <v>45613</v>
      </c>
      <c r="V9" s="17">
        <f>Настройки!X17</f>
        <v>45614</v>
      </c>
      <c r="W9" s="17">
        <f>Настройки!Y17</f>
        <v>45615</v>
      </c>
      <c r="X9" s="17">
        <f>Настройки!Z17</f>
        <v>45616</v>
      </c>
      <c r="Y9" s="17">
        <f>Настройки!AA17</f>
        <v>45617</v>
      </c>
      <c r="Z9" s="17">
        <f>Настройки!AB17</f>
        <v>45618</v>
      </c>
      <c r="AA9" s="17">
        <f>Настройки!AC17</f>
        <v>45619</v>
      </c>
      <c r="AB9" s="17">
        <f>Настройки!AD17</f>
        <v>45620</v>
      </c>
      <c r="AC9" s="17">
        <f>Настройки!AE17</f>
        <v>45621</v>
      </c>
      <c r="AD9" s="17">
        <f>Настройки!AF17</f>
        <v>45622</v>
      </c>
      <c r="AE9" s="17">
        <f>Настройки!AG17</f>
        <v>45623</v>
      </c>
      <c r="AF9" s="17">
        <f>Настройки!AH17</f>
        <v>45624</v>
      </c>
      <c r="AG9" s="17">
        <f>Настройки!AI17</f>
        <v>45625</v>
      </c>
      <c r="AH9" s="17">
        <f>Настройки!AJ17</f>
        <v>45626</v>
      </c>
      <c r="AI9" s="63"/>
      <c r="AJ9" s="63"/>
      <c r="AK9" s="4"/>
    </row>
    <row r="10" spans="1:37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85"/>
      <c r="AI10" s="63"/>
      <c r="AJ10" s="63"/>
      <c r="AK10" s="4"/>
    </row>
    <row r="11" spans="1:37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2"/>
      <c r="AI11" s="63"/>
      <c r="AJ11" s="63"/>
    </row>
    <row r="12" spans="1:37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13" t="s">
        <v>75</v>
      </c>
      <c r="F12" s="13" t="s">
        <v>76</v>
      </c>
      <c r="G12" s="13" t="s">
        <v>77</v>
      </c>
      <c r="H12" s="13" t="s">
        <v>78</v>
      </c>
      <c r="I12" s="13" t="s">
        <v>79</v>
      </c>
      <c r="J12" s="13" t="s">
        <v>80</v>
      </c>
      <c r="K12" s="13" t="s">
        <v>81</v>
      </c>
      <c r="L12" s="13" t="s">
        <v>82</v>
      </c>
      <c r="M12" s="13" t="s">
        <v>83</v>
      </c>
      <c r="N12" s="13" t="s">
        <v>84</v>
      </c>
      <c r="O12" s="13" t="s">
        <v>85</v>
      </c>
      <c r="P12" s="13" t="s">
        <v>86</v>
      </c>
      <c r="Q12" s="13" t="s">
        <v>87</v>
      </c>
      <c r="R12" s="13" t="s">
        <v>88</v>
      </c>
      <c r="S12" s="13" t="s">
        <v>89</v>
      </c>
      <c r="T12" s="13" t="s">
        <v>90</v>
      </c>
      <c r="U12" s="13" t="s">
        <v>91</v>
      </c>
      <c r="V12" s="13" t="s">
        <v>92</v>
      </c>
      <c r="W12" s="13" t="s">
        <v>93</v>
      </c>
      <c r="X12" s="13" t="s">
        <v>94</v>
      </c>
      <c r="Y12" s="13" t="s">
        <v>95</v>
      </c>
      <c r="Z12" s="13" t="s">
        <v>96</v>
      </c>
      <c r="AA12" s="13" t="s">
        <v>97</v>
      </c>
      <c r="AB12" s="13" t="s">
        <v>98</v>
      </c>
      <c r="AC12" s="13" t="s">
        <v>99</v>
      </c>
      <c r="AD12" s="13" t="s">
        <v>100</v>
      </c>
      <c r="AE12" s="13" t="s">
        <v>101</v>
      </c>
      <c r="AF12" s="13" t="s">
        <v>102</v>
      </c>
      <c r="AG12" s="13" t="s">
        <v>103</v>
      </c>
      <c r="AH12" s="13" t="s">
        <v>104</v>
      </c>
      <c r="AI12" s="3" t="s">
        <v>62</v>
      </c>
      <c r="AJ12" s="3" t="s">
        <v>63</v>
      </c>
    </row>
    <row r="13" spans="1:37" x14ac:dyDescent="0.25">
      <c r="A13" s="5" t="s">
        <v>56</v>
      </c>
      <c r="B13" s="3">
        <f ca="1">SUMPRODUCT((Настройки!$G$31:$AJ$31=1)*E16:AH16)</f>
        <v>0</v>
      </c>
      <c r="C13" s="13"/>
      <c r="D13" s="5">
        <v>1</v>
      </c>
      <c r="E13" s="3">
        <f>SUMPRODUCT((Ноябрь[№]=1)*Ноябрь[1],Ноябрь[Объем])</f>
        <v>0</v>
      </c>
      <c r="F13" s="23">
        <f>SUMPRODUCT((Ноябрь[№]=1)*Ноябрь[2],Ноябрь[Объем])</f>
        <v>0</v>
      </c>
      <c r="G13" s="23">
        <f>SUMPRODUCT((Ноябрь[№]=1)*Ноябрь[3],Ноябрь[Объем])</f>
        <v>0</v>
      </c>
      <c r="H13" s="23">
        <f>SUMPRODUCT((Ноябрь[№]=1)*Ноябрь[4],Ноябрь[Объем])</f>
        <v>0</v>
      </c>
      <c r="I13" s="23">
        <f>SUMPRODUCT((Ноябрь[№]=1)*Ноябрь[5],Ноябрь[Объем])</f>
        <v>0</v>
      </c>
      <c r="J13" s="23">
        <f>SUMPRODUCT((Ноябрь[№]=1)*Ноябрь[6],Ноябрь[Объем])</f>
        <v>0</v>
      </c>
      <c r="K13" s="23">
        <f>SUMPRODUCT((Ноябрь[№]=1)*Ноябрь[7],Ноябрь[Объем])</f>
        <v>0</v>
      </c>
      <c r="L13" s="23">
        <f>SUMPRODUCT((Ноябрь[№]=1)*Ноябрь[8],Ноябрь[Объем])</f>
        <v>0</v>
      </c>
      <c r="M13" s="23">
        <f>SUMPRODUCT((Ноябрь[№]=1)*Ноябрь[9],Ноябрь[Объем])</f>
        <v>0</v>
      </c>
      <c r="N13" s="23">
        <f>SUMPRODUCT((Ноябрь[№]=1)*Ноябрь[10],Ноябрь[Объем])</f>
        <v>0</v>
      </c>
      <c r="O13" s="23">
        <f>SUMPRODUCT((Ноябрь[№]=1)*Ноябрь[11],Ноябрь[Объем])</f>
        <v>0</v>
      </c>
      <c r="P13" s="23">
        <f>SUMPRODUCT((Ноябрь[№]=1)*Ноябрь[12],Ноябрь[Объем])</f>
        <v>0</v>
      </c>
      <c r="Q13" s="23">
        <f>SUMPRODUCT((Ноябрь[№]=1)*Ноябрь[13],Ноябрь[Объем])</f>
        <v>0</v>
      </c>
      <c r="R13" s="23">
        <f>SUMPRODUCT((Ноябрь[№]=1)*Ноябрь[14],Ноябрь[Объем])</f>
        <v>0</v>
      </c>
      <c r="S13" s="23">
        <f>SUMPRODUCT((Ноябрь[№]=1)*Ноябрь[15],Ноябрь[Объем])</f>
        <v>0</v>
      </c>
      <c r="T13" s="23">
        <f>SUMPRODUCT((Ноябрь[№]=1)*Ноябрь[16],Ноябрь[Объем])</f>
        <v>0</v>
      </c>
      <c r="U13" s="23">
        <f>SUMPRODUCT((Ноябрь[№]=1)*Ноябрь[17],Ноябрь[Объем])</f>
        <v>0</v>
      </c>
      <c r="V13" s="23">
        <f>SUMPRODUCT((Ноябрь[№]=1)*Ноябрь[18],Ноябрь[Объем])</f>
        <v>0</v>
      </c>
      <c r="W13" s="23">
        <f>SUMPRODUCT((Ноябрь[№]=1)*Ноябрь[19],Ноябрь[Объем])</f>
        <v>0</v>
      </c>
      <c r="X13" s="23">
        <f>SUMPRODUCT((Ноябрь[№]=1)*Ноябрь[20],Ноябрь[Объем])</f>
        <v>0</v>
      </c>
      <c r="Y13" s="23">
        <f>SUMPRODUCT((Ноябрь[№]=1)*Ноябрь[21],Ноябрь[Объем])</f>
        <v>0</v>
      </c>
      <c r="Z13" s="23">
        <f>SUMPRODUCT((Ноябрь[№]=1)*Ноябрь[22],Ноябрь[Объем])</f>
        <v>0</v>
      </c>
      <c r="AA13" s="23">
        <f>SUMPRODUCT((Ноябрь[№]=1)*Ноябрь[23],Ноябрь[Объем])</f>
        <v>0</v>
      </c>
      <c r="AB13" s="23">
        <f>SUMPRODUCT((Ноябрь[№]=1)*Ноябрь[24],Ноябрь[Объем])</f>
        <v>0</v>
      </c>
      <c r="AC13" s="23">
        <f>SUMPRODUCT((Ноябрь[№]=1)*Ноябрь[25],Ноябрь[Объем])</f>
        <v>0</v>
      </c>
      <c r="AD13" s="23">
        <f>SUMPRODUCT((Ноябрь[№]=1)*Ноябрь[26],Ноябрь[Объем])</f>
        <v>0</v>
      </c>
      <c r="AE13" s="23">
        <f>SUMPRODUCT((Ноябрь[№]=1)*Ноябрь[27],Ноябрь[Объем])</f>
        <v>0</v>
      </c>
      <c r="AF13" s="23">
        <f>SUMPRODUCT((Ноябрь[№]=1)*Ноябрь[28],Ноябрь[Объем])</f>
        <v>0</v>
      </c>
      <c r="AG13" s="23">
        <f>SUMPRODUCT((Ноябрь[№]=1)*Ноябрь[29],Ноябрь[Объем])</f>
        <v>0</v>
      </c>
      <c r="AH13" s="23">
        <f>SUMPRODUCT((Ноябрь[№]=1)*Ноябрь[30],Ноябрь[Объем])</f>
        <v>0</v>
      </c>
    </row>
    <row r="14" spans="1:37" x14ac:dyDescent="0.25">
      <c r="B14" s="3">
        <f ca="1">SUMPRODUCT((Настройки!$G$31:$AJ$31=2)*E16:AH16)</f>
        <v>0</v>
      </c>
      <c r="D14" s="5">
        <v>2</v>
      </c>
      <c r="E14" s="3">
        <f ca="1">SUMPRODUCT((Ноябрь[№]=2)*Ноябрь[1],OFFSET(Ноябрь[Объем],-1,0))</f>
        <v>0</v>
      </c>
      <c r="F14" s="23">
        <f ca="1">SUMPRODUCT((Ноябрь[№]=2)*Ноябрь[2],OFFSET(Ноябрь[Объем],-1,0))</f>
        <v>0</v>
      </c>
      <c r="G14" s="23">
        <f ca="1">SUMPRODUCT((Ноябрь[№]=2)*Ноябрь[3],OFFSET(Ноябрь[Объем],-1,0))</f>
        <v>0</v>
      </c>
      <c r="H14" s="23">
        <f ca="1">SUMPRODUCT((Ноябрь[№]=2)*Ноябрь[4],OFFSET(Ноябрь[Объем],-1,0))</f>
        <v>0</v>
      </c>
      <c r="I14" s="23">
        <f ca="1">SUMPRODUCT((Ноябрь[№]=2)*Ноябрь[5],OFFSET(Ноябрь[Объем],-1,0))</f>
        <v>0</v>
      </c>
      <c r="J14" s="23">
        <f ca="1">SUMPRODUCT((Ноябрь[№]=2)*Ноябрь[6],OFFSET(Ноябрь[Объем],-1,0))</f>
        <v>0</v>
      </c>
      <c r="K14" s="23">
        <f ca="1">SUMPRODUCT((Ноябрь[№]=2)*Ноябрь[7],OFFSET(Ноябрь[Объем],-1,0))</f>
        <v>0</v>
      </c>
      <c r="L14" s="23">
        <f ca="1">SUMPRODUCT((Ноябрь[№]=2)*Ноябрь[8],OFFSET(Ноябрь[Объем],-1,0))</f>
        <v>0</v>
      </c>
      <c r="M14" s="23">
        <f ca="1">SUMPRODUCT((Ноябрь[№]=2)*Ноябрь[9],OFFSET(Ноябрь[Объем],-1,0))</f>
        <v>0</v>
      </c>
      <c r="N14" s="23">
        <f ca="1">SUMPRODUCT((Ноябрь[№]=2)*Ноябрь[10],OFFSET(Ноябрь[Объем],-1,0))</f>
        <v>0</v>
      </c>
      <c r="O14" s="23">
        <f ca="1">SUMPRODUCT((Ноябрь[№]=2)*Ноябрь[11],OFFSET(Ноябрь[Объем],-1,0))</f>
        <v>0</v>
      </c>
      <c r="P14" s="23">
        <f ca="1">SUMPRODUCT((Ноябрь[№]=2)*Ноябрь[12],OFFSET(Ноябрь[Объем],-1,0))</f>
        <v>0</v>
      </c>
      <c r="Q14" s="23">
        <f ca="1">SUMPRODUCT((Ноябрь[№]=2)*Ноябрь[13],OFFSET(Ноябрь[Объем],-1,0))</f>
        <v>0</v>
      </c>
      <c r="R14" s="23">
        <f ca="1">SUMPRODUCT((Ноябрь[№]=2)*Ноябрь[14],OFFSET(Ноябрь[Объем],-1,0))</f>
        <v>0</v>
      </c>
      <c r="S14" s="23">
        <f ca="1">SUMPRODUCT((Ноябрь[№]=2)*Ноябрь[15],OFFSET(Ноябрь[Объем],-1,0))</f>
        <v>0</v>
      </c>
      <c r="T14" s="23">
        <f ca="1">SUMPRODUCT((Ноябрь[№]=2)*Ноябрь[16],OFFSET(Ноябрь[Объем],-1,0))</f>
        <v>0</v>
      </c>
      <c r="U14" s="23">
        <f ca="1">SUMPRODUCT((Ноябрь[№]=2)*Ноябрь[17],OFFSET(Ноябрь[Объем],-1,0))</f>
        <v>0</v>
      </c>
      <c r="V14" s="23">
        <f ca="1">SUMPRODUCT((Ноябрь[№]=2)*Ноябрь[18],OFFSET(Ноябрь[Объем],-1,0))</f>
        <v>0</v>
      </c>
      <c r="W14" s="23">
        <f ca="1">SUMPRODUCT((Ноябрь[№]=2)*Ноябрь[19],OFFSET(Ноябрь[Объем],-1,0))</f>
        <v>0</v>
      </c>
      <c r="X14" s="23">
        <f ca="1">SUMPRODUCT((Ноябрь[№]=2)*Ноябрь[20],OFFSET(Ноябрь[Объем],-1,0))</f>
        <v>0</v>
      </c>
      <c r="Y14" s="23">
        <f ca="1">SUMPRODUCT((Ноябрь[№]=2)*Ноябрь[21],OFFSET(Ноябрь[Объем],-1,0))</f>
        <v>0</v>
      </c>
      <c r="Z14" s="23">
        <f ca="1">SUMPRODUCT((Ноябрь[№]=2)*Ноябрь[22],OFFSET(Ноябрь[Объем],-1,0))</f>
        <v>0</v>
      </c>
      <c r="AA14" s="23">
        <f ca="1">SUMPRODUCT((Ноябрь[№]=2)*Ноябрь[23],OFFSET(Ноябрь[Объем],-1,0))</f>
        <v>0</v>
      </c>
      <c r="AB14" s="23">
        <f ca="1">SUMPRODUCT((Ноябрь[№]=2)*Ноябрь[24],OFFSET(Ноябрь[Объем],-1,0))</f>
        <v>0</v>
      </c>
      <c r="AC14" s="23">
        <f ca="1">SUMPRODUCT((Ноябрь[№]=2)*Ноябрь[25],OFFSET(Ноябрь[Объем],-1,0))</f>
        <v>0</v>
      </c>
      <c r="AD14" s="23">
        <f ca="1">SUMPRODUCT((Ноябрь[№]=2)*Ноябрь[26],OFFSET(Ноябрь[Объем],-1,0))</f>
        <v>0</v>
      </c>
      <c r="AE14" s="23">
        <f ca="1">SUMPRODUCT((Ноябрь[№]=2)*Ноябрь[27],OFFSET(Ноябрь[Объем],-1,0))</f>
        <v>0</v>
      </c>
      <c r="AF14" s="23">
        <f ca="1">SUMPRODUCT((Ноябрь[№]=2)*Ноябрь[28],OFFSET(Ноябрь[Объем],-1,0))</f>
        <v>0</v>
      </c>
      <c r="AG14" s="23">
        <f ca="1">SUMPRODUCT((Ноябрь[№]=2)*Ноябрь[29],OFFSET(Ноябрь[Объем],-1,0))</f>
        <v>0</v>
      </c>
      <c r="AH14" s="23">
        <f ca="1">SUMPRODUCT((Ноябрь[№]=2)*Ноябрь[30],OFFSET(Ноябрь[Объем],-1,0))</f>
        <v>0</v>
      </c>
    </row>
    <row r="15" spans="1:37" x14ac:dyDescent="0.25">
      <c r="B15" s="3">
        <f ca="1">SUMPRODUCT((Настройки!$G$31:$AJ$31=3)*E16:AH16)</f>
        <v>0</v>
      </c>
      <c r="D15" s="5">
        <v>3</v>
      </c>
      <c r="E15" s="3">
        <f ca="1">SUMPRODUCT((Ноябрь[№]=3)*Ноябрь[1],OFFSET(Ноябрь[Объем],-2,0))</f>
        <v>0</v>
      </c>
      <c r="F15" s="23">
        <f ca="1">SUMPRODUCT((Ноябрь[№]=3)*Ноябрь[2],OFFSET(Ноябрь[Объем],-2,0))</f>
        <v>0</v>
      </c>
      <c r="G15" s="23">
        <f ca="1">SUMPRODUCT((Ноябрь[№]=3)*Ноябрь[3],OFFSET(Ноябрь[Объем],-2,0))</f>
        <v>0</v>
      </c>
      <c r="H15" s="23">
        <f ca="1">SUMPRODUCT((Ноябрь[№]=3)*Ноябрь[4],OFFSET(Ноябрь[Объем],-2,0))</f>
        <v>0</v>
      </c>
      <c r="I15" s="23">
        <f ca="1">SUMPRODUCT((Ноябрь[№]=3)*Ноябрь[5],OFFSET(Ноябрь[Объем],-2,0))</f>
        <v>0</v>
      </c>
      <c r="J15" s="23">
        <f ca="1">SUMPRODUCT((Ноябрь[№]=3)*Ноябрь[6],OFFSET(Ноябрь[Объем],-2,0))</f>
        <v>0</v>
      </c>
      <c r="K15" s="23">
        <f ca="1">SUMPRODUCT((Ноябрь[№]=3)*Ноябрь[7],OFFSET(Ноябрь[Объем],-2,0))</f>
        <v>0</v>
      </c>
      <c r="L15" s="23">
        <f ca="1">SUMPRODUCT((Ноябрь[№]=3)*Ноябрь[8],OFFSET(Ноябрь[Объем],-2,0))</f>
        <v>0</v>
      </c>
      <c r="M15" s="23">
        <f ca="1">SUMPRODUCT((Ноябрь[№]=3)*Ноябрь[9],OFFSET(Ноябрь[Объем],-2,0))</f>
        <v>0</v>
      </c>
      <c r="N15" s="23">
        <f ca="1">SUMPRODUCT((Ноябрь[№]=3)*Ноябрь[10],OFFSET(Ноябрь[Объем],-2,0))</f>
        <v>0</v>
      </c>
      <c r="O15" s="23">
        <f ca="1">SUMPRODUCT((Ноябрь[№]=3)*Ноябрь[11],OFFSET(Ноябрь[Объем],-2,0))</f>
        <v>0</v>
      </c>
      <c r="P15" s="23">
        <f ca="1">SUMPRODUCT((Ноябрь[№]=3)*Ноябрь[12],OFFSET(Ноябрь[Объем],-2,0))</f>
        <v>0</v>
      </c>
      <c r="Q15" s="23">
        <f ca="1">SUMPRODUCT((Ноябрь[№]=3)*Ноябрь[13],OFFSET(Ноябрь[Объем],-2,0))</f>
        <v>0</v>
      </c>
      <c r="R15" s="23">
        <f ca="1">SUMPRODUCT((Ноябрь[№]=3)*Ноябрь[14],OFFSET(Ноябрь[Объем],-2,0))</f>
        <v>0</v>
      </c>
      <c r="S15" s="23">
        <f ca="1">SUMPRODUCT((Ноябрь[№]=3)*Ноябрь[15],OFFSET(Ноябрь[Объем],-2,0))</f>
        <v>0</v>
      </c>
      <c r="T15" s="23">
        <f ca="1">SUMPRODUCT((Ноябрь[№]=3)*Ноябрь[16],OFFSET(Ноябрь[Объем],-2,0))</f>
        <v>0</v>
      </c>
      <c r="U15" s="23">
        <f ca="1">SUMPRODUCT((Ноябрь[№]=3)*Ноябрь[17],OFFSET(Ноябрь[Объем],-2,0))</f>
        <v>0</v>
      </c>
      <c r="V15" s="23">
        <f ca="1">SUMPRODUCT((Ноябрь[№]=3)*Ноябрь[18],OFFSET(Ноябрь[Объем],-2,0))</f>
        <v>0</v>
      </c>
      <c r="W15" s="23">
        <f ca="1">SUMPRODUCT((Ноябрь[№]=3)*Ноябрь[19],OFFSET(Ноябрь[Объем],-2,0))</f>
        <v>0</v>
      </c>
      <c r="X15" s="23">
        <f ca="1">SUMPRODUCT((Ноябрь[№]=3)*Ноябрь[20],OFFSET(Ноябрь[Объем],-2,0))</f>
        <v>0</v>
      </c>
      <c r="Y15" s="23">
        <f ca="1">SUMPRODUCT((Ноябрь[№]=3)*Ноябрь[21],OFFSET(Ноябрь[Объем],-2,0))</f>
        <v>0</v>
      </c>
      <c r="Z15" s="23">
        <f ca="1">SUMPRODUCT((Ноябрь[№]=3)*Ноябрь[22],OFFSET(Ноябрь[Объем],-2,0))</f>
        <v>0</v>
      </c>
      <c r="AA15" s="23">
        <f ca="1">SUMPRODUCT((Ноябрь[№]=3)*Ноябрь[23],OFFSET(Ноябрь[Объем],-2,0))</f>
        <v>0</v>
      </c>
      <c r="AB15" s="23">
        <f ca="1">SUMPRODUCT((Ноябрь[№]=3)*Ноябрь[24],OFFSET(Ноябрь[Объем],-2,0))</f>
        <v>0</v>
      </c>
      <c r="AC15" s="23">
        <f ca="1">SUMPRODUCT((Ноябрь[№]=3)*Ноябрь[25],OFFSET(Ноябрь[Объем],-2,0))</f>
        <v>0</v>
      </c>
      <c r="AD15" s="23">
        <f ca="1">SUMPRODUCT((Ноябрь[№]=3)*Ноябрь[26],OFFSET(Ноябрь[Объем],-2,0))</f>
        <v>0</v>
      </c>
      <c r="AE15" s="23">
        <f ca="1">SUMPRODUCT((Ноябрь[№]=3)*Ноябрь[27],OFFSET(Ноябрь[Объем],-2,0))</f>
        <v>0</v>
      </c>
      <c r="AF15" s="23">
        <f ca="1">SUMPRODUCT((Ноябрь[№]=3)*Ноябрь[28],OFFSET(Ноябрь[Объем],-2,0))</f>
        <v>0</v>
      </c>
      <c r="AG15" s="23">
        <f ca="1">SUMPRODUCT((Ноябрь[№]=3)*Ноябрь[29],OFFSET(Ноябрь[Объем],-2,0))</f>
        <v>0</v>
      </c>
      <c r="AH15" s="23">
        <f ca="1">SUMPRODUCT((Ноябрь[№]=3)*Ноябрь[30],OFFSET(Ноябрь[Объем],-2,0))</f>
        <v>0</v>
      </c>
      <c r="AJ15" s="9"/>
    </row>
    <row r="16" spans="1:37" x14ac:dyDescent="0.25">
      <c r="B16" s="3">
        <f ca="1">SUMPRODUCT((Настройки!$G$31:$AJ$31=4)*E16:AH16)</f>
        <v>0</v>
      </c>
      <c r="D16" s="5"/>
      <c r="E16" s="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J16" s="9"/>
    </row>
    <row r="17" spans="1:36" x14ac:dyDescent="0.25">
      <c r="B17" s="3">
        <f ca="1">SUMPRODUCT((Настройки!$G$31:$AJ$31=5)*E16:AH16)</f>
        <v>0</v>
      </c>
      <c r="C17" s="5">
        <f ca="1">НоябрьИтоги[[#This Row],[№]]*60</f>
        <v>0</v>
      </c>
      <c r="D17" s="7">
        <f ca="1">SUM(НоябрьИтоги[[#This Row],[1]:[30]])</f>
        <v>0</v>
      </c>
      <c r="E17" s="6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5">
        <f ca="1">SUM(Ноябрь[УСЛУГ])</f>
        <v>0</v>
      </c>
      <c r="AJ17" s="15">
        <f ca="1">SUM(Ноябрь[МИНУТ])</f>
        <v>0</v>
      </c>
    </row>
    <row r="18" spans="1:36" x14ac:dyDescent="0.25">
      <c r="B18" s="13">
        <f ca="1">SUMPRODUCT((Настройки!$G$31:$AJ$31=6)*E16:AH16)</f>
        <v>0</v>
      </c>
      <c r="C18" s="13"/>
      <c r="D18" s="7"/>
      <c r="E18" s="13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13"/>
      <c r="AJ18" s="45"/>
    </row>
    <row r="20" spans="1:36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69"/>
      <c r="AI20" s="63" t="s">
        <v>64</v>
      </c>
      <c r="AJ20" s="63" t="s">
        <v>64</v>
      </c>
    </row>
    <row r="21" spans="1:36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78"/>
      <c r="AI21" s="63"/>
      <c r="AJ21" s="63"/>
    </row>
    <row r="22" spans="1:36" x14ac:dyDescent="0.25">
      <c r="A22" s="73"/>
      <c r="B22" s="73"/>
      <c r="C22" s="74"/>
      <c r="D22" s="76"/>
      <c r="E22" s="21">
        <f>Настройки!G17</f>
        <v>45597</v>
      </c>
      <c r="F22" s="21">
        <f>Настройки!H17</f>
        <v>45598</v>
      </c>
      <c r="G22" s="21">
        <f>Настройки!I17</f>
        <v>45599</v>
      </c>
      <c r="H22" s="21">
        <f>Настройки!J17</f>
        <v>45600</v>
      </c>
      <c r="I22" s="21">
        <f>Настройки!K17</f>
        <v>45601</v>
      </c>
      <c r="J22" s="21">
        <f>Настройки!L17</f>
        <v>45602</v>
      </c>
      <c r="K22" s="21">
        <f>Настройки!M17</f>
        <v>45603</v>
      </c>
      <c r="L22" s="21">
        <f>Настройки!N17</f>
        <v>45604</v>
      </c>
      <c r="M22" s="21">
        <f>Настройки!O17</f>
        <v>45605</v>
      </c>
      <c r="N22" s="21">
        <f>Настройки!P17</f>
        <v>45606</v>
      </c>
      <c r="O22" s="21">
        <f>Настройки!Q17</f>
        <v>45607</v>
      </c>
      <c r="P22" s="21">
        <f>Настройки!R17</f>
        <v>45608</v>
      </c>
      <c r="Q22" s="21">
        <f>Настройки!S17</f>
        <v>45609</v>
      </c>
      <c r="R22" s="21">
        <f>Настройки!T17</f>
        <v>45610</v>
      </c>
      <c r="S22" s="21">
        <f>Настройки!U17</f>
        <v>45611</v>
      </c>
      <c r="T22" s="21">
        <f>Настройки!V17</f>
        <v>45612</v>
      </c>
      <c r="U22" s="21">
        <f>Настройки!W17</f>
        <v>45613</v>
      </c>
      <c r="V22" s="21">
        <f>Настройки!X17</f>
        <v>45614</v>
      </c>
      <c r="W22" s="21">
        <f>Настройки!Y17</f>
        <v>45615</v>
      </c>
      <c r="X22" s="21">
        <f>Настройки!Z17</f>
        <v>45616</v>
      </c>
      <c r="Y22" s="21">
        <f>Настройки!AA17</f>
        <v>45617</v>
      </c>
      <c r="Z22" s="21">
        <f>Настройки!AB17</f>
        <v>45618</v>
      </c>
      <c r="AA22" s="21">
        <f>Настройки!AC17</f>
        <v>45619</v>
      </c>
      <c r="AB22" s="21">
        <f>Настройки!AD17</f>
        <v>45620</v>
      </c>
      <c r="AC22" s="21">
        <f>Настройки!AE17</f>
        <v>45621</v>
      </c>
      <c r="AD22" s="21">
        <f>Настройки!AF17</f>
        <v>45622</v>
      </c>
      <c r="AE22" s="21">
        <f>Настройки!AG17</f>
        <v>45623</v>
      </c>
      <c r="AF22" s="21">
        <f>Настройки!AH17</f>
        <v>45624</v>
      </c>
      <c r="AG22" s="21">
        <f>Настройки!AI17</f>
        <v>45625</v>
      </c>
      <c r="AH22" s="21">
        <f>Настройки!AJ17</f>
        <v>45626</v>
      </c>
      <c r="AI22" s="63"/>
      <c r="AJ22" s="63"/>
    </row>
    <row r="23" spans="1:36" x14ac:dyDescent="0.25">
      <c r="A23" s="73"/>
      <c r="B23" s="73"/>
      <c r="C23" s="74"/>
      <c r="D23" s="76"/>
      <c r="E23" s="68" t="s">
        <v>54</v>
      </c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85"/>
      <c r="AI23" s="63"/>
      <c r="AJ23" s="63"/>
    </row>
    <row r="24" spans="1:36" x14ac:dyDescent="0.25">
      <c r="A24" s="73"/>
      <c r="B24" s="73"/>
      <c r="C24" s="74"/>
      <c r="D24" s="76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87"/>
      <c r="AI24" s="63"/>
      <c r="AJ24" s="63"/>
    </row>
    <row r="25" spans="1:36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62</v>
      </c>
      <c r="AJ25" s="3" t="s">
        <v>63</v>
      </c>
    </row>
    <row r="26" spans="1:36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 s="5">
        <f ca="1">IF(Ноябрь[[#This Row],[№]]=1,SUM(Ноябрь[[#This Row],[1]:[30]])+SUM(OFFSET(Ноябрь[[#This Row],[1]:[30]],1,0))+SUM(OFFSET(Ноябрь[[#This Row],[1]:[30]],2,0)),"")</f>
        <v>0</v>
      </c>
      <c r="AJ26" s="5">
        <f ca="1">IF(Ноябрь[[#This Row],[УСЛУГ]]&lt;&gt;"",Ноябрь[[#This Row],[УСЛУГ]]*Ноябрь[[#This Row],[Объем]],"")</f>
        <v>0</v>
      </c>
    </row>
    <row r="27" spans="1:36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 s="5" t="str">
        <f ca="1">IF(Ноябрь[[#This Row],[№]]=1,SUM(Ноябрь[[#This Row],[1]:[30]])+SUM(OFFSET(Ноябрь[[#This Row],[1]:[30]],1,0))+SUM(OFFSET(Ноябрь[[#This Row],[1]:[30]],2,0)),"")</f>
        <v/>
      </c>
      <c r="AJ27" s="5" t="str">
        <f ca="1">IF(Ноябрь[[#This Row],[УСЛУГ]]&lt;&gt;"",Ноябрь[[#This Row],[УСЛУГ]]*Ноябрь[[#This Row],[Объем]],"")</f>
        <v/>
      </c>
    </row>
    <row r="28" spans="1:36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 s="5" t="str">
        <f ca="1">IF(Ноябрь[[#This Row],[№]]=1,SUM(Ноябрь[[#This Row],[1]:[30]])+SUM(OFFSET(Ноябрь[[#This Row],[1]:[30]],1,0))+SUM(OFFSET(Ноябрь[[#This Row],[1]:[30]],2,0)),"")</f>
        <v/>
      </c>
      <c r="AJ28" s="5" t="str">
        <f ca="1">IF(Ноябрь[[#This Row],[УСЛУГ]]&lt;&gt;"",Ноябрь[[#This Row],[УСЛУГ]]*Ноябрь[[#This Row],[Объем]],"")</f>
        <v/>
      </c>
    </row>
  </sheetData>
  <mergeCells count="20">
    <mergeCell ref="A2:AJ2"/>
    <mergeCell ref="A3:AJ3"/>
    <mergeCell ref="J4:L4"/>
    <mergeCell ref="M4:U4"/>
    <mergeCell ref="M5:Q5"/>
    <mergeCell ref="AI7:AI11"/>
    <mergeCell ref="AJ7:AJ11"/>
    <mergeCell ref="E10:AH11"/>
    <mergeCell ref="A20:A24"/>
    <mergeCell ref="B20:C24"/>
    <mergeCell ref="D20:D24"/>
    <mergeCell ref="E20:AH21"/>
    <mergeCell ref="AI20:AI24"/>
    <mergeCell ref="AJ20:AJ24"/>
    <mergeCell ref="E23:AH24"/>
    <mergeCell ref="A7:A11"/>
    <mergeCell ref="B7:B11"/>
    <mergeCell ref="C7:C11"/>
    <mergeCell ref="D7:D11"/>
    <mergeCell ref="E7:AH8"/>
  </mergeCells>
  <conditionalFormatting sqref="E9:AH9">
    <cfRule type="expression" dxfId="227" priority="2">
      <formula>WEEKDAY(E9:AH9,2)&gt;5</formula>
    </cfRule>
  </conditionalFormatting>
  <conditionalFormatting sqref="E22:AH22">
    <cfRule type="expression" dxfId="226" priority="1">
      <formula>WEEKDAY(E22:AH22,2)&gt;5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2" fitToHeight="0" orientation="landscape" horizontalDpi="300" verticalDpi="300" r:id="rId1"/>
  <ignoredErrors>
    <ignoredError sqref="E13 AI17:AJ17 B13:B18 E16:E17 E14:E15" calculatedColumn="1"/>
  </ignoredErrors>
  <tableParts count="2"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2:AF27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130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Настройки!G17</f>
        <v>45597</v>
      </c>
      <c r="C10" s="29">
        <f>Настройки!H17</f>
        <v>45598</v>
      </c>
      <c r="D10" s="29">
        <f>Настройки!I17</f>
        <v>45599</v>
      </c>
      <c r="E10" s="29">
        <f>Настройки!J17</f>
        <v>45600</v>
      </c>
      <c r="F10" s="29">
        <f>Настройки!K17</f>
        <v>45601</v>
      </c>
      <c r="G10" s="29">
        <f>Настройки!L17</f>
        <v>45602</v>
      </c>
      <c r="H10" s="29">
        <f>Настройки!M17</f>
        <v>45603</v>
      </c>
      <c r="I10" s="29">
        <f>Настройки!N17</f>
        <v>45604</v>
      </c>
      <c r="J10" s="29">
        <f>Настройки!O17</f>
        <v>45605</v>
      </c>
      <c r="K10" s="29">
        <f>Настройки!P17</f>
        <v>45606</v>
      </c>
      <c r="L10" s="29">
        <f>Настройки!Q17</f>
        <v>45607</v>
      </c>
      <c r="M10" s="29">
        <f>Настройки!R17</f>
        <v>45608</v>
      </c>
      <c r="N10" s="29">
        <f>Настройки!S17</f>
        <v>45609</v>
      </c>
      <c r="O10" s="29">
        <f>Настройки!T17</f>
        <v>45610</v>
      </c>
      <c r="P10" s="29">
        <f>Настройки!U17</f>
        <v>45611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IF(Настройки!J2&lt;&gt;"",TEXT(MIN(Настройки!G96:AJ96,Настройки!J2),"ч:мм")&amp;"-"&amp;TEXT(MAX(Настройки!G96:AJ96,Настройки!J2)+TIME(0,MAX(Ноябрь!E13:AH13),0),"ч:мм"),"")</f>
        <v>9:00-9:00</v>
      </c>
      <c r="B14" s="30" t="str">
        <f>IF(TEXT(IF(Настройки!G96="",TEXT(Настройки!$J2,"ч:мм"),TEXT(Настройки!G96,"ч:мм"))+TIME(0,Ноябрь!E13,0),"ч::мм")=TEXT(IF(Настройки!G96="",TEXT(Настройки!$J2,"ч:мм"),TEXT(Настройки!G96,"ч:мм")),"ч:мм"),"",TEXT(IF(Настройки!G96="",TEXT(Настройки!$J2,"ч:мм"),TEXT(Настройки!G96,"ч:мм")),"ч:мм")&amp;"-"&amp;TEXT(IF(Настройки!G96="",TEXT(Настройки!$J2,"ч:мм"),TEXT(Настройки!G96,"ч:мм"))+TIME(0,Ноябрь!E13,0),"ч::мм"))</f>
        <v/>
      </c>
      <c r="C14" s="30" t="str">
        <f>IF(TEXT(IF(Настройки!H96="",TEXT(Настройки!$J2,"ч:мм"),TEXT(Настройки!H96,"ч:мм"))+TIME(0,Ноябрь!F13,0),"ч::мм")=TEXT(IF(Настройки!H96="",TEXT(Настройки!$J2,"ч:мм"),TEXT(Настройки!H96,"ч:мм")),"ч:мм"),"",TEXT(IF(Настройки!H96="",TEXT(Настройки!$J2,"ч:мм"),TEXT(Настройки!H96,"ч:мм")),"ч:мм")&amp;"-"&amp;TEXT(IF(Настройки!H96="",TEXT(Настройки!$J2,"ч:мм"),TEXT(Настройки!H96,"ч:мм"))+TIME(0,Ноябрь!F13,0),"ч::мм"))</f>
        <v/>
      </c>
      <c r="D14" s="30" t="str">
        <f>IF(TEXT(IF(Настройки!I96="",TEXT(Настройки!$J2,"ч:мм"),TEXT(Настройки!I96,"ч:мм"))+TIME(0,Ноябрь!G13,0),"ч::мм")=TEXT(IF(Настройки!I96="",TEXT(Настройки!$J2,"ч:мм"),TEXT(Настройки!I96,"ч:мм")),"ч:мм"),"",TEXT(IF(Настройки!I96="",TEXT(Настройки!$J2,"ч:мм"),TEXT(Настройки!I96,"ч:мм")),"ч:мм")&amp;"-"&amp;TEXT(IF(Настройки!I96="",TEXT(Настройки!$J2,"ч:мм"),TEXT(Настройки!I96,"ч:мм"))+TIME(0,Ноябрь!G13,0),"ч::мм"))</f>
        <v/>
      </c>
      <c r="E14" s="30" t="str">
        <f>IF(TEXT(IF(Настройки!J96="",TEXT(Настройки!$J2,"ч:мм"),TEXT(Настройки!J96,"ч:мм"))+TIME(0,Ноябрь!H13,0),"ч::мм")=TEXT(IF(Настройки!J96="",TEXT(Настройки!$J2,"ч:мм"),TEXT(Настройки!J96,"ч:мм")),"ч:мм"),"",TEXT(IF(Настройки!J96="",TEXT(Настройки!$J2,"ч:мм"),TEXT(Настройки!J96,"ч:мм")),"ч:мм")&amp;"-"&amp;TEXT(IF(Настройки!J96="",TEXT(Настройки!$J2,"ч:мм"),TEXT(Настройки!J96,"ч:мм"))+TIME(0,Ноябрь!H13,0),"ч::мм"))</f>
        <v/>
      </c>
      <c r="F14" s="30" t="str">
        <f>IF(TEXT(IF(Настройки!K96="",TEXT(Настройки!$J2,"ч:мм"),TEXT(Настройки!K96,"ч:мм"))+TIME(0,Ноябрь!I13,0),"ч::мм")=TEXT(IF(Настройки!K96="",TEXT(Настройки!$J2,"ч:мм"),TEXT(Настройки!K96,"ч:мм")),"ч:мм"),"",TEXT(IF(Настройки!K96="",TEXT(Настройки!$J2,"ч:мм"),TEXT(Настройки!K96,"ч:мм")),"ч:мм")&amp;"-"&amp;TEXT(IF(Настройки!K96="",TEXT(Настройки!$J2,"ч:мм"),TEXT(Настройки!K96,"ч:мм"))+TIME(0,Ноябрь!I13,0),"ч::мм"))</f>
        <v/>
      </c>
      <c r="G14" s="30" t="str">
        <f>IF(TEXT(IF(Настройки!L96="",TEXT(Настройки!$J2,"ч:мм"),TEXT(Настройки!L96,"ч:мм"))+TIME(0,Ноябрь!J13,0),"ч::мм")=TEXT(IF(Настройки!L96="",TEXT(Настройки!$J2,"ч:мм"),TEXT(Настройки!L96,"ч:мм")),"ч:мм"),"",TEXT(IF(Настройки!L96="",TEXT(Настройки!$J2,"ч:мм"),TEXT(Настройки!L96,"ч:мм")),"ч:мм")&amp;"-"&amp;TEXT(IF(Настройки!L96="",TEXT(Настройки!$J2,"ч:мм"),TEXT(Настройки!L96,"ч:мм"))+TIME(0,Ноябрь!J13,0),"ч::мм"))</f>
        <v/>
      </c>
      <c r="H14" s="30" t="str">
        <f>IF(TEXT(IF(Настройки!M96="",TEXT(Настройки!$J2,"ч:мм"),TEXT(Настройки!M96,"ч:мм"))+TIME(0,Ноябрь!K13,0),"ч::мм")=TEXT(IF(Настройки!M96="",TEXT(Настройки!$J2,"ч:мм"),TEXT(Настройки!M96,"ч:мм")),"ч:мм"),"",TEXT(IF(Настройки!M96="",TEXT(Настройки!$J2,"ч:мм"),TEXT(Настройки!M96,"ч:мм")),"ч:мм")&amp;"-"&amp;TEXT(IF(Настройки!M96="",TEXT(Настройки!$J2,"ч:мм"),TEXT(Настройки!M96,"ч:мм"))+TIME(0,Ноябрь!K13,0),"ч::мм"))</f>
        <v/>
      </c>
      <c r="I14" s="30" t="str">
        <f>IF(TEXT(IF(Настройки!N96="",TEXT(Настройки!$J2,"ч:мм"),TEXT(Настройки!N96,"ч:мм"))+TIME(0,Ноябрь!L13,0),"ч::мм")=TEXT(IF(Настройки!N96="",TEXT(Настройки!$J2,"ч:мм"),TEXT(Настройки!N96,"ч:мм")),"ч:мм"),"",TEXT(IF(Настройки!N96="",TEXT(Настройки!$J2,"ч:мм"),TEXT(Настройки!N96,"ч:мм")),"ч:мм")&amp;"-"&amp;TEXT(IF(Настройки!N96="",TEXT(Настройки!$J2,"ч:мм"),TEXT(Настройки!N96,"ч:мм"))+TIME(0,Ноябрь!L13,0),"ч::мм"))</f>
        <v/>
      </c>
      <c r="J14" s="30" t="str">
        <f>IF(TEXT(IF(Настройки!O96="",TEXT(Настройки!$J2,"ч:мм"),TEXT(Настройки!O96,"ч:мм"))+TIME(0,Ноябрь!M13,0),"ч::мм")=TEXT(IF(Настройки!O96="",TEXT(Настройки!$J2,"ч:мм"),TEXT(Настройки!O96,"ч:мм")),"ч:мм"),"",TEXT(IF(Настройки!O96="",TEXT(Настройки!$J2,"ч:мм"),TEXT(Настройки!O96,"ч:мм")),"ч:мм")&amp;"-"&amp;TEXT(IF(Настройки!O96="",TEXT(Настройки!$J2,"ч:мм"),TEXT(Настройки!O96,"ч:мм"))+TIME(0,Ноябрь!M13,0),"ч::мм"))</f>
        <v/>
      </c>
      <c r="K14" s="30" t="str">
        <f>IF(TEXT(IF(Настройки!P96="",TEXT(Настройки!$J2,"ч:мм"),TEXT(Настройки!P96,"ч:мм"))+TIME(0,Ноябрь!N13,0),"ч::мм")=TEXT(IF(Настройки!P96="",TEXT(Настройки!$J2,"ч:мм"),TEXT(Настройки!P96,"ч:мм")),"ч:мм"),"",TEXT(IF(Настройки!P96="",TEXT(Настройки!$J2,"ч:мм"),TEXT(Настройки!P96,"ч:мм")),"ч:мм")&amp;"-"&amp;TEXT(IF(Настройки!P96="",TEXT(Настройки!$J2,"ч:мм"),TEXT(Настройки!P96,"ч:мм"))+TIME(0,Ноябрь!N13,0),"ч::мм"))</f>
        <v/>
      </c>
      <c r="L14" s="30" t="str">
        <f>IF(TEXT(IF(Настройки!Q96="",TEXT(Настройки!$J2,"ч:мм"),TEXT(Настройки!Q96,"ч:мм"))+TIME(0,Ноябрь!O13,0),"ч::мм")=TEXT(IF(Настройки!Q96="",TEXT(Настройки!$J2,"ч:мм"),TEXT(Настройки!Q96,"ч:мм")),"ч:мм"),"",TEXT(IF(Настройки!Q96="",TEXT(Настройки!$J2,"ч:мм"),TEXT(Настройки!Q96,"ч:мм")),"ч:мм")&amp;"-"&amp;TEXT(IF(Настройки!Q96="",TEXT(Настройки!$J2,"ч:мм"),TEXT(Настройки!Q96,"ч:мм"))+TIME(0,Ноябрь!O13,0),"ч::мм"))</f>
        <v/>
      </c>
      <c r="M14" s="30" t="str">
        <f>IF(TEXT(IF(Настройки!R96="",TEXT(Настройки!$J2,"ч:мм"),TEXT(Настройки!R96,"ч:мм"))+TIME(0,Ноябрь!P13,0),"ч::мм")=TEXT(IF(Настройки!R96="",TEXT(Настройки!$J2,"ч:мм"),TEXT(Настройки!R96,"ч:мм")),"ч:мм"),"",TEXT(IF(Настройки!R96="",TEXT(Настройки!$J2,"ч:мм"),TEXT(Настройки!R96,"ч:мм")),"ч:мм")&amp;"-"&amp;TEXT(IF(Настройки!R96="",TEXT(Настройки!$J2,"ч:мм"),TEXT(Настройки!R96,"ч:мм"))+TIME(0,Ноябрь!P13,0),"ч::мм"))</f>
        <v/>
      </c>
      <c r="N14" s="30" t="str">
        <f>IF(TEXT(IF(Настройки!S96="",TEXT(Настройки!$J2,"ч:мм"),TEXT(Настройки!S96,"ч:мм"))+TIME(0,Ноябрь!Q13,0),"ч::мм")=TEXT(IF(Настройки!S96="",TEXT(Настройки!$J2,"ч:мм"),TEXT(Настройки!S96,"ч:мм")),"ч:мм"),"",TEXT(IF(Настройки!S96="",TEXT(Настройки!$J2,"ч:мм"),TEXT(Настройки!S96,"ч:мм")),"ч:мм")&amp;"-"&amp;TEXT(IF(Настройки!S96="",TEXT(Настройки!$J2,"ч:мм"),TEXT(Настройки!S96,"ч:мм"))+TIME(0,Ноябрь!Q13,0),"ч::мм"))</f>
        <v/>
      </c>
      <c r="O14" s="30" t="str">
        <f>IF(TEXT(IF(Настройки!T96="",TEXT(Настройки!$J2,"ч:мм"),TEXT(Настройки!T96,"ч:мм"))+TIME(0,Ноябрь!R13,0),"ч::мм")=TEXT(IF(Настройки!T96="",TEXT(Настройки!$J2,"ч:мм"),TEXT(Настройки!T96,"ч:мм")),"ч:мм"),"",TEXT(IF(Настройки!T96="",TEXT(Настройки!$J2,"ч:мм"),TEXT(Настройки!T96,"ч:мм")),"ч:мм")&amp;"-"&amp;TEXT(IF(Настройки!T96="",TEXT(Настройки!$J2,"ч:мм"),TEXT(Настройки!T96,"ч:мм"))+TIME(0,Ноябрь!R13,0),"ч::мм"))</f>
        <v/>
      </c>
      <c r="P14" s="30" t="str">
        <f>IF(TEXT(IF(Настройки!U96="",TEXT(Настройки!$J2,"ч:мм"),TEXT(Настройки!U96,"ч:мм"))+TIME(0,Ноябрь!S13,0),"ч::мм")=TEXT(IF(Настройки!U96="",TEXT(Настройки!$J2,"ч:мм"),TEXT(Настройки!U96,"ч:мм")),"ч:мм"),"",TEXT(IF(Настройки!U96="",TEXT(Настройки!$J2,"ч:мм"),TEXT(Настройки!U96,"ч:мм")),"ч:мм")&amp;"-"&amp;TEXT(IF(Настройки!U96="",TEXT(Настройки!$J2,"ч:мм"),TEXT(Настройки!U96,"ч:мм"))+TIME(0,Ноябрь!S13,0),"ч::мм"))</f>
        <v/>
      </c>
      <c r="R14" s="30"/>
    </row>
    <row r="15" spans="1:32" x14ac:dyDescent="0.25">
      <c r="A15" s="32" t="str">
        <f ca="1">IF(Настройки!J3&lt;&gt;"",TEXT(MIN(Настройки!G97:AJ97,Настройки!J3),"ч:мм")&amp;"-"&amp;TEXT(MAX(Настройки!G97:AJ97,Настройки!J3)+TIME(0,MAX(Ноябрь!E14:AH14),0),"ч:мм"),"")</f>
        <v>13:00-13:00</v>
      </c>
      <c r="B15" s="30" t="str">
        <f ca="1">IF(TEXT(IF(Настройки!G97="",TEXT(Настройки!$J3,"ч:мм"),TEXT(Настройки!G97,"ч:мм"))+TIME(0,Ноябрь!E14,0),"ч::мм")=TEXT(IF(Настройки!G97="",TEXT(Настройки!$J3,"ч:мм"),TEXT(Настройки!G97,"ч:мм")),"ч:мм"),"",TEXT(IF(Настройки!G97="",TEXT(Настройки!$J3,"ч:мм"),TEXT(Настройки!G97,"ч:мм")),"ч:мм")&amp;"-"&amp;TEXT(IF(Настройки!G97="",TEXT(Настройки!$J3,"ч:мм"),TEXT(Настройки!G97,"ч:мм"))+TIME(0,Ноябрь!E14,0),"ч::мм"))</f>
        <v/>
      </c>
      <c r="C15" s="30" t="str">
        <f ca="1">IF(TEXT(IF(Настройки!H97="",TEXT(Настройки!$J3,"ч:мм"),TEXT(Настройки!H97,"ч:мм"))+TIME(0,Ноябрь!F14,0),"ч::мм")=TEXT(IF(Настройки!H97="",TEXT(Настройки!$J3,"ч:мм"),TEXT(Настройки!H97,"ч:мм")),"ч:мм"),"",TEXT(IF(Настройки!H97="",TEXT(Настройки!$J3,"ч:мм"),TEXT(Настройки!H97,"ч:мм")),"ч:мм")&amp;"-"&amp;TEXT(IF(Настройки!H97="",TEXT(Настройки!$J3,"ч:мм"),TEXT(Настройки!H97,"ч:мм"))+TIME(0,Ноябрь!F14,0),"ч::мм"))</f>
        <v/>
      </c>
      <c r="D15" s="30" t="str">
        <f ca="1">IF(TEXT(IF(Настройки!I97="",TEXT(Настройки!$J3,"ч:мм"),TEXT(Настройки!I97,"ч:мм"))+TIME(0,Ноябрь!G14,0),"ч::мм")=TEXT(IF(Настройки!I97="",TEXT(Настройки!$J3,"ч:мм"),TEXT(Настройки!I97,"ч:мм")),"ч:мм"),"",TEXT(IF(Настройки!I97="",TEXT(Настройки!$J3,"ч:мм"),TEXT(Настройки!I97,"ч:мм")),"ч:мм")&amp;"-"&amp;TEXT(IF(Настройки!I97="",TEXT(Настройки!$J3,"ч:мм"),TEXT(Настройки!I97,"ч:мм"))+TIME(0,Ноябрь!G14,0),"ч::мм"))</f>
        <v/>
      </c>
      <c r="E15" s="30" t="str">
        <f ca="1">IF(TEXT(IF(Настройки!J97="",TEXT(Настройки!$J3,"ч:мм"),TEXT(Настройки!J97,"ч:мм"))+TIME(0,Ноябрь!H14,0),"ч::мм")=TEXT(IF(Настройки!J97="",TEXT(Настройки!$J3,"ч:мм"),TEXT(Настройки!J97,"ч:мм")),"ч:мм"),"",TEXT(IF(Настройки!J97="",TEXT(Настройки!$J3,"ч:мм"),TEXT(Настройки!J97,"ч:мм")),"ч:мм")&amp;"-"&amp;TEXT(IF(Настройки!J97="",TEXT(Настройки!$J3,"ч:мм"),TEXT(Настройки!J97,"ч:мм"))+TIME(0,Ноябрь!H14,0),"ч::мм"))</f>
        <v/>
      </c>
      <c r="F15" s="30" t="str">
        <f ca="1">IF(TEXT(IF(Настройки!K97="",TEXT(Настройки!$J3,"ч:мм"),TEXT(Настройки!K97,"ч:мм"))+TIME(0,Ноябрь!I14,0),"ч::мм")=TEXT(IF(Настройки!K97="",TEXT(Настройки!$J3,"ч:мм"),TEXT(Настройки!K97,"ч:мм")),"ч:мм"),"",TEXT(IF(Настройки!K97="",TEXT(Настройки!$J3,"ч:мм"),TEXT(Настройки!K97,"ч:мм")),"ч:мм")&amp;"-"&amp;TEXT(IF(Настройки!K97="",TEXT(Настройки!$J3,"ч:мм"),TEXT(Настройки!K97,"ч:мм"))+TIME(0,Ноябрь!I14,0),"ч::мм"))</f>
        <v/>
      </c>
      <c r="G15" s="30" t="str">
        <f ca="1">IF(TEXT(IF(Настройки!L97="",TEXT(Настройки!$J3,"ч:мм"),TEXT(Настройки!L97,"ч:мм"))+TIME(0,Ноябрь!J14,0),"ч::мм")=TEXT(IF(Настройки!L97="",TEXT(Настройки!$J3,"ч:мм"),TEXT(Настройки!L97,"ч:мм")),"ч:мм"),"",TEXT(IF(Настройки!L97="",TEXT(Настройки!$J3,"ч:мм"),TEXT(Настройки!L97,"ч:мм")),"ч:мм")&amp;"-"&amp;TEXT(IF(Настройки!L97="",TEXT(Настройки!$J3,"ч:мм"),TEXT(Настройки!L97,"ч:мм"))+TIME(0,Ноябрь!J14,0),"ч::мм"))</f>
        <v/>
      </c>
      <c r="H15" s="30" t="str">
        <f ca="1">IF(TEXT(IF(Настройки!M97="",TEXT(Настройки!$J3,"ч:мм"),TEXT(Настройки!M97,"ч:мм"))+TIME(0,Ноябрь!K14,0),"ч::мм")=TEXT(IF(Настройки!M97="",TEXT(Настройки!$J3,"ч:мм"),TEXT(Настройки!M97,"ч:мм")),"ч:мм"),"",TEXT(IF(Настройки!M97="",TEXT(Настройки!$J3,"ч:мм"),TEXT(Настройки!M97,"ч:мм")),"ч:мм")&amp;"-"&amp;TEXT(IF(Настройки!M97="",TEXT(Настройки!$J3,"ч:мм"),TEXT(Настройки!M97,"ч:мм"))+TIME(0,Ноябрь!K14,0),"ч::мм"))</f>
        <v/>
      </c>
      <c r="I15" s="30" t="str">
        <f ca="1">IF(TEXT(IF(Настройки!N97="",TEXT(Настройки!$J3,"ч:мм"),TEXT(Настройки!N97,"ч:мм"))+TIME(0,Ноябрь!L14,0),"ч::мм")=TEXT(IF(Настройки!N97="",TEXT(Настройки!$J3,"ч:мм"),TEXT(Настройки!N97,"ч:мм")),"ч:мм"),"",TEXT(IF(Настройки!N97="",TEXT(Настройки!$J3,"ч:мм"),TEXT(Настройки!N97,"ч:мм")),"ч:мм")&amp;"-"&amp;TEXT(IF(Настройки!N97="",TEXT(Настройки!$J3,"ч:мм"),TEXT(Настройки!N97,"ч:мм"))+TIME(0,Ноябрь!L14,0),"ч::мм"))</f>
        <v/>
      </c>
      <c r="J15" s="30" t="str">
        <f ca="1">IF(TEXT(IF(Настройки!O97="",TEXT(Настройки!$J3,"ч:мм"),TEXT(Настройки!O97,"ч:мм"))+TIME(0,Ноябрь!M14,0),"ч::мм")=TEXT(IF(Настройки!O97="",TEXT(Настройки!$J3,"ч:мм"),TEXT(Настройки!O97,"ч:мм")),"ч:мм"),"",TEXT(IF(Настройки!O97="",TEXT(Настройки!$J3,"ч:мм"),TEXT(Настройки!O97,"ч:мм")),"ч:мм")&amp;"-"&amp;TEXT(IF(Настройки!O97="",TEXT(Настройки!$J3,"ч:мм"),TEXT(Настройки!O97,"ч:мм"))+TIME(0,Ноябрь!M14,0),"ч::мм"))</f>
        <v/>
      </c>
      <c r="K15" s="30" t="str">
        <f ca="1">IF(TEXT(IF(Настройки!P97="",TEXT(Настройки!$J3,"ч:мм"),TEXT(Настройки!P97,"ч:мм"))+TIME(0,Ноябрь!N14,0),"ч::мм")=TEXT(IF(Настройки!P97="",TEXT(Настройки!$J3,"ч:мм"),TEXT(Настройки!P97,"ч:мм")),"ч:мм"),"",TEXT(IF(Настройки!P97="",TEXT(Настройки!$J3,"ч:мм"),TEXT(Настройки!P97,"ч:мм")),"ч:мм")&amp;"-"&amp;TEXT(IF(Настройки!P97="",TEXT(Настройки!$J3,"ч:мм"),TEXT(Настройки!P97,"ч:мм"))+TIME(0,Ноябрь!N14,0),"ч::мм"))</f>
        <v/>
      </c>
      <c r="L15" s="30" t="str">
        <f ca="1">IF(TEXT(IF(Настройки!Q97="",TEXT(Настройки!$J3,"ч:мм"),TEXT(Настройки!Q97,"ч:мм"))+TIME(0,Ноябрь!O14,0),"ч::мм")=TEXT(IF(Настройки!Q97="",TEXT(Настройки!$J3,"ч:мм"),TEXT(Настройки!Q97,"ч:мм")),"ч:мм"),"",TEXT(IF(Настройки!Q97="",TEXT(Настройки!$J3,"ч:мм"),TEXT(Настройки!Q97,"ч:мм")),"ч:мм")&amp;"-"&amp;TEXT(IF(Настройки!Q97="",TEXT(Настройки!$J3,"ч:мм"),TEXT(Настройки!Q97,"ч:мм"))+TIME(0,Ноябрь!O14,0),"ч::мм"))</f>
        <v/>
      </c>
      <c r="M15" s="30" t="str">
        <f ca="1">IF(TEXT(IF(Настройки!R97="",TEXT(Настройки!$J3,"ч:мм"),TEXT(Настройки!R97,"ч:мм"))+TIME(0,Ноябрь!P14,0),"ч::мм")=TEXT(IF(Настройки!R97="",TEXT(Настройки!$J3,"ч:мм"),TEXT(Настройки!R97,"ч:мм")),"ч:мм"),"",TEXT(IF(Настройки!R97="",TEXT(Настройки!$J3,"ч:мм"),TEXT(Настройки!R97,"ч:мм")),"ч:мм")&amp;"-"&amp;TEXT(IF(Настройки!R97="",TEXT(Настройки!$J3,"ч:мм"),TEXT(Настройки!R97,"ч:мм"))+TIME(0,Ноябрь!P14,0),"ч::мм"))</f>
        <v/>
      </c>
      <c r="N15" s="30" t="str">
        <f ca="1">IF(TEXT(IF(Настройки!S97="",TEXT(Настройки!$J3,"ч:мм"),TEXT(Настройки!S97,"ч:мм"))+TIME(0,Ноябрь!Q14,0),"ч::мм")=TEXT(IF(Настройки!S97="",TEXT(Настройки!$J3,"ч:мм"),TEXT(Настройки!S97,"ч:мм")),"ч:мм"),"",TEXT(IF(Настройки!S97="",TEXT(Настройки!$J3,"ч:мм"),TEXT(Настройки!S97,"ч:мм")),"ч:мм")&amp;"-"&amp;TEXT(IF(Настройки!S97="",TEXT(Настройки!$J3,"ч:мм"),TEXT(Настройки!S97,"ч:мм"))+TIME(0,Ноябрь!Q14,0),"ч::мм"))</f>
        <v/>
      </c>
      <c r="O15" s="30" t="str">
        <f ca="1">IF(TEXT(IF(Настройки!T97="",TEXT(Настройки!$J3,"ч:мм"),TEXT(Настройки!T97,"ч:мм"))+TIME(0,Ноябрь!R14,0),"ч::мм")=TEXT(IF(Настройки!T97="",TEXT(Настройки!$J3,"ч:мм"),TEXT(Настройки!T97,"ч:мм")),"ч:мм"),"",TEXT(IF(Настройки!T97="",TEXT(Настройки!$J3,"ч:мм"),TEXT(Настройки!T97,"ч:мм")),"ч:мм")&amp;"-"&amp;TEXT(IF(Настройки!T97="",TEXT(Настройки!$J3,"ч:мм"),TEXT(Настройки!T97,"ч:мм"))+TIME(0,Ноябрь!R14,0),"ч::мм"))</f>
        <v/>
      </c>
      <c r="P15" s="30" t="str">
        <f ca="1">IF(TEXT(IF(Настройки!U97="",TEXT(Настройки!$J3,"ч:мм"),TEXT(Настройки!U97,"ч:мм"))+TIME(0,Ноябрь!S14,0),"ч::мм")=TEXT(IF(Настройки!U97="",TEXT(Настройки!$J3,"ч:мм"),TEXT(Настройки!U97,"ч:мм")),"ч:мм"),"",TEXT(IF(Настройки!U97="",TEXT(Настройки!$J3,"ч:мм"),TEXT(Настройки!U97,"ч:мм")),"ч:мм")&amp;"-"&amp;TEXT(IF(Настройки!U97="",TEXT(Настройки!$J3,"ч:мм"),TEXT(Настройки!U97,"ч:мм"))+TIME(0,Ноябрь!S14,0),"ч::мм"))</f>
        <v/>
      </c>
      <c r="S15" s="30"/>
    </row>
    <row r="16" spans="1:32" x14ac:dyDescent="0.25">
      <c r="A16" s="32" t="str">
        <f ca="1">IF(Настройки!J4&lt;&gt;"",TEXT(MIN(Настройки!G98:AJ98,Настройки!J4),"ч:мм")&amp;"-"&amp;TEXT(MAX(Настройки!G98:AJ98,Настройки!J4)+TIME(0,MAX(Ноябрь!E15:AH15),0),"ч:мм"),"")</f>
        <v>16:00-16:00</v>
      </c>
      <c r="B16" s="30" t="str">
        <f ca="1">IF(TEXT(IF(Настройки!G98="",TEXT(Настройки!$J4,"ч:мм"),TEXT(Настройки!G98,"ч:мм"))+TIME(0,Ноябрь!E15,0),"ч::мм")=TEXT(IF(Настройки!G98="",TEXT(Настройки!$J4,"ч:мм"),TEXT(Настройки!G98,"ч:мм")),"ч:мм"),"",TEXT(IF(Настройки!G98="",TEXT(Настройки!$J4,"ч:мм"),TEXT(Настройки!G98,"ч:мм")),"ч:мм")&amp;"-"&amp;TEXT(IF(Настройки!G98="",TEXT(Настройки!$J4,"ч:мм"),TEXT(Настройки!G98,"ч:мм"))+TIME(0,Ноябрь!E15,0),"ч::мм"))</f>
        <v/>
      </c>
      <c r="C16" s="30" t="str">
        <f ca="1">IF(TEXT(IF(Настройки!H98="",TEXT(Настройки!$J4,"ч:мм"),TEXT(Настройки!H98,"ч:мм"))+TIME(0,Ноябрь!F15,0),"ч::мм")=TEXT(IF(Настройки!H98="",TEXT(Настройки!$J4,"ч:мм"),TEXT(Настройки!H98,"ч:мм")),"ч:мм"),"",TEXT(IF(Настройки!H98="",TEXT(Настройки!$J4,"ч:мм"),TEXT(Настройки!H98,"ч:мм")),"ч:мм")&amp;"-"&amp;TEXT(IF(Настройки!H98="",TEXT(Настройки!$J4,"ч:мм"),TEXT(Настройки!H98,"ч:мм"))+TIME(0,Ноябрь!F15,0),"ч::мм"))</f>
        <v/>
      </c>
      <c r="D16" s="30" t="str">
        <f ca="1">IF(TEXT(IF(Настройки!I98="",TEXT(Настройки!$J4,"ч:мм"),TEXT(Настройки!I98,"ч:мм"))+TIME(0,Ноябрь!G15,0),"ч::мм")=TEXT(IF(Настройки!I98="",TEXT(Настройки!$J4,"ч:мм"),TEXT(Настройки!I98,"ч:мм")),"ч:мм"),"",TEXT(IF(Настройки!I98="",TEXT(Настройки!$J4,"ч:мм"),TEXT(Настройки!I98,"ч:мм")),"ч:мм")&amp;"-"&amp;TEXT(IF(Настройки!I98="",TEXT(Настройки!$J4,"ч:мм"),TEXT(Настройки!I98,"ч:мм"))+TIME(0,Ноябрь!G15,0),"ч::мм"))</f>
        <v/>
      </c>
      <c r="E16" s="30" t="str">
        <f ca="1">IF(TEXT(IF(Настройки!J98="",TEXT(Настройки!$J4,"ч:мм"),TEXT(Настройки!J98,"ч:мм"))+TIME(0,Ноябрь!H15,0),"ч::мм")=TEXT(IF(Настройки!J98="",TEXT(Настройки!$J4,"ч:мм"),TEXT(Настройки!J98,"ч:мм")),"ч:мм"),"",TEXT(IF(Настройки!J98="",TEXT(Настройки!$J4,"ч:мм"),TEXT(Настройки!J98,"ч:мм")),"ч:мм")&amp;"-"&amp;TEXT(IF(Настройки!J98="",TEXT(Настройки!$J4,"ч:мм"),TEXT(Настройки!J98,"ч:мм"))+TIME(0,Ноябрь!H15,0),"ч::мм"))</f>
        <v/>
      </c>
      <c r="F16" s="30" t="str">
        <f ca="1">IF(TEXT(IF(Настройки!K98="",TEXT(Настройки!$J4,"ч:мм"),TEXT(Настройки!K98,"ч:мм"))+TIME(0,Ноябрь!I15,0),"ч::мм")=TEXT(IF(Настройки!K98="",TEXT(Настройки!$J4,"ч:мм"),TEXT(Настройки!K98,"ч:мм")),"ч:мм"),"",TEXT(IF(Настройки!K98="",TEXT(Настройки!$J4,"ч:мм"),TEXT(Настройки!K98,"ч:мм")),"ч:мм")&amp;"-"&amp;TEXT(IF(Настройки!K98="",TEXT(Настройки!$J4,"ч:мм"),TEXT(Настройки!K98,"ч:мм"))+TIME(0,Ноябрь!I15,0),"ч::мм"))</f>
        <v/>
      </c>
      <c r="G16" s="30" t="str">
        <f ca="1">IF(TEXT(IF(Настройки!L98="",TEXT(Настройки!$J4,"ч:мм"),TEXT(Настройки!L98,"ч:мм"))+TIME(0,Ноябрь!J15,0),"ч::мм")=TEXT(IF(Настройки!L98="",TEXT(Настройки!$J4,"ч:мм"),TEXT(Настройки!L98,"ч:мм")),"ч:мм"),"",TEXT(IF(Настройки!L98="",TEXT(Настройки!$J4,"ч:мм"),TEXT(Настройки!L98,"ч:мм")),"ч:мм")&amp;"-"&amp;TEXT(IF(Настройки!L98="",TEXT(Настройки!$J4,"ч:мм"),TEXT(Настройки!L98,"ч:мм"))+TIME(0,Ноябрь!J15,0),"ч::мм"))</f>
        <v/>
      </c>
      <c r="H16" s="30" t="str">
        <f ca="1">IF(TEXT(IF(Настройки!M98="",TEXT(Настройки!$J4,"ч:мм"),TEXT(Настройки!M98,"ч:мм"))+TIME(0,Ноябрь!K15,0),"ч::мм")=TEXT(IF(Настройки!M98="",TEXT(Настройки!$J4,"ч:мм"),TEXT(Настройки!M98,"ч:мм")),"ч:мм"),"",TEXT(IF(Настройки!M98="",TEXT(Настройки!$J4,"ч:мм"),TEXT(Настройки!M98,"ч:мм")),"ч:мм")&amp;"-"&amp;TEXT(IF(Настройки!M98="",TEXT(Настройки!$J4,"ч:мм"),TEXT(Настройки!M98,"ч:мм"))+TIME(0,Ноябрь!K15,0),"ч::мм"))</f>
        <v/>
      </c>
      <c r="I16" s="30" t="str">
        <f ca="1">IF(TEXT(IF(Настройки!N98="",TEXT(Настройки!$J4,"ч:мм"),TEXT(Настройки!N98,"ч:мм"))+TIME(0,Ноябрь!L15,0),"ч::мм")=TEXT(IF(Настройки!N98="",TEXT(Настройки!$J4,"ч:мм"),TEXT(Настройки!N98,"ч:мм")),"ч:мм"),"",TEXT(IF(Настройки!N98="",TEXT(Настройки!$J4,"ч:мм"),TEXT(Настройки!N98,"ч:мм")),"ч:мм")&amp;"-"&amp;TEXT(IF(Настройки!N98="",TEXT(Настройки!$J4,"ч:мм"),TEXT(Настройки!N98,"ч:мм"))+TIME(0,Ноябрь!L15,0),"ч::мм"))</f>
        <v/>
      </c>
      <c r="J16" s="30" t="str">
        <f ca="1">IF(TEXT(IF(Настройки!O98="",TEXT(Настройки!$J4,"ч:мм"),TEXT(Настройки!O98,"ч:мм"))+TIME(0,Ноябрь!M15,0),"ч::мм")=TEXT(IF(Настройки!O98="",TEXT(Настройки!$J4,"ч:мм"),TEXT(Настройки!O98,"ч:мм")),"ч:мм"),"",TEXT(IF(Настройки!O98="",TEXT(Настройки!$J4,"ч:мм"),TEXT(Настройки!O98,"ч:мм")),"ч:мм")&amp;"-"&amp;TEXT(IF(Настройки!O98="",TEXT(Настройки!$J4,"ч:мм"),TEXT(Настройки!O98,"ч:мм"))+TIME(0,Ноябрь!M15,0),"ч::мм"))</f>
        <v/>
      </c>
      <c r="K16" s="30" t="str">
        <f ca="1">IF(TEXT(IF(Настройки!P98="",TEXT(Настройки!$J4,"ч:мм"),TEXT(Настройки!P98,"ч:мм"))+TIME(0,Ноябрь!N15,0),"ч::мм")=TEXT(IF(Настройки!P98="",TEXT(Настройки!$J4,"ч:мм"),TEXT(Настройки!P98,"ч:мм")),"ч:мм"),"",TEXT(IF(Настройки!P98="",TEXT(Настройки!$J4,"ч:мм"),TEXT(Настройки!P98,"ч:мм")),"ч:мм")&amp;"-"&amp;TEXT(IF(Настройки!P98="",TEXT(Настройки!$J4,"ч:мм"),TEXT(Настройки!P98,"ч:мм"))+TIME(0,Ноябрь!N15,0),"ч::мм"))</f>
        <v/>
      </c>
      <c r="L16" s="30" t="str">
        <f ca="1">IF(TEXT(IF(Настройки!Q98="",TEXT(Настройки!$J4,"ч:мм"),TEXT(Настройки!Q98,"ч:мм"))+TIME(0,Ноябрь!O15,0),"ч::мм")=TEXT(IF(Настройки!Q98="",TEXT(Настройки!$J4,"ч:мм"),TEXT(Настройки!Q98,"ч:мм")),"ч:мм"),"",TEXT(IF(Настройки!Q98="",TEXT(Настройки!$J4,"ч:мм"),TEXT(Настройки!Q98,"ч:мм")),"ч:мм")&amp;"-"&amp;TEXT(IF(Настройки!Q98="",TEXT(Настройки!$J4,"ч:мм"),TEXT(Настройки!Q98,"ч:мм"))+TIME(0,Ноябрь!O15,0),"ч::мм"))</f>
        <v/>
      </c>
      <c r="M16" s="30" t="str">
        <f ca="1">IF(TEXT(IF(Настройки!R98="",TEXT(Настройки!$J4,"ч:мм"),TEXT(Настройки!R98,"ч:мм"))+TIME(0,Ноябрь!P15,0),"ч::мм")=TEXT(IF(Настройки!R98="",TEXT(Настройки!$J4,"ч:мм"),TEXT(Настройки!R98,"ч:мм")),"ч:мм"),"",TEXT(IF(Настройки!R98="",TEXT(Настройки!$J4,"ч:мм"),TEXT(Настройки!R98,"ч:мм")),"ч:мм")&amp;"-"&amp;TEXT(IF(Настройки!R98="",TEXT(Настройки!$J4,"ч:мм"),TEXT(Настройки!R98,"ч:мм"))+TIME(0,Ноябрь!P15,0),"ч::мм"))</f>
        <v/>
      </c>
      <c r="N16" s="30" t="str">
        <f ca="1">IF(TEXT(IF(Настройки!S98="",TEXT(Настройки!$J4,"ч:мм"),TEXT(Настройки!S98,"ч:мм"))+TIME(0,Ноябрь!Q15,0),"ч::мм")=TEXT(IF(Настройки!S98="",TEXT(Настройки!$J4,"ч:мм"),TEXT(Настройки!S98,"ч:мм")),"ч:мм"),"",TEXT(IF(Настройки!S98="",TEXT(Настройки!$J4,"ч:мм"),TEXT(Настройки!S98,"ч:мм")),"ч:мм")&amp;"-"&amp;TEXT(IF(Настройки!S98="",TEXT(Настройки!$J4,"ч:мм"),TEXT(Настройки!S98,"ч:мм"))+TIME(0,Ноябрь!Q15,0),"ч::мм"))</f>
        <v/>
      </c>
      <c r="O16" s="30" t="str">
        <f ca="1">IF(TEXT(IF(Настройки!T98="",TEXT(Настройки!$J4,"ч:мм"),TEXT(Настройки!T98,"ч:мм"))+TIME(0,Ноябрь!R15,0),"ч::мм")=TEXT(IF(Настройки!T98="",TEXT(Настройки!$J4,"ч:мм"),TEXT(Настройки!T98,"ч:мм")),"ч:мм"),"",TEXT(IF(Настройки!T98="",TEXT(Настройки!$J4,"ч:мм"),TEXT(Настройки!T98,"ч:мм")),"ч:мм")&amp;"-"&amp;TEXT(IF(Настройки!T98="",TEXT(Настройки!$J4,"ч:мм"),TEXT(Настройки!T98,"ч:мм"))+TIME(0,Ноябрь!R15,0),"ч::мм"))</f>
        <v/>
      </c>
      <c r="P16" s="30" t="str">
        <f ca="1">IF(TEXT(IF(Настройки!U98="",TEXT(Настройки!$J4,"ч:мм"),TEXT(Настройки!U98,"ч:мм"))+TIME(0,Ноябрь!S15,0),"ч::мм")=TEXT(IF(Настройки!U98="",TEXT(Настройки!$J4,"ч:мм"),TEXT(Настройки!U98,"ч:мм")),"ч:мм"),"",TEXT(IF(Настройки!U98="",TEXT(Настройки!$J4,"ч:мм"),TEXT(Настройки!U98,"ч:мм")),"ч:мм")&amp;"-"&amp;TEXT(IF(Настройки!U98="",TEXT(Настройки!$J4,"ч:мм"),TEXT(Настройки!U98,"ч:мм"))+TIME(0,Ноябрь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Настройки!V17</f>
        <v>45612</v>
      </c>
      <c r="C20" s="29">
        <f>Настройки!W17</f>
        <v>45613</v>
      </c>
      <c r="D20" s="29">
        <f>Настройки!X17</f>
        <v>45614</v>
      </c>
      <c r="E20" s="29">
        <f>Настройки!Y17</f>
        <v>45615</v>
      </c>
      <c r="F20" s="29">
        <f>Настройки!Z17</f>
        <v>45616</v>
      </c>
      <c r="G20" s="29">
        <f>Настройки!AA17</f>
        <v>45617</v>
      </c>
      <c r="H20" s="29">
        <f>Настройки!AB17</f>
        <v>45618</v>
      </c>
      <c r="I20" s="29">
        <f>Настройки!AC17</f>
        <v>45619</v>
      </c>
      <c r="J20" s="29">
        <f>Настройки!AD17</f>
        <v>45620</v>
      </c>
      <c r="K20" s="29">
        <f>Настройки!AE17</f>
        <v>45621</v>
      </c>
      <c r="L20" s="29">
        <f>Настройки!AF17</f>
        <v>45622</v>
      </c>
      <c r="M20" s="29">
        <f>Настройки!AG17</f>
        <v>45623</v>
      </c>
      <c r="N20" s="29">
        <f>Настройки!AH17</f>
        <v>45624</v>
      </c>
      <c r="O20" s="29">
        <f>Настройки!AI17</f>
        <v>45625</v>
      </c>
      <c r="P20" s="29">
        <f>Настройки!AJ17</f>
        <v>45626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96="",TEXT(Настройки!$J2,"ч:мм"),TEXT(Настройки!V96,"ч:мм"))+TIME(0,Ноябрь!T13,0),"ч::мм")=TEXT(IF(Настройки!V96="",TEXT(Настройки!$J2,"ч:мм"),TEXT(Настройки!V96,"ч:мм")),"ч:мм"),"",TEXT(IF(Настройки!V96="",TEXT(Настройки!$J2,"ч:мм"),TEXT(Настройки!V96,"ч:мм")),"ч:мм")&amp;"-"&amp;TEXT(IF(Настройки!V96="",TEXT(Настройки!$J2,"ч:мм"),TEXT(Настройки!V96,"ч:мм"))+TIME(0,Ноябрь!T13,0),"ч::мм"))</f>
        <v/>
      </c>
      <c r="C24" s="3" t="str">
        <f>IF(TEXT(IF(Настройки!W96="",TEXT(Настройки!$J2,"ч:мм"),TEXT(Настройки!W96,"ч:мм"))+TIME(0,Ноябрь!U13,0),"ч::мм")=TEXT(IF(Настройки!W96="",TEXT(Настройки!$J2,"ч:мм"),TEXT(Настройки!W96,"ч:мм")),"ч:мм"),"",TEXT(IF(Настройки!W96="",TEXT(Настройки!$J2,"ч:мм"),TEXT(Настройки!W96,"ч:мм")),"ч:мм")&amp;"-"&amp;TEXT(IF(Настройки!W96="",TEXT(Настройки!$J2,"ч:мм"),TEXT(Настройки!W96,"ч:мм"))+TIME(0,Ноябрь!U13,0),"ч::мм"))</f>
        <v/>
      </c>
      <c r="D24" s="3" t="str">
        <f>IF(TEXT(IF(Настройки!X96="",TEXT(Настройки!$J2,"ч:мм"),TEXT(Настройки!X96,"ч:мм"))+TIME(0,Ноябрь!V13,0),"ч::мм")=TEXT(IF(Настройки!X96="",TEXT(Настройки!$J2,"ч:мм"),TEXT(Настройки!X96,"ч:мм")),"ч:мм"),"",TEXT(IF(Настройки!X96="",TEXT(Настройки!$J2,"ч:мм"),TEXT(Настройки!X96,"ч:мм")),"ч:мм")&amp;"-"&amp;TEXT(IF(Настройки!X96="",TEXT(Настройки!$J2,"ч:мм"),TEXT(Настройки!X96,"ч:мм"))+TIME(0,Ноябрь!V13,0),"ч::мм"))</f>
        <v/>
      </c>
      <c r="E24" s="3" t="str">
        <f>IF(TEXT(IF(Настройки!Y96="",TEXT(Настройки!$J2,"ч:мм"),TEXT(Настройки!Y96,"ч:мм"))+TIME(0,Ноябрь!W13,0),"ч::мм")=TEXT(IF(Настройки!Y96="",TEXT(Настройки!$J2,"ч:мм"),TEXT(Настройки!Y96,"ч:мм")),"ч:мм"),"",TEXT(IF(Настройки!Y96="",TEXT(Настройки!$J2,"ч:мм"),TEXT(Настройки!Y96,"ч:мм")),"ч:мм")&amp;"-"&amp;TEXT(IF(Настройки!Y96="",TEXT(Настройки!$J2,"ч:мм"),TEXT(Настройки!Y96,"ч:мм"))+TIME(0,Ноябрь!W13,0),"ч::мм"))</f>
        <v/>
      </c>
      <c r="F24" s="3" t="str">
        <f>IF(TEXT(IF(Настройки!Z96="",TEXT(Настройки!$J2,"ч:мм"),TEXT(Настройки!Z96,"ч:мм"))+TIME(0,Ноябрь!X13,0),"ч::мм")=TEXT(IF(Настройки!Z96="",TEXT(Настройки!$J2,"ч:мм"),TEXT(Настройки!Z96,"ч:мм")),"ч:мм"),"",TEXT(IF(Настройки!Z96="",TEXT(Настройки!$J2,"ч:мм"),TEXT(Настройки!Z96,"ч:мм")),"ч:мм")&amp;"-"&amp;TEXT(IF(Настройки!Z96="",TEXT(Настройки!$J2,"ч:мм"),TEXT(Настройки!Z96,"ч:мм"))+TIME(0,Ноябрь!X13,0),"ч::мм"))</f>
        <v/>
      </c>
      <c r="G24" s="3" t="str">
        <f>IF(TEXT(IF(Настройки!AA96="",TEXT(Настройки!$J2,"ч:мм"),TEXT(Настройки!AA96,"ч:мм"))+TIME(0,Ноябрь!Y13,0),"ч::мм")=TEXT(IF(Настройки!AA96="",TEXT(Настройки!$J2,"ч:мм"),TEXT(Настройки!AA96,"ч:мм")),"ч:мм"),"",TEXT(IF(Настройки!AA96="",TEXT(Настройки!$J2,"ч:мм"),TEXT(Настройки!AA96,"ч:мм")),"ч:мм")&amp;"-"&amp;TEXT(IF(Настройки!AA96="",TEXT(Настройки!$J2,"ч:мм"),TEXT(Настройки!AA96,"ч:мм"))+TIME(0,Ноябрь!Y13,0),"ч::мм"))</f>
        <v/>
      </c>
      <c r="H24" s="3" t="str">
        <f>IF(TEXT(IF(Настройки!AB96="",TEXT(Настройки!$J2,"ч:мм"),TEXT(Настройки!AB96,"ч:мм"))+TIME(0,Ноябрь!Z13,0),"ч::мм")=TEXT(IF(Настройки!AB96="",TEXT(Настройки!$J2,"ч:мм"),TEXT(Настройки!AB96,"ч:мм")),"ч:мм"),"",TEXT(IF(Настройки!AB96="",TEXT(Настройки!$J2,"ч:мм"),TEXT(Настройки!AB96,"ч:мм")),"ч:мм")&amp;"-"&amp;TEXT(IF(Настройки!AB96="",TEXT(Настройки!$J2,"ч:мм"),TEXT(Настройки!AB96,"ч:мм"))+TIME(0,Ноябрь!Z13,0),"ч::мм"))</f>
        <v/>
      </c>
      <c r="I24" s="3" t="str">
        <f>IF(TEXT(IF(Настройки!AC96="",TEXT(Настройки!$J2,"ч:мм"),TEXT(Настройки!AC96,"ч:мм"))+TIME(0,Ноябрь!AA13,0),"ч::мм")=TEXT(IF(Настройки!AC96="",TEXT(Настройки!$J2,"ч:мм"),TEXT(Настройки!AC96,"ч:мм")),"ч:мм"),"",TEXT(IF(Настройки!AC96="",TEXT(Настройки!$J2,"ч:мм"),TEXT(Настройки!AC96,"ч:мм")),"ч:мм")&amp;"-"&amp;TEXT(IF(Настройки!AC96="",TEXT(Настройки!$J2,"ч:мм"),TEXT(Настройки!AC96,"ч:мм"))+TIME(0,Ноябрь!AA13,0),"ч::мм"))</f>
        <v/>
      </c>
      <c r="J24" s="3" t="str">
        <f>IF(TEXT(IF(Настройки!AD96="",TEXT(Настройки!$J2,"ч:мм"),TEXT(Настройки!AD96,"ч:мм"))+TIME(0,Ноябрь!AB13,0),"ч::мм")=TEXT(IF(Настройки!AD96="",TEXT(Настройки!$J2,"ч:мм"),TEXT(Настройки!AD96,"ч:мм")),"ч:мм"),"",TEXT(IF(Настройки!AD96="",TEXT(Настройки!$J2,"ч:мм"),TEXT(Настройки!AD96,"ч:мм")),"ч:мм")&amp;"-"&amp;TEXT(IF(Настройки!AD96="",TEXT(Настройки!$J2,"ч:мм"),TEXT(Настройки!AD96,"ч:мм"))+TIME(0,Ноябрь!AB13,0),"ч::мм"))</f>
        <v/>
      </c>
      <c r="K24" s="3" t="str">
        <f>IF(TEXT(IF(Настройки!AE96="",TEXT(Настройки!$J2,"ч:мм"),TEXT(Настройки!AE96,"ч:мм"))+TIME(0,Ноябрь!AC13,0),"ч::мм")=TEXT(IF(Настройки!AE96="",TEXT(Настройки!$J2,"ч:мм"),TEXT(Настройки!AE96,"ч:мм")),"ч:мм"),"",TEXT(IF(Настройки!AE96="",TEXT(Настройки!$J2,"ч:мм"),TEXT(Настройки!AE96,"ч:мм")),"ч:мм")&amp;"-"&amp;TEXT(IF(Настройки!AE96="",TEXT(Настройки!$J2,"ч:мм"),TEXT(Настройки!AE96,"ч:мм"))+TIME(0,Ноябрь!AC13,0),"ч::мм"))</f>
        <v/>
      </c>
      <c r="L24" s="3" t="str">
        <f>IF(TEXT(IF(Настройки!AF96="",TEXT(Настройки!$J2,"ч:мм"),TEXT(Настройки!AF96,"ч:мм"))+TIME(0,Ноябрь!AD13,0),"ч::мм")=TEXT(IF(Настройки!AF96="",TEXT(Настройки!$J2,"ч:мм"),TEXT(Настройки!AF96,"ч:мм")),"ч:мм"),"",TEXT(IF(Настройки!AF96="",TEXT(Настройки!$J2,"ч:мм"),TEXT(Настройки!AF96,"ч:мм")),"ч:мм")&amp;"-"&amp;TEXT(IF(Настройки!AF96="",TEXT(Настройки!$J2,"ч:мм"),TEXT(Настройки!AF96,"ч:мм"))+TIME(0,Ноябрь!AD13,0),"ч::мм"))</f>
        <v/>
      </c>
      <c r="M24" s="3" t="str">
        <f>IF(TEXT(IF(Настройки!AG96="",TEXT(Настройки!$J2,"ч:мм"),TEXT(Настройки!AG96,"ч:мм"))+TIME(0,Ноябрь!AE13,0),"ч::мм")=TEXT(IF(Настройки!AG96="",TEXT(Настройки!$J2,"ч:мм"),TEXT(Настройки!AG96,"ч:мм")),"ч:мм"),"",TEXT(IF(Настройки!AG96="",TEXT(Настройки!$J2,"ч:мм"),TEXT(Настройки!AG96,"ч:мм")),"ч:мм")&amp;"-"&amp;TEXT(IF(Настройки!AG96="",TEXT(Настройки!$J2,"ч:мм"),TEXT(Настройки!AG96,"ч:мм"))+TIME(0,Ноябрь!AE13,0),"ч::мм"))</f>
        <v/>
      </c>
      <c r="N24" s="3" t="str">
        <f>IF(TEXT(IF(Настройки!AH96="",TEXT(Настройки!$J2,"ч:мм"),TEXT(Настройки!AH96,"ч:мм"))+TIME(0,Ноябрь!AF13,0),"ч::мм")=TEXT(IF(Настройки!AH96="",TEXT(Настройки!$J2,"ч:мм"),TEXT(Настройки!AH96,"ч:мм")),"ч:мм"),"",TEXT(IF(Настройки!AH96="",TEXT(Настройки!$J2,"ч:мм"),TEXT(Настройки!AH96,"ч:мм")),"ч:мм")&amp;"-"&amp;TEXT(IF(Настройки!AH96="",TEXT(Настройки!$J2,"ч:мм"),TEXT(Настройки!AH96,"ч:мм"))+TIME(0,Ноябрь!AF13,0),"ч::мм"))</f>
        <v/>
      </c>
      <c r="O24" s="3" t="str">
        <f>IF(TEXT(IF(Настройки!AI96="",TEXT(Настройки!$J2,"ч:мм"),TEXT(Настройки!AI96,"ч:мм"))+TIME(0,Ноябрь!AG13,0),"ч::мм")=TEXT(IF(Настройки!AI96="",TEXT(Настройки!$J2,"ч:мм"),TEXT(Настройки!AI96,"ч:мм")),"ч:мм"),"",TEXT(IF(Настройки!AI96="",TEXT(Настройки!$J2,"ч:мм"),TEXT(Настройки!AI96,"ч:мм")),"ч:мм")&amp;"-"&amp;TEXT(IF(Настройки!AI96="",TEXT(Настройки!$J2,"ч:мм"),TEXT(Настройки!AI96,"ч:мм"))+TIME(0,Ноябрь!AG13,0),"ч::мм"))</f>
        <v/>
      </c>
      <c r="P24" s="3" t="str">
        <f>IF(TEXT(IF(Настройки!AJ96="",TEXT(Настройки!$J2,"ч:мм"),TEXT(Настройки!AJ96,"ч:мм"))+TIME(0,Ноябрь!AH13,0),"ч::мм")=TEXT(IF(Настройки!AJ96="",TEXT(Настройки!$J2,"ч:мм"),TEXT(Настройки!AJ96,"ч:мм")),"ч:мм"),"",TEXT(IF(Настройки!AJ96="",TEXT(Настройки!$J2,"ч:мм"),TEXT(Настройки!AJ96,"ч:мм")),"ч:мм")&amp;"-"&amp;TEXT(IF(Настройки!AJ96="",TEXT(Настройки!$J2,"ч:мм"),TEXT(Настройки!AJ96,"ч:мм"))+TIME(0,Ноябрь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97="",TEXT(Настройки!$J3,"ч:мм"),TEXT(Настройки!V97,"ч:мм"))+TIME(0,Ноябрь!T14,0),"ч::мм")=TEXT(IF(Настройки!V97="",TEXT(Настройки!$J3,"ч:мм"),TEXT(Настройки!V97,"ч:мм")),"ч:мм"),"",TEXT(IF(Настройки!V97="",TEXT(Настройки!$J3,"ч:мм"),TEXT(Настройки!V97,"ч:мм")),"ч:мм")&amp;"-"&amp;TEXT(IF(Настройки!V97="",TEXT(Настройки!$J3,"ч:мм"),TEXT(Настройки!V97,"ч:мм"))+TIME(0,Ноябрь!T14,0),"ч::мм"))</f>
        <v/>
      </c>
      <c r="C25" s="3" t="str">
        <f ca="1">IF(TEXT(IF(Настройки!W97="",TEXT(Настройки!$J3,"ч:мм"),TEXT(Настройки!W97,"ч:мм"))+TIME(0,Ноябрь!U14,0),"ч::мм")=TEXT(IF(Настройки!W97="",TEXT(Настройки!$J3,"ч:мм"),TEXT(Настройки!W97,"ч:мм")),"ч:мм"),"",TEXT(IF(Настройки!W97="",TEXT(Настройки!$J3,"ч:мм"),TEXT(Настройки!W97,"ч:мм")),"ч:мм")&amp;"-"&amp;TEXT(IF(Настройки!W97="",TEXT(Настройки!$J3,"ч:мм"),TEXT(Настройки!W97,"ч:мм"))+TIME(0,Ноябрь!U14,0),"ч::мм"))</f>
        <v/>
      </c>
      <c r="D25" s="3" t="str">
        <f ca="1">IF(TEXT(IF(Настройки!X97="",TEXT(Настройки!$J3,"ч:мм"),TEXT(Настройки!X97,"ч:мм"))+TIME(0,Ноябрь!V14,0),"ч::мм")=TEXT(IF(Настройки!X97="",TEXT(Настройки!$J3,"ч:мм"),TEXT(Настройки!X97,"ч:мм")),"ч:мм"),"",TEXT(IF(Настройки!X97="",TEXT(Настройки!$J3,"ч:мм"),TEXT(Настройки!X97,"ч:мм")),"ч:мм")&amp;"-"&amp;TEXT(IF(Настройки!X97="",TEXT(Настройки!$J3,"ч:мм"),TEXT(Настройки!X97,"ч:мм"))+TIME(0,Ноябрь!V14,0),"ч::мм"))</f>
        <v/>
      </c>
      <c r="E25" s="3" t="str">
        <f ca="1">IF(TEXT(IF(Настройки!Y97="",TEXT(Настройки!$J3,"ч:мм"),TEXT(Настройки!Y97,"ч:мм"))+TIME(0,Ноябрь!W14,0),"ч::мм")=TEXT(IF(Настройки!Y97="",TEXT(Настройки!$J3,"ч:мм"),TEXT(Настройки!Y97,"ч:мм")),"ч:мм"),"",TEXT(IF(Настройки!Y97="",TEXT(Настройки!$J3,"ч:мм"),TEXT(Настройки!Y97,"ч:мм")),"ч:мм")&amp;"-"&amp;TEXT(IF(Настройки!Y97="",TEXT(Настройки!$J3,"ч:мм"),TEXT(Настройки!Y97,"ч:мм"))+TIME(0,Ноябрь!W14,0),"ч::мм"))</f>
        <v/>
      </c>
      <c r="F25" s="3" t="str">
        <f ca="1">IF(TEXT(IF(Настройки!Z97="",TEXT(Настройки!$J3,"ч:мм"),TEXT(Настройки!Z97,"ч:мм"))+TIME(0,Ноябрь!X14,0),"ч::мм")=TEXT(IF(Настройки!Z97="",TEXT(Настройки!$J3,"ч:мм"),TEXT(Настройки!Z97,"ч:мм")),"ч:мм"),"",TEXT(IF(Настройки!Z97="",TEXT(Настройки!$J3,"ч:мм"),TEXT(Настройки!Z97,"ч:мм")),"ч:мм")&amp;"-"&amp;TEXT(IF(Настройки!Z97="",TEXT(Настройки!$J3,"ч:мм"),TEXT(Настройки!Z97,"ч:мм"))+TIME(0,Ноябрь!X14,0),"ч::мм"))</f>
        <v/>
      </c>
      <c r="G25" s="3" t="str">
        <f ca="1">IF(TEXT(IF(Настройки!AA97="",TEXT(Настройки!$J3,"ч:мм"),TEXT(Настройки!AA97,"ч:мм"))+TIME(0,Ноябрь!Y14,0),"ч::мм")=TEXT(IF(Настройки!AA97="",TEXT(Настройки!$J3,"ч:мм"),TEXT(Настройки!AA97,"ч:мм")),"ч:мм"),"",TEXT(IF(Настройки!AA97="",TEXT(Настройки!$J3,"ч:мм"),TEXT(Настройки!AA97,"ч:мм")),"ч:мм")&amp;"-"&amp;TEXT(IF(Настройки!AA97="",TEXT(Настройки!$J3,"ч:мм"),TEXT(Настройки!AA97,"ч:мм"))+TIME(0,Ноябрь!Y14,0),"ч::мм"))</f>
        <v/>
      </c>
      <c r="H25" s="3" t="str">
        <f ca="1">IF(TEXT(IF(Настройки!AB97="",TEXT(Настройки!$J3,"ч:мм"),TEXT(Настройки!AB97,"ч:мм"))+TIME(0,Ноябрь!Z14,0),"ч::мм")=TEXT(IF(Настройки!AB97="",TEXT(Настройки!$J3,"ч:мм"),TEXT(Настройки!AB97,"ч:мм")),"ч:мм"),"",TEXT(IF(Настройки!AB97="",TEXT(Настройки!$J3,"ч:мм"),TEXT(Настройки!AB97,"ч:мм")),"ч:мм")&amp;"-"&amp;TEXT(IF(Настройки!AB97="",TEXT(Настройки!$J3,"ч:мм"),TEXT(Настройки!AB97,"ч:мм"))+TIME(0,Ноябрь!Z14,0),"ч::мм"))</f>
        <v/>
      </c>
      <c r="I25" s="3" t="str">
        <f ca="1">IF(TEXT(IF(Настройки!AC97="",TEXT(Настройки!$J3,"ч:мм"),TEXT(Настройки!AC97,"ч:мм"))+TIME(0,Ноябрь!AA14,0),"ч::мм")=TEXT(IF(Настройки!AC97="",TEXT(Настройки!$J3,"ч:мм"),TEXT(Настройки!AC97,"ч:мм")),"ч:мм"),"",TEXT(IF(Настройки!AC97="",TEXT(Настройки!$J3,"ч:мм"),TEXT(Настройки!AC97,"ч:мм")),"ч:мм")&amp;"-"&amp;TEXT(IF(Настройки!AC97="",TEXT(Настройки!$J3,"ч:мм"),TEXT(Настройки!AC97,"ч:мм"))+TIME(0,Ноябрь!AA14,0),"ч::мм"))</f>
        <v/>
      </c>
      <c r="J25" s="3" t="str">
        <f ca="1">IF(TEXT(IF(Настройки!AD97="",TEXT(Настройки!$J3,"ч:мм"),TEXT(Настройки!AD97,"ч:мм"))+TIME(0,Ноябрь!AB14,0),"ч::мм")=TEXT(IF(Настройки!AD97="",TEXT(Настройки!$J3,"ч:мм"),TEXT(Настройки!AD97,"ч:мм")),"ч:мм"),"",TEXT(IF(Настройки!AD97="",TEXT(Настройки!$J3,"ч:мм"),TEXT(Настройки!AD97,"ч:мм")),"ч:мм")&amp;"-"&amp;TEXT(IF(Настройки!AD97="",TEXT(Настройки!$J3,"ч:мм"),TEXT(Настройки!AD97,"ч:мм"))+TIME(0,Ноябрь!AB14,0),"ч::мм"))</f>
        <v/>
      </c>
      <c r="K25" s="3" t="str">
        <f ca="1">IF(TEXT(IF(Настройки!AE97="",TEXT(Настройки!$J3,"ч:мм"),TEXT(Настройки!AE97,"ч:мм"))+TIME(0,Ноябрь!AC14,0),"ч::мм")=TEXT(IF(Настройки!AE97="",TEXT(Настройки!$J3,"ч:мм"),TEXT(Настройки!AE97,"ч:мм")),"ч:мм"),"",TEXT(IF(Настройки!AE97="",TEXT(Настройки!$J3,"ч:мм"),TEXT(Настройки!AE97,"ч:мм")),"ч:мм")&amp;"-"&amp;TEXT(IF(Настройки!AE97="",TEXT(Настройки!$J3,"ч:мм"),TEXT(Настройки!AE97,"ч:мм"))+TIME(0,Ноябрь!AC14,0),"ч::мм"))</f>
        <v/>
      </c>
      <c r="L25" s="3" t="str">
        <f ca="1">IF(TEXT(IF(Настройки!AF97="",TEXT(Настройки!$J3,"ч:мм"),TEXT(Настройки!AF97,"ч:мм"))+TIME(0,Ноябрь!AD14,0),"ч::мм")=TEXT(IF(Настройки!AF97="",TEXT(Настройки!$J3,"ч:мм"),TEXT(Настройки!AF97,"ч:мм")),"ч:мм"),"",TEXT(IF(Настройки!AF97="",TEXT(Настройки!$J3,"ч:мм"),TEXT(Настройки!AF97,"ч:мм")),"ч:мм")&amp;"-"&amp;TEXT(IF(Настройки!AF97="",TEXT(Настройки!$J3,"ч:мм"),TEXT(Настройки!AF97,"ч:мм"))+TIME(0,Ноябрь!AD14,0),"ч::мм"))</f>
        <v/>
      </c>
      <c r="M25" s="3" t="str">
        <f ca="1">IF(TEXT(IF(Настройки!AG97="",TEXT(Настройки!$J3,"ч:мм"),TEXT(Настройки!AG97,"ч:мм"))+TIME(0,Ноябрь!AE14,0),"ч::мм")=TEXT(IF(Настройки!AG97="",TEXT(Настройки!$J3,"ч:мм"),TEXT(Настройки!AG97,"ч:мм")),"ч:мм"),"",TEXT(IF(Настройки!AG97="",TEXT(Настройки!$J3,"ч:мм"),TEXT(Настройки!AG97,"ч:мм")),"ч:мм")&amp;"-"&amp;TEXT(IF(Настройки!AG97="",TEXT(Настройки!$J3,"ч:мм"),TEXT(Настройки!AG97,"ч:мм"))+TIME(0,Ноябрь!AE14,0),"ч::мм"))</f>
        <v/>
      </c>
      <c r="N25" s="3" t="str">
        <f ca="1">IF(TEXT(IF(Настройки!AH97="",TEXT(Настройки!$J3,"ч:мм"),TEXT(Настройки!AH97,"ч:мм"))+TIME(0,Ноябрь!AF14,0),"ч::мм")=TEXT(IF(Настройки!AH97="",TEXT(Настройки!$J3,"ч:мм"),TEXT(Настройки!AH97,"ч:мм")),"ч:мм"),"",TEXT(IF(Настройки!AH97="",TEXT(Настройки!$J3,"ч:мм"),TEXT(Настройки!AH97,"ч:мм")),"ч:мм")&amp;"-"&amp;TEXT(IF(Настройки!AH97="",TEXT(Настройки!$J3,"ч:мм"),TEXT(Настройки!AH97,"ч:мм"))+TIME(0,Ноябрь!AF14,0),"ч::мм"))</f>
        <v/>
      </c>
      <c r="O25" s="3" t="str">
        <f ca="1">IF(TEXT(IF(Настройки!AI97="",TEXT(Настройки!$J3,"ч:мм"),TEXT(Настройки!AI97,"ч:мм"))+TIME(0,Ноябрь!AG14,0),"ч::мм")=TEXT(IF(Настройки!AI97="",TEXT(Настройки!$J3,"ч:мм"),TEXT(Настройки!AI97,"ч:мм")),"ч:мм"),"",TEXT(IF(Настройки!AI97="",TEXT(Настройки!$J3,"ч:мм"),TEXT(Настройки!AI97,"ч:мм")),"ч:мм")&amp;"-"&amp;TEXT(IF(Настройки!AI97="",TEXT(Настройки!$J3,"ч:мм"),TEXT(Настройки!AI97,"ч:мм"))+TIME(0,Ноябрь!AG14,0),"ч::мм"))</f>
        <v/>
      </c>
      <c r="P25" s="3" t="str">
        <f ca="1">IF(TEXT(IF(Настройки!AJ97="",TEXT(Настройки!$J3,"ч:мм"),TEXT(Настройки!AJ97,"ч:мм"))+TIME(0,Ноябрь!AH14,0),"ч::мм")=TEXT(IF(Настройки!AJ97="",TEXT(Настройки!$J3,"ч:мм"),TEXT(Настройки!AJ97,"ч:мм")),"ч:мм"),"",TEXT(IF(Настройки!AJ97="",TEXT(Настройки!$J3,"ч:мм"),TEXT(Настройки!AJ97,"ч:мм")),"ч:мм")&amp;"-"&amp;TEXT(IF(Настройки!AJ97="",TEXT(Настройки!$J3,"ч:мм"),TEXT(Настройки!AJ97,"ч:мм"))+TIME(0,Ноябрь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98="",TEXT(Настройки!$J4,"ч:мм"),TEXT(Настройки!V98,"ч:мм"))+TIME(0,Ноябрь!T15,0),"ч::мм")=TEXT(IF(Настройки!V98="",TEXT(Настройки!$J4,"ч:мм"),TEXT(Настройки!V98,"ч:мм")),"ч:мм"),"",TEXT(IF(Настройки!V98="",TEXT(Настройки!$J4,"ч:мм"),TEXT(Настройки!V98,"ч:мм")),"ч:мм")&amp;"-"&amp;TEXT(IF(Настройки!V98="",TEXT(Настройки!$J4,"ч:мм"),TEXT(Настройки!V98,"ч:мм"))+TIME(0,Ноябрь!T15,0),"ч::мм"))</f>
        <v/>
      </c>
      <c r="C26" s="3" t="str">
        <f ca="1">IF(TEXT(IF(Настройки!W98="",TEXT(Настройки!$J4,"ч:мм"),TEXT(Настройки!W98,"ч:мм"))+TIME(0,Ноябрь!U15,0),"ч::мм")=TEXT(IF(Настройки!W98="",TEXT(Настройки!$J4,"ч:мм"),TEXT(Настройки!W98,"ч:мм")),"ч:мм"),"",TEXT(IF(Настройки!W98="",TEXT(Настройки!$J4,"ч:мм"),TEXT(Настройки!W98,"ч:мм")),"ч:мм")&amp;"-"&amp;TEXT(IF(Настройки!W98="",TEXT(Настройки!$J4,"ч:мм"),TEXT(Настройки!W98,"ч:мм"))+TIME(0,Ноябрь!U15,0),"ч::мм"))</f>
        <v/>
      </c>
      <c r="D26" s="3" t="str">
        <f ca="1">IF(TEXT(IF(Настройки!X98="",TEXT(Настройки!$J4,"ч:мм"),TEXT(Настройки!X98,"ч:мм"))+TIME(0,Ноябрь!V15,0),"ч::мм")=TEXT(IF(Настройки!X98="",TEXT(Настройки!$J4,"ч:мм"),TEXT(Настройки!X98,"ч:мм")),"ч:мм"),"",TEXT(IF(Настройки!X98="",TEXT(Настройки!$J4,"ч:мм"),TEXT(Настройки!X98,"ч:мм")),"ч:мм")&amp;"-"&amp;TEXT(IF(Настройки!X98="",TEXT(Настройки!$J4,"ч:мм"),TEXT(Настройки!X98,"ч:мм"))+TIME(0,Ноябрь!V15,0),"ч::мм"))</f>
        <v/>
      </c>
      <c r="E26" s="3" t="str">
        <f ca="1">IF(TEXT(IF(Настройки!Y98="",TEXT(Настройки!$J4,"ч:мм"),TEXT(Настройки!Y98,"ч:мм"))+TIME(0,Ноябрь!W15,0),"ч::мм")=TEXT(IF(Настройки!Y98="",TEXT(Настройки!$J4,"ч:мм"),TEXT(Настройки!Y98,"ч:мм")),"ч:мм"),"",TEXT(IF(Настройки!Y98="",TEXT(Настройки!$J4,"ч:мм"),TEXT(Настройки!Y98,"ч:мм")),"ч:мм")&amp;"-"&amp;TEXT(IF(Настройки!Y98="",TEXT(Настройки!$J4,"ч:мм"),TEXT(Настройки!Y98,"ч:мм"))+TIME(0,Ноябрь!W15,0),"ч::мм"))</f>
        <v/>
      </c>
      <c r="F26" s="3" t="str">
        <f ca="1">IF(TEXT(IF(Настройки!Z98="",TEXT(Настройки!$J4,"ч:мм"),TEXT(Настройки!Z98,"ч:мм"))+TIME(0,Ноябрь!X15,0),"ч::мм")=TEXT(IF(Настройки!Z98="",TEXT(Настройки!$J4,"ч:мм"),TEXT(Настройки!Z98,"ч:мм")),"ч:мм"),"",TEXT(IF(Настройки!Z98="",TEXT(Настройки!$J4,"ч:мм"),TEXT(Настройки!Z98,"ч:мм")),"ч:мм")&amp;"-"&amp;TEXT(IF(Настройки!Z98="",TEXT(Настройки!$J4,"ч:мм"),TEXT(Настройки!Z98,"ч:мм"))+TIME(0,Ноябрь!X15,0),"ч::мм"))</f>
        <v/>
      </c>
      <c r="G26" s="3" t="str">
        <f ca="1">IF(TEXT(IF(Настройки!AA98="",TEXT(Настройки!$J4,"ч:мм"),TEXT(Настройки!AA98,"ч:мм"))+TIME(0,Ноябрь!Y15,0),"ч::мм")=TEXT(IF(Настройки!AA98="",TEXT(Настройки!$J4,"ч:мм"),TEXT(Настройки!AA98,"ч:мм")),"ч:мм"),"",TEXT(IF(Настройки!AA98="",TEXT(Настройки!$J4,"ч:мм"),TEXT(Настройки!AA98,"ч:мм")),"ч:мм")&amp;"-"&amp;TEXT(IF(Настройки!AA98="",TEXT(Настройки!$J4,"ч:мм"),TEXT(Настройки!AA98,"ч:мм"))+TIME(0,Ноябрь!Y15,0),"ч::мм"))</f>
        <v/>
      </c>
      <c r="H26" s="3" t="str">
        <f ca="1">IF(TEXT(IF(Настройки!AB98="",TEXT(Настройки!$J4,"ч:мм"),TEXT(Настройки!AB98,"ч:мм"))+TIME(0,Ноябрь!Z15,0),"ч::мм")=TEXT(IF(Настройки!AB98="",TEXT(Настройки!$J4,"ч:мм"),TEXT(Настройки!AB98,"ч:мм")),"ч:мм"),"",TEXT(IF(Настройки!AB98="",TEXT(Настройки!$J4,"ч:мм"),TEXT(Настройки!AB98,"ч:мм")),"ч:мм")&amp;"-"&amp;TEXT(IF(Настройки!AB98="",TEXT(Настройки!$J4,"ч:мм"),TEXT(Настройки!AB98,"ч:мм"))+TIME(0,Ноябрь!Z15,0),"ч::мм"))</f>
        <v/>
      </c>
      <c r="I26" s="3" t="str">
        <f ca="1">IF(TEXT(IF(Настройки!AC98="",TEXT(Настройки!$J4,"ч:мм"),TEXT(Настройки!AC98,"ч:мм"))+TIME(0,Ноябрь!AA15,0),"ч::мм")=TEXT(IF(Настройки!AC98="",TEXT(Настройки!$J4,"ч:мм"),TEXT(Настройки!AC98,"ч:мм")),"ч:мм"),"",TEXT(IF(Настройки!AC98="",TEXT(Настройки!$J4,"ч:мм"),TEXT(Настройки!AC98,"ч:мм")),"ч:мм")&amp;"-"&amp;TEXT(IF(Настройки!AC98="",TEXT(Настройки!$J4,"ч:мм"),TEXT(Настройки!AC98,"ч:мм"))+TIME(0,Ноябрь!AA15,0),"ч::мм"))</f>
        <v/>
      </c>
      <c r="J26" s="3" t="str">
        <f ca="1">IF(TEXT(IF(Настройки!AD98="",TEXT(Настройки!$J4,"ч:мм"),TEXT(Настройки!AD98,"ч:мм"))+TIME(0,Ноябрь!AB15,0),"ч::мм")=TEXT(IF(Настройки!AD98="",TEXT(Настройки!$J4,"ч:мм"),TEXT(Настройки!AD98,"ч:мм")),"ч:мм"),"",TEXT(IF(Настройки!AD98="",TEXT(Настройки!$J4,"ч:мм"),TEXT(Настройки!AD98,"ч:мм")),"ч:мм")&amp;"-"&amp;TEXT(IF(Настройки!AD98="",TEXT(Настройки!$J4,"ч:мм"),TEXT(Настройки!AD98,"ч:мм"))+TIME(0,Ноябрь!AB15,0),"ч::мм"))</f>
        <v/>
      </c>
      <c r="K26" s="3" t="str">
        <f ca="1">IF(TEXT(IF(Настройки!AE98="",TEXT(Настройки!$J4,"ч:мм"),TEXT(Настройки!AE98,"ч:мм"))+TIME(0,Ноябрь!AC15,0),"ч::мм")=TEXT(IF(Настройки!AE98="",TEXT(Настройки!$J4,"ч:мм"),TEXT(Настройки!AE98,"ч:мм")),"ч:мм"),"",TEXT(IF(Настройки!AE98="",TEXT(Настройки!$J4,"ч:мм"),TEXT(Настройки!AE98,"ч:мм")),"ч:мм")&amp;"-"&amp;TEXT(IF(Настройки!AE98="",TEXT(Настройки!$J4,"ч:мм"),TEXT(Настройки!AE98,"ч:мм"))+TIME(0,Ноябрь!AC15,0),"ч::мм"))</f>
        <v/>
      </c>
      <c r="L26" s="3" t="str">
        <f ca="1">IF(TEXT(IF(Настройки!AF98="",TEXT(Настройки!$J4,"ч:мм"),TEXT(Настройки!AF98,"ч:мм"))+TIME(0,Ноябрь!AD15,0),"ч::мм")=TEXT(IF(Настройки!AF98="",TEXT(Настройки!$J4,"ч:мм"),TEXT(Настройки!AF98,"ч:мм")),"ч:мм"),"",TEXT(IF(Настройки!AF98="",TEXT(Настройки!$J4,"ч:мм"),TEXT(Настройки!AF98,"ч:мм")),"ч:мм")&amp;"-"&amp;TEXT(IF(Настройки!AF98="",TEXT(Настройки!$J4,"ч:мм"),TEXT(Настройки!AF98,"ч:мм"))+TIME(0,Ноябрь!AD15,0),"ч::мм"))</f>
        <v/>
      </c>
      <c r="M26" s="3" t="str">
        <f ca="1">IF(TEXT(IF(Настройки!AG98="",TEXT(Настройки!$J4,"ч:мм"),TEXT(Настройки!AG98,"ч:мм"))+TIME(0,Ноябрь!AE15,0),"ч::мм")=TEXT(IF(Настройки!AG98="",TEXT(Настройки!$J4,"ч:мм"),TEXT(Настройки!AG98,"ч:мм")),"ч:мм"),"",TEXT(IF(Настройки!AG98="",TEXT(Настройки!$J4,"ч:мм"),TEXT(Настройки!AG98,"ч:мм")),"ч:мм")&amp;"-"&amp;TEXT(IF(Настройки!AG98="",TEXT(Настройки!$J4,"ч:мм"),TEXT(Настройки!AG98,"ч:мм"))+TIME(0,Ноябрь!AE15,0),"ч::мм"))</f>
        <v/>
      </c>
      <c r="N26" s="3" t="str">
        <f ca="1">IF(TEXT(IF(Настройки!AH98="",TEXT(Настройки!$J4,"ч:мм"),TEXT(Настройки!AH98,"ч:мм"))+TIME(0,Ноябрь!AF15,0),"ч::мм")=TEXT(IF(Настройки!AH98="",TEXT(Настройки!$J4,"ч:мм"),TEXT(Настройки!AH98,"ч:мм")),"ч:мм"),"",TEXT(IF(Настройки!AH98="",TEXT(Настройки!$J4,"ч:мм"),TEXT(Настройки!AH98,"ч:мм")),"ч:мм")&amp;"-"&amp;TEXT(IF(Настройки!AH98="",TEXT(Настройки!$J4,"ч:мм"),TEXT(Настройки!AH98,"ч:мм"))+TIME(0,Ноябрь!AF15,0),"ч::мм"))</f>
        <v/>
      </c>
      <c r="O26" s="3" t="str">
        <f ca="1">IF(TEXT(IF(Настройки!AI98="",TEXT(Настройки!$J4,"ч:мм"),TEXT(Настройки!AI98,"ч:мм"))+TIME(0,Ноябрь!AG15,0),"ч::мм")=TEXT(IF(Настройки!AI98="",TEXT(Настройки!$J4,"ч:мм"),TEXT(Настройки!AI98,"ч:мм")),"ч:мм"),"",TEXT(IF(Настройки!AI98="",TEXT(Настройки!$J4,"ч:мм"),TEXT(Настройки!AI98,"ч:мм")),"ч:мм")&amp;"-"&amp;TEXT(IF(Настройки!AI98="",TEXT(Настройки!$J4,"ч:мм"),TEXT(Настройки!AI98,"ч:мм"))+TIME(0,Ноябрь!AG15,0),"ч::мм"))</f>
        <v/>
      </c>
      <c r="P26" s="3" t="str">
        <f ca="1">IF(TEXT(IF(Настройки!AJ98="",TEXT(Настройки!$J4,"ч:мм"),TEXT(Настройки!AJ98,"ч:мм"))+TIME(0,Ноябрь!AH15,0),"ч::мм")=TEXT(IF(Настройки!AJ98="",TEXT(Настройки!$J4,"ч:мм"),TEXT(Настройки!AJ98,"ч:мм")),"ч:мм"),"",TEXT(IF(Настройки!AJ98="",TEXT(Настройки!$J4,"ч:мм"),TEXT(Настройки!AJ98,"ч:мм")),"ч:мм")&amp;"-"&amp;TEXT(IF(Настройки!AJ98="",TEXT(Настройки!$J4,"ч:мм"),TEXT(Настройки!AJ98,"ч:мм"))+TIME(0,Ноябрь!AH15,0),"ч::мм"))</f>
        <v/>
      </c>
    </row>
    <row r="27" spans="1:18" x14ac:dyDescent="0.25">
      <c r="Q27" s="9"/>
      <c r="R27" s="9"/>
    </row>
  </sheetData>
  <mergeCells count="9">
    <mergeCell ref="A18:A22"/>
    <mergeCell ref="B18:P19"/>
    <mergeCell ref="B21:P22"/>
    <mergeCell ref="A2:P2"/>
    <mergeCell ref="F6:G6"/>
    <mergeCell ref="H6:I6"/>
    <mergeCell ref="A8:A12"/>
    <mergeCell ref="B8:P9"/>
    <mergeCell ref="B11:P12"/>
  </mergeCells>
  <conditionalFormatting sqref="B10:P10">
    <cfRule type="expression" dxfId="160" priority="2">
      <formula>WEEKDAY(B10:P10,2)&gt;5</formula>
    </cfRule>
  </conditionalFormatting>
  <conditionalFormatting sqref="B20:P20">
    <cfRule type="expression" dxfId="159" priority="1">
      <formula>WEEKDAY(B20:P20,2)&gt;5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2">
    <tablePart r:id="rId2"/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4" tint="0.39997558519241921"/>
    <pageSetUpPr fitToPage="1"/>
  </sheetPr>
  <dimension ref="A2:AL28"/>
  <sheetViews>
    <sheetView zoomScale="70" zoomScaleNormal="70" workbookViewId="0">
      <selection activeCell="D1" sqref="D1"/>
    </sheetView>
  </sheetViews>
  <sheetFormatPr defaultRowHeight="15.75" x14ac:dyDescent="0.25"/>
  <cols>
    <col min="1" max="1" width="21.42578125" style="3" customWidth="1"/>
    <col min="2" max="2" width="18.28515625" style="3" bestFit="1" customWidth="1"/>
    <col min="3" max="3" width="14.42578125" style="3" bestFit="1" customWidth="1"/>
    <col min="4" max="4" width="9.28515625" style="3" customWidth="1"/>
    <col min="5" max="17" width="4.42578125" style="3" bestFit="1" customWidth="1"/>
    <col min="18" max="18" width="6.42578125" style="3" bestFit="1" customWidth="1"/>
    <col min="19" max="35" width="4.42578125" style="3" bestFit="1" customWidth="1"/>
    <col min="36" max="36" width="9.5703125" style="3" bestFit="1" customWidth="1"/>
    <col min="37" max="37" width="10" style="3" bestFit="1" customWidth="1"/>
    <col min="38" max="38" width="14" style="3" bestFit="1" customWidth="1"/>
    <col min="39" max="16384" width="9.140625" style="3"/>
  </cols>
  <sheetData>
    <row r="2" spans="1:38" ht="18.75" x14ac:dyDescent="0.25">
      <c r="A2" s="57" t="s">
        <v>66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8" ht="18.75" x14ac:dyDescent="0.25">
      <c r="A3" s="57" t="s">
        <v>67</v>
      </c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8" ht="18.75" x14ac:dyDescent="0.25">
      <c r="I4" s="11"/>
      <c r="J4" s="58" t="s">
        <v>68</v>
      </c>
      <c r="K4" s="58"/>
      <c r="L4" s="58"/>
      <c r="M4" s="59" t="str">
        <f>Настройки!N2</f>
        <v>Фамилия И.О.</v>
      </c>
      <c r="N4" s="60"/>
      <c r="O4" s="60"/>
      <c r="P4" s="60"/>
      <c r="Q4" s="60"/>
      <c r="R4" s="60"/>
      <c r="S4" s="60"/>
      <c r="T4" s="60"/>
      <c r="U4" s="60"/>
    </row>
    <row r="5" spans="1:38" ht="18.75" x14ac:dyDescent="0.25">
      <c r="L5" s="10" t="s">
        <v>69</v>
      </c>
      <c r="M5" s="61" t="s">
        <v>131</v>
      </c>
      <c r="N5" s="62"/>
      <c r="O5" s="62"/>
      <c r="P5" s="62"/>
      <c r="Q5" s="62"/>
      <c r="R5" s="26">
        <f>Год[Год]</f>
        <v>2024</v>
      </c>
      <c r="S5" s="27" t="s">
        <v>124</v>
      </c>
      <c r="T5" s="12"/>
      <c r="U5" s="12"/>
    </row>
    <row r="7" spans="1:38" x14ac:dyDescent="0.25">
      <c r="A7" s="73"/>
      <c r="B7" s="80" t="s">
        <v>107</v>
      </c>
      <c r="C7" s="80" t="s">
        <v>106</v>
      </c>
      <c r="D7" s="81" t="s">
        <v>61</v>
      </c>
      <c r="E7" s="67" t="s">
        <v>55</v>
      </c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9"/>
      <c r="AJ7" s="63" t="s">
        <v>64</v>
      </c>
      <c r="AK7" s="64" t="s">
        <v>64</v>
      </c>
    </row>
    <row r="8" spans="1:38" x14ac:dyDescent="0.25">
      <c r="A8" s="73"/>
      <c r="B8" s="76"/>
      <c r="C8" s="76"/>
      <c r="D8" s="82"/>
      <c r="E8" s="77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78"/>
      <c r="AJ8" s="63"/>
      <c r="AK8" s="65"/>
    </row>
    <row r="9" spans="1:38" x14ac:dyDescent="0.25">
      <c r="A9" s="73"/>
      <c r="B9" s="76"/>
      <c r="C9" s="76"/>
      <c r="D9" s="82"/>
      <c r="E9" s="17">
        <f>Настройки!G18</f>
        <v>45627</v>
      </c>
      <c r="F9" s="17">
        <f>Настройки!H18</f>
        <v>45628</v>
      </c>
      <c r="G9" s="17">
        <f>Настройки!I18</f>
        <v>45629</v>
      </c>
      <c r="H9" s="17">
        <f>Настройки!J18</f>
        <v>45630</v>
      </c>
      <c r="I9" s="17">
        <f>Настройки!K18</f>
        <v>45631</v>
      </c>
      <c r="J9" s="17">
        <f>Настройки!L18</f>
        <v>45632</v>
      </c>
      <c r="K9" s="17">
        <f>Настройки!M18</f>
        <v>45633</v>
      </c>
      <c r="L9" s="17">
        <f>Настройки!N18</f>
        <v>45634</v>
      </c>
      <c r="M9" s="17">
        <f>Настройки!O18</f>
        <v>45635</v>
      </c>
      <c r="N9" s="17">
        <f>Настройки!P18</f>
        <v>45636</v>
      </c>
      <c r="O9" s="17">
        <f>Настройки!Q18</f>
        <v>45637</v>
      </c>
      <c r="P9" s="17">
        <f>Настройки!R18</f>
        <v>45638</v>
      </c>
      <c r="Q9" s="17">
        <f>Настройки!S18</f>
        <v>45639</v>
      </c>
      <c r="R9" s="17">
        <f>Настройки!T18</f>
        <v>45640</v>
      </c>
      <c r="S9" s="17">
        <f>Настройки!U18</f>
        <v>45641</v>
      </c>
      <c r="T9" s="17">
        <f>Настройки!V18</f>
        <v>45642</v>
      </c>
      <c r="U9" s="17">
        <f>Настройки!W18</f>
        <v>45643</v>
      </c>
      <c r="V9" s="17">
        <f>Настройки!X18</f>
        <v>45644</v>
      </c>
      <c r="W9" s="17">
        <f>Настройки!Y18</f>
        <v>45645</v>
      </c>
      <c r="X9" s="17">
        <f>Настройки!Z18</f>
        <v>45646</v>
      </c>
      <c r="Y9" s="17">
        <f>Настройки!AA18</f>
        <v>45647</v>
      </c>
      <c r="Z9" s="17">
        <f>Настройки!AB18</f>
        <v>45648</v>
      </c>
      <c r="AA9" s="17">
        <f>Настройки!AC18</f>
        <v>45649</v>
      </c>
      <c r="AB9" s="17">
        <f>Настройки!AD18</f>
        <v>45650</v>
      </c>
      <c r="AC9" s="17">
        <f>Настройки!AE18</f>
        <v>45651</v>
      </c>
      <c r="AD9" s="17">
        <f>Настройки!AF18</f>
        <v>45652</v>
      </c>
      <c r="AE9" s="17">
        <f>Настройки!AG18</f>
        <v>45653</v>
      </c>
      <c r="AF9" s="17">
        <f>Настройки!AH18</f>
        <v>45654</v>
      </c>
      <c r="AG9" s="17">
        <f>Настройки!AI18</f>
        <v>45655</v>
      </c>
      <c r="AH9" s="17">
        <f>Настройки!AJ18</f>
        <v>45656</v>
      </c>
      <c r="AI9" s="17">
        <f>Настройки!AK18</f>
        <v>45657</v>
      </c>
      <c r="AJ9" s="63"/>
      <c r="AK9" s="65"/>
    </row>
    <row r="10" spans="1:38" x14ac:dyDescent="0.25">
      <c r="A10" s="73"/>
      <c r="B10" s="76"/>
      <c r="C10" s="76"/>
      <c r="D10" s="82"/>
      <c r="E10" s="67" t="s">
        <v>54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9"/>
      <c r="AJ10" s="63"/>
      <c r="AK10" s="65"/>
    </row>
    <row r="11" spans="1:38" x14ac:dyDescent="0.25">
      <c r="A11" s="80"/>
      <c r="B11" s="76"/>
      <c r="C11" s="76"/>
      <c r="D11" s="82"/>
      <c r="E11" s="70"/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2"/>
      <c r="AJ11" s="63"/>
      <c r="AK11" s="66"/>
    </row>
    <row r="12" spans="1:38" ht="16.5" x14ac:dyDescent="0.25">
      <c r="A12" s="3" t="s">
        <v>74</v>
      </c>
      <c r="B12" s="3" t="s">
        <v>73</v>
      </c>
      <c r="C12" s="3" t="s">
        <v>105</v>
      </c>
      <c r="D12" s="55" t="s">
        <v>60</v>
      </c>
      <c r="E12" s="3" t="s">
        <v>75</v>
      </c>
      <c r="F12" s="3" t="s">
        <v>76</v>
      </c>
      <c r="G12" s="3" t="s">
        <v>77</v>
      </c>
      <c r="H12" s="3" t="s">
        <v>78</v>
      </c>
      <c r="I12" s="3" t="s">
        <v>79</v>
      </c>
      <c r="J12" s="3" t="s">
        <v>80</v>
      </c>
      <c r="K12" s="3" t="s">
        <v>81</v>
      </c>
      <c r="L12" s="3" t="s">
        <v>82</v>
      </c>
      <c r="M12" s="3" t="s">
        <v>83</v>
      </c>
      <c r="N12" s="3" t="s">
        <v>84</v>
      </c>
      <c r="O12" s="3" t="s">
        <v>85</v>
      </c>
      <c r="P12" s="3" t="s">
        <v>86</v>
      </c>
      <c r="Q12" s="3" t="s">
        <v>87</v>
      </c>
      <c r="R12" s="3" t="s">
        <v>88</v>
      </c>
      <c r="S12" s="3" t="s">
        <v>89</v>
      </c>
      <c r="T12" s="3" t="s">
        <v>90</v>
      </c>
      <c r="U12" s="3" t="s">
        <v>91</v>
      </c>
      <c r="V12" s="3" t="s">
        <v>92</v>
      </c>
      <c r="W12" s="3" t="s">
        <v>93</v>
      </c>
      <c r="X12" s="3" t="s">
        <v>94</v>
      </c>
      <c r="Y12" s="3" t="s">
        <v>95</v>
      </c>
      <c r="Z12" s="3" t="s">
        <v>96</v>
      </c>
      <c r="AA12" s="3" t="s">
        <v>97</v>
      </c>
      <c r="AB12" s="3" t="s">
        <v>98</v>
      </c>
      <c r="AC12" s="3" t="s">
        <v>99</v>
      </c>
      <c r="AD12" s="3" t="s">
        <v>100</v>
      </c>
      <c r="AE12" s="3" t="s">
        <v>101</v>
      </c>
      <c r="AF12" s="3" t="s">
        <v>102</v>
      </c>
      <c r="AG12" s="3" t="s">
        <v>103</v>
      </c>
      <c r="AH12" s="3" t="s">
        <v>104</v>
      </c>
      <c r="AI12" s="3" t="s">
        <v>113</v>
      </c>
      <c r="AJ12" s="3" t="s">
        <v>62</v>
      </c>
      <c r="AK12" s="3" t="s">
        <v>63</v>
      </c>
      <c r="AL12" s="4"/>
    </row>
    <row r="13" spans="1:38" x14ac:dyDescent="0.25">
      <c r="A13" s="5" t="s">
        <v>56</v>
      </c>
      <c r="B13" s="3">
        <f ca="1">SUMPRODUCT((Настройки!$G$32:$AK$32=1)*E16:AI16)</f>
        <v>0</v>
      </c>
      <c r="D13" s="5">
        <v>1</v>
      </c>
      <c r="E13" s="23">
        <f>SUMPRODUCT((Декабрь[№]=1)*Декабрь[1],Декабрь[Объем])</f>
        <v>0</v>
      </c>
      <c r="F13" s="23">
        <f>SUMPRODUCT((Декабрь[№]=1)*Декабрь[2],Декабрь[Объем])</f>
        <v>0</v>
      </c>
      <c r="G13" s="23">
        <f>SUMPRODUCT((Декабрь[№]=1)*Декабрь[3],Декабрь[Объем])</f>
        <v>0</v>
      </c>
      <c r="H13" s="23">
        <f>SUMPRODUCT((Декабрь[№]=1)*Декабрь[4],Декабрь[Объем])</f>
        <v>0</v>
      </c>
      <c r="I13" s="23">
        <f>SUMPRODUCT((Декабрь[№]=1)*Декабрь[5],Декабрь[Объем])</f>
        <v>0</v>
      </c>
      <c r="J13" s="23">
        <f>SUMPRODUCT((Декабрь[№]=1)*Декабрь[6],Декабрь[Объем])</f>
        <v>0</v>
      </c>
      <c r="K13" s="23">
        <f>SUMPRODUCT((Декабрь[№]=1)*Декабрь[7],Декабрь[Объем])</f>
        <v>0</v>
      </c>
      <c r="L13" s="23">
        <f>SUMPRODUCT((Декабрь[№]=1)*Декабрь[8],Декабрь[Объем])</f>
        <v>0</v>
      </c>
      <c r="M13" s="23">
        <f>SUMPRODUCT((Декабрь[№]=1)*Декабрь[9],Декабрь[Объем])</f>
        <v>0</v>
      </c>
      <c r="N13" s="23">
        <f>SUMPRODUCT((Декабрь[№]=1)*Декабрь[10],Декабрь[Объем])</f>
        <v>0</v>
      </c>
      <c r="O13" s="23">
        <f>SUMPRODUCT((Декабрь[№]=1)*Декабрь[11],Декабрь[Объем])</f>
        <v>0</v>
      </c>
      <c r="P13" s="23">
        <f>SUMPRODUCT((Декабрь[№]=1)*Декабрь[12],Декабрь[Объем])</f>
        <v>0</v>
      </c>
      <c r="Q13" s="23">
        <f>SUMPRODUCT((Декабрь[№]=1)*Декабрь[13],Декабрь[Объем])</f>
        <v>0</v>
      </c>
      <c r="R13" s="23">
        <f>SUMPRODUCT((Декабрь[№]=1)*Декабрь[14],Декабрь[Объем])</f>
        <v>0</v>
      </c>
      <c r="S13" s="23">
        <f>SUMPRODUCT((Декабрь[№]=1)*Декабрь[15],Декабрь[Объем])</f>
        <v>0</v>
      </c>
      <c r="T13" s="23">
        <f>SUMPRODUCT((Декабрь[№]=1)*Декабрь[16],Декабрь[Объем])</f>
        <v>0</v>
      </c>
      <c r="U13" s="23">
        <f>SUMPRODUCT((Декабрь[№]=1)*Декабрь[17],Декабрь[Объем])</f>
        <v>0</v>
      </c>
      <c r="V13" s="23">
        <f>SUMPRODUCT((Декабрь[№]=1)*Декабрь[18],Декабрь[Объем])</f>
        <v>0</v>
      </c>
      <c r="W13" s="23">
        <f>SUMPRODUCT((Декабрь[№]=1)*Декабрь[19],Декабрь[Объем])</f>
        <v>0</v>
      </c>
      <c r="X13" s="23">
        <f>SUMPRODUCT((Декабрь[№]=1)*Декабрь[20],Декабрь[Объем])</f>
        <v>0</v>
      </c>
      <c r="Y13" s="23">
        <f>SUMPRODUCT((Декабрь[№]=1)*Декабрь[21],Декабрь[Объем])</f>
        <v>0</v>
      </c>
      <c r="Z13" s="23">
        <f>SUMPRODUCT((Декабрь[№]=1)*Декабрь[22],Декабрь[Объем])</f>
        <v>0</v>
      </c>
      <c r="AA13" s="23">
        <f>SUMPRODUCT((Декабрь[№]=1)*Декабрь[23],Декабрь[Объем])</f>
        <v>0</v>
      </c>
      <c r="AB13" s="23">
        <f>SUMPRODUCT((Декабрь[№]=1)*Декабрь[24],Декабрь[Объем])</f>
        <v>0</v>
      </c>
      <c r="AC13" s="23">
        <f>SUMPRODUCT((Декабрь[№]=1)*Декабрь[25],Декабрь[Объем])</f>
        <v>0</v>
      </c>
      <c r="AD13" s="23">
        <f>SUMPRODUCT((Декабрь[№]=1)*Декабрь[26],Декабрь[Объем])</f>
        <v>0</v>
      </c>
      <c r="AE13" s="23">
        <f>SUMPRODUCT((Декабрь[№]=1)*Декабрь[27],Декабрь[Объем])</f>
        <v>0</v>
      </c>
      <c r="AF13" s="23">
        <f>SUMPRODUCT((Декабрь[№]=1)*Декабрь[28],Декабрь[Объем])</f>
        <v>0</v>
      </c>
      <c r="AG13" s="23">
        <f>SUMPRODUCT((Декабрь[№]=1)*Декабрь[29],Декабрь[Объем])</f>
        <v>0</v>
      </c>
      <c r="AH13" s="23">
        <f>SUMPRODUCT((Декабрь[№]=1)*Декабрь[30],Декабрь[Объем])</f>
        <v>0</v>
      </c>
      <c r="AI13" s="23">
        <f>SUMPRODUCT((Декабрь[№]=1)*Декабрь[31],Декабрь[Объем])</f>
        <v>0</v>
      </c>
      <c r="AL13" s="4"/>
    </row>
    <row r="14" spans="1:38" x14ac:dyDescent="0.25">
      <c r="B14" s="3">
        <f ca="1">SUMPRODUCT((Настройки!$G$32:$AK$32=2)*E16:AI16)</f>
        <v>0</v>
      </c>
      <c r="D14" s="5">
        <v>2</v>
      </c>
      <c r="E14" s="23">
        <f ca="1">SUMPRODUCT((Декабрь[№]=2)*Декабрь[1],OFFSET(Декабрь[Объем],-1,0))</f>
        <v>0</v>
      </c>
      <c r="F14" s="23">
        <f ca="1">SUMPRODUCT((Декабрь[№]=2)*Декабрь[2],OFFSET(Декабрь[Объем],-1,0))</f>
        <v>0</v>
      </c>
      <c r="G14" s="23">
        <f ca="1">SUMPRODUCT((Декабрь[№]=2)*Декабрь[3],OFFSET(Декабрь[Объем],-1,0))</f>
        <v>0</v>
      </c>
      <c r="H14" s="23">
        <f ca="1">SUMPRODUCT((Декабрь[№]=2)*Декабрь[4],OFFSET(Декабрь[Объем],-1,0))</f>
        <v>0</v>
      </c>
      <c r="I14" s="23">
        <f ca="1">SUMPRODUCT((Декабрь[№]=2)*Декабрь[5],OFFSET(Декабрь[Объем],-1,0))</f>
        <v>0</v>
      </c>
      <c r="J14" s="23">
        <f ca="1">SUMPRODUCT((Декабрь[№]=2)*Декабрь[6],OFFSET(Декабрь[Объем],-1,0))</f>
        <v>0</v>
      </c>
      <c r="K14" s="23">
        <f ca="1">SUMPRODUCT((Декабрь[№]=2)*Декабрь[7],OFFSET(Декабрь[Объем],-1,0))</f>
        <v>0</v>
      </c>
      <c r="L14" s="23">
        <f ca="1">SUMPRODUCT((Декабрь[№]=2)*Декабрь[8],OFFSET(Декабрь[Объем],-1,0))</f>
        <v>0</v>
      </c>
      <c r="M14" s="23">
        <f ca="1">SUMPRODUCT((Декабрь[№]=2)*Декабрь[9],OFFSET(Декабрь[Объем],-1,0))</f>
        <v>0</v>
      </c>
      <c r="N14" s="23">
        <f ca="1">SUMPRODUCT((Декабрь[№]=2)*Декабрь[10],OFFSET(Декабрь[Объем],-1,0))</f>
        <v>0</v>
      </c>
      <c r="O14" s="23">
        <f ca="1">SUMPRODUCT((Декабрь[№]=2)*Декабрь[11],OFFSET(Декабрь[Объем],-1,0))</f>
        <v>0</v>
      </c>
      <c r="P14" s="23">
        <f ca="1">SUMPRODUCT((Декабрь[№]=2)*Декабрь[12],OFFSET(Декабрь[Объем],-1,0))</f>
        <v>0</v>
      </c>
      <c r="Q14" s="23">
        <f ca="1">SUMPRODUCT((Декабрь[№]=2)*Декабрь[13],OFFSET(Декабрь[Объем],-1,0))</f>
        <v>0</v>
      </c>
      <c r="R14" s="23">
        <f ca="1">SUMPRODUCT((Декабрь[№]=2)*Декабрь[14],OFFSET(Декабрь[Объем],-1,0))</f>
        <v>0</v>
      </c>
      <c r="S14" s="23">
        <f ca="1">SUMPRODUCT((Декабрь[№]=2)*Декабрь[15],OFFSET(Декабрь[Объем],-1,0))</f>
        <v>0</v>
      </c>
      <c r="T14" s="23">
        <f ca="1">SUMPRODUCT((Декабрь[№]=2)*Декабрь[16],OFFSET(Декабрь[Объем],-1,0))</f>
        <v>0</v>
      </c>
      <c r="U14" s="23">
        <f ca="1">SUMPRODUCT((Декабрь[№]=2)*Декабрь[17],OFFSET(Декабрь[Объем],-1,0))</f>
        <v>0</v>
      </c>
      <c r="V14" s="23">
        <f ca="1">SUMPRODUCT((Декабрь[№]=2)*Декабрь[18],OFFSET(Декабрь[Объем],-1,0))</f>
        <v>0</v>
      </c>
      <c r="W14" s="23">
        <f ca="1">SUMPRODUCT((Декабрь[№]=2)*Декабрь[19],OFFSET(Декабрь[Объем],-1,0))</f>
        <v>0</v>
      </c>
      <c r="X14" s="23">
        <f ca="1">SUMPRODUCT((Декабрь[№]=2)*Декабрь[20],OFFSET(Декабрь[Объем],-1,0))</f>
        <v>0</v>
      </c>
      <c r="Y14" s="23">
        <f ca="1">SUMPRODUCT((Декабрь[№]=2)*Декабрь[21],OFFSET(Декабрь[Объем],-1,0))</f>
        <v>0</v>
      </c>
      <c r="Z14" s="23">
        <f ca="1">SUMPRODUCT((Декабрь[№]=2)*Декабрь[22],OFFSET(Декабрь[Объем],-1,0))</f>
        <v>0</v>
      </c>
      <c r="AA14" s="23">
        <f ca="1">SUMPRODUCT((Декабрь[№]=2)*Декабрь[23],OFFSET(Декабрь[Объем],-1,0))</f>
        <v>0</v>
      </c>
      <c r="AB14" s="23">
        <f ca="1">SUMPRODUCT((Декабрь[№]=2)*Декабрь[24],OFFSET(Декабрь[Объем],-1,0))</f>
        <v>0</v>
      </c>
      <c r="AC14" s="23">
        <f ca="1">SUMPRODUCT((Декабрь[№]=2)*Декабрь[25],OFFSET(Декабрь[Объем],-1,0))</f>
        <v>0</v>
      </c>
      <c r="AD14" s="23">
        <f ca="1">SUMPRODUCT((Декабрь[№]=2)*Декабрь[26],OFFSET(Декабрь[Объем],-1,0))</f>
        <v>0</v>
      </c>
      <c r="AE14" s="23">
        <f ca="1">SUMPRODUCT((Декабрь[№]=2)*Декабрь[27],OFFSET(Декабрь[Объем],-1,0))</f>
        <v>0</v>
      </c>
      <c r="AF14" s="23">
        <f ca="1">SUMPRODUCT((Декабрь[№]=2)*Декабрь[28],OFFSET(Декабрь[Объем],-1,0))</f>
        <v>0</v>
      </c>
      <c r="AG14" s="23">
        <f ca="1">SUMPRODUCT((Декабрь[№]=2)*Декабрь[29],OFFSET(Декабрь[Объем],-1,0))</f>
        <v>0</v>
      </c>
      <c r="AH14" s="23">
        <f ca="1">SUMPRODUCT((Декабрь[№]=2)*Декабрь[30],OFFSET(Декабрь[Объем],-1,0))</f>
        <v>0</v>
      </c>
      <c r="AI14" s="23">
        <f ca="1">SUMPRODUCT((Декабрь[№]=2)*Декабрь[31],OFFSET(Декабрь[Объем],-1,0))</f>
        <v>0</v>
      </c>
      <c r="AL14" s="4"/>
    </row>
    <row r="15" spans="1:38" x14ac:dyDescent="0.25">
      <c r="B15" s="3">
        <f ca="1">SUMPRODUCT((Настройки!$G$32:$AK$32=3)*E16:AI16)</f>
        <v>0</v>
      </c>
      <c r="D15" s="5">
        <v>3</v>
      </c>
      <c r="E15" s="23">
        <f ca="1">SUMPRODUCT((Декабрь[№]=3)*Декабрь[1],OFFSET(Декабрь[Объем],-2,0))</f>
        <v>0</v>
      </c>
      <c r="F15" s="23">
        <f ca="1">SUMPRODUCT((Декабрь[№]=3)*Декабрь[2],OFFSET(Декабрь[Объем],-2,0))</f>
        <v>0</v>
      </c>
      <c r="G15" s="23">
        <f ca="1">SUMPRODUCT((Декабрь[№]=3)*Декабрь[3],OFFSET(Декабрь[Объем],-2,0))</f>
        <v>0</v>
      </c>
      <c r="H15" s="23">
        <f ca="1">SUMPRODUCT((Декабрь[№]=3)*Декабрь[4],OFFSET(Декабрь[Объем],-2,0))</f>
        <v>0</v>
      </c>
      <c r="I15" s="23">
        <f ca="1">SUMPRODUCT((Декабрь[№]=3)*Декабрь[5],OFFSET(Декабрь[Объем],-2,0))</f>
        <v>0</v>
      </c>
      <c r="J15" s="23">
        <f ca="1">SUMPRODUCT((Декабрь[№]=3)*Декабрь[6],OFFSET(Декабрь[Объем],-2,0))</f>
        <v>0</v>
      </c>
      <c r="K15" s="23">
        <f ca="1">SUMPRODUCT((Декабрь[№]=3)*Декабрь[7],OFFSET(Декабрь[Объем],-2,0))</f>
        <v>0</v>
      </c>
      <c r="L15" s="23">
        <f ca="1">SUMPRODUCT((Декабрь[№]=3)*Декабрь[8],OFFSET(Декабрь[Объем],-2,0))</f>
        <v>0</v>
      </c>
      <c r="M15" s="23">
        <f ca="1">SUMPRODUCT((Декабрь[№]=3)*Декабрь[9],OFFSET(Декабрь[Объем],-2,0))</f>
        <v>0</v>
      </c>
      <c r="N15" s="23">
        <f ca="1">SUMPRODUCT((Декабрь[№]=3)*Декабрь[10],OFFSET(Декабрь[Объем],-2,0))</f>
        <v>0</v>
      </c>
      <c r="O15" s="23">
        <f ca="1">SUMPRODUCT((Декабрь[№]=3)*Декабрь[11],OFFSET(Декабрь[Объем],-2,0))</f>
        <v>0</v>
      </c>
      <c r="P15" s="23">
        <f ca="1">SUMPRODUCT((Декабрь[№]=3)*Декабрь[12],OFFSET(Декабрь[Объем],-2,0))</f>
        <v>0</v>
      </c>
      <c r="Q15" s="23">
        <f ca="1">SUMPRODUCT((Декабрь[№]=3)*Декабрь[13],OFFSET(Декабрь[Объем],-2,0))</f>
        <v>0</v>
      </c>
      <c r="R15" s="23">
        <f ca="1">SUMPRODUCT((Декабрь[№]=3)*Декабрь[14],OFFSET(Декабрь[Объем],-2,0))</f>
        <v>0</v>
      </c>
      <c r="S15" s="23">
        <f ca="1">SUMPRODUCT((Декабрь[№]=3)*Декабрь[15],OFFSET(Декабрь[Объем],-2,0))</f>
        <v>0</v>
      </c>
      <c r="T15" s="23">
        <f ca="1">SUMPRODUCT((Декабрь[№]=3)*Декабрь[16],OFFSET(Декабрь[Объем],-2,0))</f>
        <v>0</v>
      </c>
      <c r="U15" s="23">
        <f ca="1">SUMPRODUCT((Декабрь[№]=3)*Декабрь[17],OFFSET(Декабрь[Объем],-2,0))</f>
        <v>0</v>
      </c>
      <c r="V15" s="23">
        <f ca="1">SUMPRODUCT((Декабрь[№]=3)*Декабрь[18],OFFSET(Декабрь[Объем],-2,0))</f>
        <v>0</v>
      </c>
      <c r="W15" s="23">
        <f ca="1">SUMPRODUCT((Декабрь[№]=3)*Декабрь[19],OFFSET(Декабрь[Объем],-2,0))</f>
        <v>0</v>
      </c>
      <c r="X15" s="23">
        <f ca="1">SUMPRODUCT((Декабрь[№]=3)*Декабрь[20],OFFSET(Декабрь[Объем],-2,0))</f>
        <v>0</v>
      </c>
      <c r="Y15" s="23">
        <f ca="1">SUMPRODUCT((Декабрь[№]=3)*Декабрь[21],OFFSET(Декабрь[Объем],-2,0))</f>
        <v>0</v>
      </c>
      <c r="Z15" s="23">
        <f ca="1">SUMPRODUCT((Декабрь[№]=3)*Декабрь[22],OFFSET(Декабрь[Объем],-2,0))</f>
        <v>0</v>
      </c>
      <c r="AA15" s="23">
        <f ca="1">SUMPRODUCT((Декабрь[№]=3)*Декабрь[23],OFFSET(Декабрь[Объем],-2,0))</f>
        <v>0</v>
      </c>
      <c r="AB15" s="23">
        <f ca="1">SUMPRODUCT((Декабрь[№]=3)*Декабрь[24],OFFSET(Декабрь[Объем],-2,0))</f>
        <v>0</v>
      </c>
      <c r="AC15" s="23">
        <f ca="1">SUMPRODUCT((Декабрь[№]=3)*Декабрь[25],OFFSET(Декабрь[Объем],-2,0))</f>
        <v>0</v>
      </c>
      <c r="AD15" s="23">
        <f ca="1">SUMPRODUCT((Декабрь[№]=3)*Декабрь[26],OFFSET(Декабрь[Объем],-2,0))</f>
        <v>0</v>
      </c>
      <c r="AE15" s="23">
        <f ca="1">SUMPRODUCT((Декабрь[№]=3)*Декабрь[27],OFFSET(Декабрь[Объем],-2,0))</f>
        <v>0</v>
      </c>
      <c r="AF15" s="23">
        <f ca="1">SUMPRODUCT((Декабрь[№]=3)*Декабрь[28],OFFSET(Декабрь[Объем],-2,0))</f>
        <v>0</v>
      </c>
      <c r="AG15" s="23">
        <f ca="1">SUMPRODUCT((Декабрь[№]=3)*Декабрь[29],OFFSET(Декабрь[Объем],-2,0))</f>
        <v>0</v>
      </c>
      <c r="AH15" s="23">
        <f ca="1">SUMPRODUCT((Декабрь[№]=3)*Декабрь[30],OFFSET(Декабрь[Объем],-2,0))</f>
        <v>0</v>
      </c>
      <c r="AI15" s="23">
        <f ca="1">SUMPRODUCT((Декабрь[№]=3)*Декабрь[31],OFFSET(Декабрь[Объем],-2,0))</f>
        <v>0</v>
      </c>
      <c r="AK15" s="9"/>
    </row>
    <row r="16" spans="1:38" x14ac:dyDescent="0.25">
      <c r="B16" s="3">
        <f ca="1">SUMPRODUCT((Настройки!$G$32:$AK$32=4)*E16:AI16)</f>
        <v>0</v>
      </c>
      <c r="D16" s="5"/>
      <c r="E16" s="23">
        <f t="shared" ref="E16:AH16" ca="1" si="0">SUM(E13:E15)</f>
        <v>0</v>
      </c>
      <c r="F16" s="23">
        <f t="shared" ca="1" si="0"/>
        <v>0</v>
      </c>
      <c r="G16" s="23">
        <f t="shared" ca="1" si="0"/>
        <v>0</v>
      </c>
      <c r="H16" s="23">
        <f t="shared" ca="1" si="0"/>
        <v>0</v>
      </c>
      <c r="I16" s="23">
        <f t="shared" ca="1" si="0"/>
        <v>0</v>
      </c>
      <c r="J16" s="23">
        <f t="shared" ca="1" si="0"/>
        <v>0</v>
      </c>
      <c r="K16" s="23">
        <f t="shared" ca="1" si="0"/>
        <v>0</v>
      </c>
      <c r="L16" s="23">
        <f t="shared" ca="1" si="0"/>
        <v>0</v>
      </c>
      <c r="M16" s="23">
        <f t="shared" ca="1" si="0"/>
        <v>0</v>
      </c>
      <c r="N16" s="23">
        <f t="shared" ca="1" si="0"/>
        <v>0</v>
      </c>
      <c r="O16" s="23">
        <f t="shared" ca="1" si="0"/>
        <v>0</v>
      </c>
      <c r="P16" s="23">
        <f t="shared" ca="1" si="0"/>
        <v>0</v>
      </c>
      <c r="Q16" s="23">
        <f t="shared" ca="1" si="0"/>
        <v>0</v>
      </c>
      <c r="R16" s="23">
        <f t="shared" ca="1" si="0"/>
        <v>0</v>
      </c>
      <c r="S16" s="23">
        <f t="shared" ca="1" si="0"/>
        <v>0</v>
      </c>
      <c r="T16" s="23">
        <f t="shared" ca="1" si="0"/>
        <v>0</v>
      </c>
      <c r="U16" s="23">
        <f t="shared" ca="1" si="0"/>
        <v>0</v>
      </c>
      <c r="V16" s="23">
        <f t="shared" ca="1" si="0"/>
        <v>0</v>
      </c>
      <c r="W16" s="23">
        <f t="shared" ca="1" si="0"/>
        <v>0</v>
      </c>
      <c r="X16" s="23">
        <f t="shared" ca="1" si="0"/>
        <v>0</v>
      </c>
      <c r="Y16" s="23">
        <f t="shared" ca="1" si="0"/>
        <v>0</v>
      </c>
      <c r="Z16" s="23">
        <f t="shared" ca="1" si="0"/>
        <v>0</v>
      </c>
      <c r="AA16" s="23">
        <f t="shared" ca="1" si="0"/>
        <v>0</v>
      </c>
      <c r="AB16" s="23">
        <f t="shared" ca="1" si="0"/>
        <v>0</v>
      </c>
      <c r="AC16" s="23">
        <f t="shared" ca="1" si="0"/>
        <v>0</v>
      </c>
      <c r="AD16" s="23">
        <f t="shared" ca="1" si="0"/>
        <v>0</v>
      </c>
      <c r="AE16" s="23">
        <f t="shared" ca="1" si="0"/>
        <v>0</v>
      </c>
      <c r="AF16" s="23">
        <f t="shared" ca="1" si="0"/>
        <v>0</v>
      </c>
      <c r="AG16" s="23">
        <f t="shared" ca="1" si="0"/>
        <v>0</v>
      </c>
      <c r="AH16" s="23">
        <f t="shared" ca="1" si="0"/>
        <v>0</v>
      </c>
      <c r="AI16" s="23">
        <f ca="1">SUM(AI13:AI15)</f>
        <v>0</v>
      </c>
      <c r="AK16" s="9"/>
    </row>
    <row r="17" spans="1:37" x14ac:dyDescent="0.25">
      <c r="B17" s="3">
        <f ca="1">SUMPRODUCT((Настройки!$G$32:$AK$32=5)*E16:AI16)</f>
        <v>0</v>
      </c>
      <c r="C17" s="5">
        <f ca="1">ДекабрьИтоги[[#This Row],[№]]*60</f>
        <v>0</v>
      </c>
      <c r="D17" s="7">
        <f ca="1">SUM(ДекабрьИтоги[[#This Row],[1]:[31]])</f>
        <v>0</v>
      </c>
      <c r="E17" s="24">
        <f ca="1">E16/60</f>
        <v>0</v>
      </c>
      <c r="F17" s="24">
        <f t="shared" ref="F17:AH17" ca="1" si="1">F16/60</f>
        <v>0</v>
      </c>
      <c r="G17" s="24">
        <f t="shared" ca="1" si="1"/>
        <v>0</v>
      </c>
      <c r="H17" s="24">
        <f t="shared" ca="1" si="1"/>
        <v>0</v>
      </c>
      <c r="I17" s="24">
        <f t="shared" ca="1" si="1"/>
        <v>0</v>
      </c>
      <c r="J17" s="24">
        <f t="shared" ca="1" si="1"/>
        <v>0</v>
      </c>
      <c r="K17" s="24">
        <f t="shared" ca="1" si="1"/>
        <v>0</v>
      </c>
      <c r="L17" s="24">
        <f t="shared" ca="1" si="1"/>
        <v>0</v>
      </c>
      <c r="M17" s="24">
        <f t="shared" ca="1" si="1"/>
        <v>0</v>
      </c>
      <c r="N17" s="24">
        <f t="shared" ca="1" si="1"/>
        <v>0</v>
      </c>
      <c r="O17" s="24">
        <f t="shared" ca="1" si="1"/>
        <v>0</v>
      </c>
      <c r="P17" s="24">
        <f t="shared" ca="1" si="1"/>
        <v>0</v>
      </c>
      <c r="Q17" s="24">
        <f t="shared" ca="1" si="1"/>
        <v>0</v>
      </c>
      <c r="R17" s="24">
        <f t="shared" ca="1" si="1"/>
        <v>0</v>
      </c>
      <c r="S17" s="24">
        <f t="shared" ca="1" si="1"/>
        <v>0</v>
      </c>
      <c r="T17" s="24">
        <f t="shared" ca="1" si="1"/>
        <v>0</v>
      </c>
      <c r="U17" s="24">
        <f t="shared" ca="1" si="1"/>
        <v>0</v>
      </c>
      <c r="V17" s="24">
        <f t="shared" ca="1" si="1"/>
        <v>0</v>
      </c>
      <c r="W17" s="24">
        <f t="shared" ca="1" si="1"/>
        <v>0</v>
      </c>
      <c r="X17" s="24">
        <f t="shared" ca="1" si="1"/>
        <v>0</v>
      </c>
      <c r="Y17" s="24">
        <f t="shared" ca="1" si="1"/>
        <v>0</v>
      </c>
      <c r="Z17" s="24">
        <f t="shared" ca="1" si="1"/>
        <v>0</v>
      </c>
      <c r="AA17" s="24">
        <f t="shared" ca="1" si="1"/>
        <v>0</v>
      </c>
      <c r="AB17" s="24">
        <f t="shared" ca="1" si="1"/>
        <v>0</v>
      </c>
      <c r="AC17" s="24">
        <f t="shared" ca="1" si="1"/>
        <v>0</v>
      </c>
      <c r="AD17" s="24">
        <f t="shared" ca="1" si="1"/>
        <v>0</v>
      </c>
      <c r="AE17" s="24">
        <f t="shared" ca="1" si="1"/>
        <v>0</v>
      </c>
      <c r="AF17" s="24">
        <f t="shared" ca="1" si="1"/>
        <v>0</v>
      </c>
      <c r="AG17" s="24">
        <f t="shared" ca="1" si="1"/>
        <v>0</v>
      </c>
      <c r="AH17" s="24">
        <f t="shared" ca="1" si="1"/>
        <v>0</v>
      </c>
      <c r="AI17" s="24">
        <f ca="1">AI16/60</f>
        <v>0</v>
      </c>
      <c r="AJ17" s="5">
        <f ca="1">SUM(Декабрь[УСЛУГ])</f>
        <v>0</v>
      </c>
      <c r="AK17" s="15">
        <f ca="1">SUM(Декабрь[МИНУТ])</f>
        <v>0</v>
      </c>
    </row>
    <row r="18" spans="1:37" x14ac:dyDescent="0.25">
      <c r="B18" s="13">
        <f ca="1">SUMPRODUCT((Настройки!$G$32:$AK$32=6)*E16:AI16)</f>
        <v>0</v>
      </c>
      <c r="C18" s="13"/>
      <c r="D18" s="7"/>
      <c r="E18" s="46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46"/>
      <c r="AJ18" s="13"/>
      <c r="AK18" s="45"/>
    </row>
    <row r="20" spans="1:37" x14ac:dyDescent="0.25">
      <c r="A20" s="73" t="s">
        <v>52</v>
      </c>
      <c r="B20" s="73" t="s">
        <v>53</v>
      </c>
      <c r="C20" s="74"/>
      <c r="D20" s="75" t="s">
        <v>61</v>
      </c>
      <c r="E20" s="67" t="s">
        <v>55</v>
      </c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9"/>
      <c r="AJ20" s="63" t="s">
        <v>64</v>
      </c>
      <c r="AK20" s="64" t="s">
        <v>64</v>
      </c>
    </row>
    <row r="21" spans="1:37" x14ac:dyDescent="0.25">
      <c r="A21" s="73"/>
      <c r="B21" s="73"/>
      <c r="C21" s="74"/>
      <c r="D21" s="76"/>
      <c r="E21" s="77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78"/>
      <c r="AJ21" s="63"/>
      <c r="AK21" s="65"/>
    </row>
    <row r="22" spans="1:37" x14ac:dyDescent="0.25">
      <c r="A22" s="73"/>
      <c r="B22" s="73"/>
      <c r="C22" s="74"/>
      <c r="D22" s="76"/>
      <c r="E22" s="20">
        <f>Настройки!G18</f>
        <v>45627</v>
      </c>
      <c r="F22" s="20">
        <f>Настройки!H18</f>
        <v>45628</v>
      </c>
      <c r="G22" s="20">
        <f>Настройки!I18</f>
        <v>45629</v>
      </c>
      <c r="H22" s="20">
        <f>Настройки!J18</f>
        <v>45630</v>
      </c>
      <c r="I22" s="20">
        <f>Настройки!K18</f>
        <v>45631</v>
      </c>
      <c r="J22" s="20">
        <f>Настройки!L18</f>
        <v>45632</v>
      </c>
      <c r="K22" s="20">
        <f>Настройки!M18</f>
        <v>45633</v>
      </c>
      <c r="L22" s="20">
        <f>Настройки!N18</f>
        <v>45634</v>
      </c>
      <c r="M22" s="20">
        <f>Настройки!O18</f>
        <v>45635</v>
      </c>
      <c r="N22" s="20">
        <f>Настройки!P18</f>
        <v>45636</v>
      </c>
      <c r="O22" s="20">
        <f>Настройки!Q18</f>
        <v>45637</v>
      </c>
      <c r="P22" s="20">
        <f>Настройки!R18</f>
        <v>45638</v>
      </c>
      <c r="Q22" s="20">
        <f>Настройки!S18</f>
        <v>45639</v>
      </c>
      <c r="R22" s="20">
        <f>Настройки!T18</f>
        <v>45640</v>
      </c>
      <c r="S22" s="20">
        <f>Настройки!U18</f>
        <v>45641</v>
      </c>
      <c r="T22" s="20">
        <f>Настройки!V18</f>
        <v>45642</v>
      </c>
      <c r="U22" s="20">
        <f>Настройки!W18</f>
        <v>45643</v>
      </c>
      <c r="V22" s="20">
        <f>Настройки!X18</f>
        <v>45644</v>
      </c>
      <c r="W22" s="20">
        <f>Настройки!Y18</f>
        <v>45645</v>
      </c>
      <c r="X22" s="20">
        <f>Настройки!Z18</f>
        <v>45646</v>
      </c>
      <c r="Y22" s="20">
        <f>Настройки!AA18</f>
        <v>45647</v>
      </c>
      <c r="Z22" s="20">
        <f>Настройки!AB18</f>
        <v>45648</v>
      </c>
      <c r="AA22" s="20">
        <f>Настройки!AC18</f>
        <v>45649</v>
      </c>
      <c r="AB22" s="20">
        <f>Настройки!AD18</f>
        <v>45650</v>
      </c>
      <c r="AC22" s="20">
        <f>Настройки!AE18</f>
        <v>45651</v>
      </c>
      <c r="AD22" s="20">
        <f>Настройки!AF18</f>
        <v>45652</v>
      </c>
      <c r="AE22" s="20">
        <f>Настройки!AG18</f>
        <v>45653</v>
      </c>
      <c r="AF22" s="20">
        <f>Настройки!AH18</f>
        <v>45654</v>
      </c>
      <c r="AG22" s="20">
        <f>Настройки!AI18</f>
        <v>45655</v>
      </c>
      <c r="AH22" s="20">
        <f>Настройки!AJ18</f>
        <v>45656</v>
      </c>
      <c r="AI22" s="20">
        <f>Настройки!AK18</f>
        <v>45657</v>
      </c>
      <c r="AJ22" s="63"/>
      <c r="AK22" s="65"/>
    </row>
    <row r="23" spans="1:37" x14ac:dyDescent="0.25">
      <c r="A23" s="73"/>
      <c r="B23" s="73"/>
      <c r="C23" s="74"/>
      <c r="D23" s="76"/>
      <c r="E23" s="73" t="s">
        <v>54</v>
      </c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9"/>
      <c r="AJ23" s="63"/>
      <c r="AK23" s="65"/>
    </row>
    <row r="24" spans="1:37" x14ac:dyDescent="0.25">
      <c r="A24" s="73"/>
      <c r="B24" s="73"/>
      <c r="C24" s="74"/>
      <c r="D24" s="76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9"/>
      <c r="AJ24" s="63"/>
      <c r="AK24" s="66"/>
    </row>
    <row r="25" spans="1:37" ht="16.5" x14ac:dyDescent="0.25">
      <c r="A25" s="3" t="s">
        <v>59</v>
      </c>
      <c r="B25" s="2" t="s">
        <v>58</v>
      </c>
      <c r="C25" s="3" t="s">
        <v>57</v>
      </c>
      <c r="D25" s="55" t="s">
        <v>60</v>
      </c>
      <c r="E25" s="3" t="s">
        <v>75</v>
      </c>
      <c r="F25" s="3" t="s">
        <v>76</v>
      </c>
      <c r="G25" s="3" t="s">
        <v>77</v>
      </c>
      <c r="H25" s="3" t="s">
        <v>78</v>
      </c>
      <c r="I25" s="3" t="s">
        <v>79</v>
      </c>
      <c r="J25" s="3" t="s">
        <v>80</v>
      </c>
      <c r="K25" s="3" t="s">
        <v>81</v>
      </c>
      <c r="L25" s="3" t="s">
        <v>82</v>
      </c>
      <c r="M25" s="3" t="s">
        <v>83</v>
      </c>
      <c r="N25" s="3" t="s">
        <v>84</v>
      </c>
      <c r="O25" s="3" t="s">
        <v>85</v>
      </c>
      <c r="P25" s="3" t="s">
        <v>86</v>
      </c>
      <c r="Q25" s="3" t="s">
        <v>87</v>
      </c>
      <c r="R25" s="3" t="s">
        <v>88</v>
      </c>
      <c r="S25" s="3" t="s">
        <v>89</v>
      </c>
      <c r="T25" s="3" t="s">
        <v>90</v>
      </c>
      <c r="U25" s="3" t="s">
        <v>91</v>
      </c>
      <c r="V25" s="3" t="s">
        <v>92</v>
      </c>
      <c r="W25" s="3" t="s">
        <v>93</v>
      </c>
      <c r="X25" s="3" t="s">
        <v>94</v>
      </c>
      <c r="Y25" s="3" t="s">
        <v>95</v>
      </c>
      <c r="Z25" s="3" t="s">
        <v>96</v>
      </c>
      <c r="AA25" s="3" t="s">
        <v>97</v>
      </c>
      <c r="AB25" s="3" t="s">
        <v>98</v>
      </c>
      <c r="AC25" s="3" t="s">
        <v>99</v>
      </c>
      <c r="AD25" s="3" t="s">
        <v>100</v>
      </c>
      <c r="AE25" s="3" t="s">
        <v>101</v>
      </c>
      <c r="AF25" s="3" t="s">
        <v>102</v>
      </c>
      <c r="AG25" s="3" t="s">
        <v>103</v>
      </c>
      <c r="AH25" s="3" t="s">
        <v>104</v>
      </c>
      <c r="AI25" s="3" t="s">
        <v>113</v>
      </c>
      <c r="AJ25" s="3" t="s">
        <v>62</v>
      </c>
      <c r="AK25" s="3" t="s">
        <v>63</v>
      </c>
    </row>
    <row r="26" spans="1:37" ht="31.5" x14ac:dyDescent="0.25">
      <c r="A26" s="49" t="s">
        <v>1</v>
      </c>
      <c r="B26" s="2">
        <f>IF(Январь[[#This Row],[Периодичность]]&lt;&gt;"",Январь[[#This Row],[Периодичность]],"")</f>
        <v>0</v>
      </c>
      <c r="C26" s="8">
        <f>IF(Январь[[#This Row],[Объем]]&lt;&gt;"",Январь[[#This Row],[Объем]],"")</f>
        <v>0</v>
      </c>
      <c r="D26" s="9">
        <v>1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 s="5">
        <f ca="1">IF(Декабрь[[#This Row],[№]]=1,SUM(Декабрь[[#This Row],[1]:[31]])+SUM(OFFSET(Декабрь[[#This Row],[1]:[31]],1,0))+SUM(OFFSET(Декабрь[[#This Row],[1]:[31]],2,0)),"")</f>
        <v>0</v>
      </c>
      <c r="AK26" s="5">
        <f ca="1">IF(Декабрь[[#This Row],[УСЛУГ]]&lt;&gt;"",Декабрь[[#This Row],[УСЛУГ]]*Декабрь[[#This Row],[Объем]],"")</f>
        <v>0</v>
      </c>
    </row>
    <row r="27" spans="1:37" x14ac:dyDescent="0.25">
      <c r="A27" s="49"/>
      <c r="B27" s="2" t="str">
        <f>IF(Январь[[#This Row],[Периодичность]]&lt;&gt;"",Январь[[#This Row],[Периодичность]],"")</f>
        <v/>
      </c>
      <c r="C27" s="8" t="str">
        <f>IF(Январь[[#This Row],[Объем]]&lt;&gt;"",Январь[[#This Row],[Объем]],"")</f>
        <v/>
      </c>
      <c r="D27" s="9">
        <v>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 s="5" t="str">
        <f ca="1">IF(Декабрь[[#This Row],[№]]=1,SUM(Декабрь[[#This Row],[1]:[31]])+SUM(OFFSET(Декабрь[[#This Row],[1]:[31]],1,0))+SUM(OFFSET(Декабрь[[#This Row],[1]:[31]],2,0)),"")</f>
        <v/>
      </c>
      <c r="AK27" s="5" t="str">
        <f ca="1">IF(Декабрь[[#This Row],[УСЛУГ]]&lt;&gt;"",Декабрь[[#This Row],[УСЛУГ]]*Декабрь[[#This Row],[Объем]],"")</f>
        <v/>
      </c>
    </row>
    <row r="28" spans="1:37" x14ac:dyDescent="0.25">
      <c r="A28" s="49"/>
      <c r="B28" s="2" t="str">
        <f>IF(Январь[[#This Row],[Периодичность]]&lt;&gt;"",Январь[[#This Row],[Периодичность]],"")</f>
        <v/>
      </c>
      <c r="C28" s="8" t="str">
        <f>IF(Январь[[#This Row],[Объем]]&lt;&gt;"",Январь[[#This Row],[Объем]],"")</f>
        <v/>
      </c>
      <c r="D28" s="9">
        <v>3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 s="5" t="str">
        <f ca="1">IF(Декабрь[[#This Row],[№]]=1,SUM(Декабрь[[#This Row],[1]:[31]])+SUM(OFFSET(Декабрь[[#This Row],[1]:[31]],1,0))+SUM(OFFSET(Декабрь[[#This Row],[1]:[31]],2,0)),"")</f>
        <v/>
      </c>
      <c r="AK28" s="5" t="str">
        <f ca="1">IF(Декабрь[[#This Row],[УСЛУГ]]&lt;&gt;"",Декабрь[[#This Row],[УСЛУГ]]*Декабрь[[#This Row],[Объем]],"")</f>
        <v/>
      </c>
    </row>
  </sheetData>
  <mergeCells count="20">
    <mergeCell ref="AJ7:AJ11"/>
    <mergeCell ref="AK7:AK11"/>
    <mergeCell ref="E10:AI11"/>
    <mergeCell ref="A20:A24"/>
    <mergeCell ref="B20:C24"/>
    <mergeCell ref="D20:D24"/>
    <mergeCell ref="E20:AI21"/>
    <mergeCell ref="AJ20:AJ24"/>
    <mergeCell ref="AK20:AK24"/>
    <mergeCell ref="E23:AI24"/>
    <mergeCell ref="A7:A11"/>
    <mergeCell ref="B7:B11"/>
    <mergeCell ref="C7:C11"/>
    <mergeCell ref="D7:D11"/>
    <mergeCell ref="E7:AI8"/>
    <mergeCell ref="A2:AJ2"/>
    <mergeCell ref="A3:AJ3"/>
    <mergeCell ref="J4:L4"/>
    <mergeCell ref="M4:U4"/>
    <mergeCell ref="M5:Q5"/>
  </mergeCells>
  <conditionalFormatting sqref="E9:AI9">
    <cfRule type="expression" dxfId="125" priority="2">
      <formula>WEEKDAY(E9:AI9,2)&gt;5</formula>
    </cfRule>
  </conditionalFormatting>
  <conditionalFormatting sqref="E22:AI22">
    <cfRule type="expression" dxfId="124" priority="1">
      <formula>WEEKDAY(E22:AI22,2)&gt;5</formula>
    </cfRule>
  </conditionalFormatting>
  <dataValidations count="2">
    <dataValidation type="list" allowBlank="1" showInputMessage="1" showErrorMessage="1" sqref="A26:A28">
      <formula1>INDIRECT("Услуги[Кратко]")</formula1>
    </dataValidation>
    <dataValidation type="list" allowBlank="1" showInputMessage="1" showErrorMessage="1" sqref="D26:D28">
      <formula1>INDIRECT("Посещения")</formula1>
    </dataValidation>
  </dataValidations>
  <pageMargins left="0.25" right="0.25" top="0.75" bottom="0.75" header="0.3" footer="0.3"/>
  <pageSetup paperSize="9" scale="50" fitToHeight="0" orientation="landscape" horizontalDpi="300" verticalDpi="300" r:id="rId1"/>
  <ignoredErrors>
    <ignoredError sqref="E13 B13:B18 AI13:AK13 E16:E17 AI16:AK17 AJ14:AK14 AJ15:AK15 E14:AI15" calculatedColumn="1"/>
  </ignoredErrors>
  <tableParts count="2">
    <tablePart r:id="rId2"/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theme="7" tint="0.39997558519241921"/>
    <pageSetUpPr fitToPage="1"/>
  </sheetPr>
  <dimension ref="A2:AF36"/>
  <sheetViews>
    <sheetView zoomScale="90" zoomScaleNormal="90" workbookViewId="0">
      <selection activeCell="E1" sqref="E1"/>
    </sheetView>
  </sheetViews>
  <sheetFormatPr defaultRowHeight="15.75" x14ac:dyDescent="0.25"/>
  <cols>
    <col min="1" max="1" width="12.5703125" style="3" bestFit="1" customWidth="1"/>
    <col min="2" max="2" width="11.42578125" style="3" bestFit="1" customWidth="1"/>
    <col min="3" max="17" width="11.85546875" style="3" bestFit="1" customWidth="1"/>
    <col min="18" max="18" width="5.7109375" style="3" customWidth="1"/>
    <col min="19" max="19" width="8.28515625" style="3" bestFit="1" customWidth="1"/>
    <col min="20" max="20" width="5.42578125" style="3" customWidth="1"/>
    <col min="21" max="21" width="6.5703125" style="3" customWidth="1"/>
    <col min="22" max="22" width="6" style="3" customWidth="1"/>
    <col min="23" max="23" width="5.42578125" style="3" customWidth="1"/>
    <col min="24" max="24" width="6.140625" style="3" customWidth="1"/>
    <col min="25" max="26" width="6.42578125" style="3" customWidth="1"/>
    <col min="27" max="27" width="6.28515625" style="3" customWidth="1"/>
    <col min="28" max="29" width="5.7109375" style="3" customWidth="1"/>
    <col min="30" max="30" width="6" style="3" customWidth="1"/>
    <col min="31" max="31" width="6.140625" style="3" customWidth="1"/>
    <col min="32" max="32" width="9.140625" style="3" customWidth="1"/>
    <col min="33" max="16384" width="9.140625" style="3"/>
  </cols>
  <sheetData>
    <row r="2" spans="1:32" x14ac:dyDescent="0.25">
      <c r="A2" s="88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4" spans="1:32" x14ac:dyDescent="0.25">
      <c r="G4" s="11" t="s">
        <v>69</v>
      </c>
      <c r="H4" s="34" t="s">
        <v>131</v>
      </c>
      <c r="I4" s="37" t="str">
        <f>Год[Год]&amp;" г."</f>
        <v>2024 г.</v>
      </c>
      <c r="J4" s="35"/>
    </row>
    <row r="6" spans="1:32" ht="15.75" customHeight="1" x14ac:dyDescent="0.25">
      <c r="B6" s="30"/>
      <c r="F6" s="90" t="s">
        <v>136</v>
      </c>
      <c r="G6" s="91"/>
      <c r="H6" s="59" t="str">
        <f>Настройки!P2</f>
        <v>Фамилия И.О.</v>
      </c>
      <c r="I6" s="92"/>
      <c r="J6" s="33"/>
    </row>
    <row r="8" spans="1:32" ht="15.75" customHeight="1" x14ac:dyDescent="0.25">
      <c r="A8" s="81"/>
      <c r="B8" s="67" t="s">
        <v>55</v>
      </c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85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25"/>
    </row>
    <row r="9" spans="1:32" x14ac:dyDescent="0.25">
      <c r="A9" s="83"/>
      <c r="B9" s="86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87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</row>
    <row r="10" spans="1:32" x14ac:dyDescent="0.25">
      <c r="A10" s="83"/>
      <c r="B10" s="29">
        <f>Настройки!G18</f>
        <v>45627</v>
      </c>
      <c r="C10" s="29">
        <f>Настройки!H18</f>
        <v>45628</v>
      </c>
      <c r="D10" s="29">
        <f>Настройки!I18</f>
        <v>45629</v>
      </c>
      <c r="E10" s="29">
        <f>Настройки!J18</f>
        <v>45630</v>
      </c>
      <c r="F10" s="29">
        <f>Настройки!K18</f>
        <v>45631</v>
      </c>
      <c r="G10" s="29">
        <f>Настройки!L18</f>
        <v>45632</v>
      </c>
      <c r="H10" s="29">
        <f>Настройки!M18</f>
        <v>45633</v>
      </c>
      <c r="I10" s="29">
        <f>Настройки!N18</f>
        <v>45634</v>
      </c>
      <c r="J10" s="29">
        <f>Настройки!O18</f>
        <v>45635</v>
      </c>
      <c r="K10" s="29">
        <f>Настройки!P18</f>
        <v>45636</v>
      </c>
      <c r="L10" s="29">
        <f>Настройки!Q18</f>
        <v>45637</v>
      </c>
      <c r="M10" s="29">
        <f>Настройки!R18</f>
        <v>45638</v>
      </c>
      <c r="N10" s="29">
        <f>Настройки!S18</f>
        <v>45639</v>
      </c>
      <c r="O10" s="29">
        <f>Настройки!T18</f>
        <v>45640</v>
      </c>
      <c r="P10" s="29">
        <f>Настройки!U18</f>
        <v>45641</v>
      </c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ht="15.75" customHeight="1" x14ac:dyDescent="0.25">
      <c r="A11" s="83"/>
      <c r="B11" s="67" t="s">
        <v>54</v>
      </c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85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25"/>
    </row>
    <row r="12" spans="1:32" x14ac:dyDescent="0.25">
      <c r="A12" s="84"/>
      <c r="B12" s="86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87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</row>
    <row r="13" spans="1:32" x14ac:dyDescent="0.25">
      <c r="A13" s="3" t="s">
        <v>138</v>
      </c>
      <c r="B13" s="3" t="s">
        <v>75</v>
      </c>
      <c r="C13" s="3" t="s">
        <v>76</v>
      </c>
      <c r="D13" s="3" t="s">
        <v>77</v>
      </c>
      <c r="E13" s="3" t="s">
        <v>78</v>
      </c>
      <c r="F13" s="3" t="s">
        <v>79</v>
      </c>
      <c r="G13" s="3" t="s">
        <v>80</v>
      </c>
      <c r="H13" s="3" t="s">
        <v>81</v>
      </c>
      <c r="I13" s="3" t="s">
        <v>82</v>
      </c>
      <c r="J13" s="3" t="s">
        <v>83</v>
      </c>
      <c r="K13" s="3" t="s">
        <v>84</v>
      </c>
      <c r="L13" s="3" t="s">
        <v>85</v>
      </c>
      <c r="M13" s="3" t="s">
        <v>86</v>
      </c>
      <c r="N13" s="3" t="s">
        <v>87</v>
      </c>
      <c r="O13" s="3" t="s">
        <v>88</v>
      </c>
      <c r="P13" s="3" t="s">
        <v>89</v>
      </c>
    </row>
    <row r="14" spans="1:32" x14ac:dyDescent="0.25">
      <c r="A14" s="32" t="str">
        <f>IF(Настройки!J2&lt;&gt;"",TEXT(MIN(Настройки!G102:AK102,Настройки!J2),"ч:мм")&amp;"-"&amp;TEXT(MAX(Настройки!G102:AK102,Настройки!J2)+TIME(0,MAX(Декабрь!E13:AI13),0),"ч:мм"),"")</f>
        <v>9:00-9:00</v>
      </c>
      <c r="B14" s="30" t="str">
        <f>IF(TEXT(IF(Настройки!G102="",TEXT(Настройки!$J2,"ч:мм"),TEXT(Настройки!G102,"ч:мм"))+TIME(0,Декабрь!E13,0),"ч::мм")=TEXT(IF(Настройки!G102="",TEXT(Настройки!$J2,"ч:мм"),TEXT(Настройки!G102,"ч:мм")),"ч:мм"),"",TEXT(IF(Настройки!G102="",TEXT(Настройки!$J2,"ч:мм"),TEXT(Настройки!G102,"ч:мм")),"ч:мм")&amp;"-"&amp;TEXT(IF(Настройки!G102="",TEXT(Настройки!$J2,"ч:мм"),TEXT(Настройки!G102,"ч:мм"))+TIME(0,Декабрь!E13,0),"ч::мм"))</f>
        <v/>
      </c>
      <c r="C14" s="30" t="str">
        <f>IF(TEXT(IF(Настройки!H102="",TEXT(Настройки!$J2,"ч:мм"),TEXT(Настройки!H102,"ч:мм"))+TIME(0,Декабрь!F13,0),"ч::мм")=TEXT(IF(Настройки!H102="",TEXT(Настройки!$J2,"ч:мм"),TEXT(Настройки!H102,"ч:мм")),"ч:мм"),"",TEXT(IF(Настройки!H102="",TEXT(Настройки!$J2,"ч:мм"),TEXT(Настройки!H102,"ч:мм")),"ч:мм")&amp;"-"&amp;TEXT(IF(Настройки!H102="",TEXT(Настройки!$J2,"ч:мм"),TEXT(Настройки!H102,"ч:мм"))+TIME(0,Декабрь!F13,0),"ч::мм"))</f>
        <v/>
      </c>
      <c r="D14" s="30" t="str">
        <f>IF(TEXT(IF(Настройки!I102="",TEXT(Настройки!$J2,"ч:мм"),TEXT(Настройки!I102,"ч:мм"))+TIME(0,Декабрь!G13,0),"ч::мм")=TEXT(IF(Настройки!I102="",TEXT(Настройки!$J2,"ч:мм"),TEXT(Настройки!I102,"ч:мм")),"ч:мм"),"",TEXT(IF(Настройки!I102="",TEXT(Настройки!$J2,"ч:мм"),TEXT(Настройки!I102,"ч:мм")),"ч:мм")&amp;"-"&amp;TEXT(IF(Настройки!I102="",TEXT(Настройки!$J2,"ч:мм"),TEXT(Настройки!I102,"ч:мм"))+TIME(0,Декабрь!G13,0),"ч::мм"))</f>
        <v/>
      </c>
      <c r="E14" s="30" t="str">
        <f>IF(TEXT(IF(Настройки!J102="",TEXT(Настройки!$J2,"ч:мм"),TEXT(Настройки!J102,"ч:мм"))+TIME(0,Декабрь!H13,0),"ч::мм")=TEXT(IF(Настройки!J102="",TEXT(Настройки!$J2,"ч:мм"),TEXT(Настройки!J102,"ч:мм")),"ч:мм"),"",TEXT(IF(Настройки!J102="",TEXT(Настройки!$J2,"ч:мм"),TEXT(Настройки!J102,"ч:мм")),"ч:мм")&amp;"-"&amp;TEXT(IF(Настройки!J102="",TEXT(Настройки!$J2,"ч:мм"),TEXT(Настройки!J102,"ч:мм"))+TIME(0,Декабрь!H13,0),"ч::мм"))</f>
        <v/>
      </c>
      <c r="F14" s="30" t="str">
        <f>IF(TEXT(IF(Настройки!K102="",TEXT(Настройки!$J2,"ч:мм"),TEXT(Настройки!K102,"ч:мм"))+TIME(0,Декабрь!I13,0),"ч::мм")=TEXT(IF(Настройки!K102="",TEXT(Настройки!$J2,"ч:мм"),TEXT(Настройки!K102,"ч:мм")),"ч:мм"),"",TEXT(IF(Настройки!K102="",TEXT(Настройки!$J2,"ч:мм"),TEXT(Настройки!K102,"ч:мм")),"ч:мм")&amp;"-"&amp;TEXT(IF(Настройки!K102="",TEXT(Настройки!$J2,"ч:мм"),TEXT(Настройки!K102,"ч:мм"))+TIME(0,Декабрь!I13,0),"ч::мм"))</f>
        <v/>
      </c>
      <c r="G14" s="30" t="str">
        <f>IF(TEXT(IF(Настройки!L102="",TEXT(Настройки!$J2,"ч:мм"),TEXT(Настройки!L102,"ч:мм"))+TIME(0,Декабрь!J13,0),"ч::мм")=TEXT(IF(Настройки!L102="",TEXT(Настройки!$J2,"ч:мм"),TEXT(Настройки!L102,"ч:мм")),"ч:мм"),"",TEXT(IF(Настройки!L102="",TEXT(Настройки!$J2,"ч:мм"),TEXT(Настройки!L102,"ч:мм")),"ч:мм")&amp;"-"&amp;TEXT(IF(Настройки!L102="",TEXT(Настройки!$J2,"ч:мм"),TEXT(Настройки!L102,"ч:мм"))+TIME(0,Декабрь!J13,0),"ч::мм"))</f>
        <v/>
      </c>
      <c r="H14" s="30" t="str">
        <f>IF(TEXT(IF(Настройки!M102="",TEXT(Настройки!$J2,"ч:мм"),TEXT(Настройки!M102,"ч:мм"))+TIME(0,Декабрь!K13,0),"ч::мм")=TEXT(IF(Настройки!M102="",TEXT(Настройки!$J2,"ч:мм"),TEXT(Настройки!M102,"ч:мм")),"ч:мм"),"",TEXT(IF(Настройки!M102="",TEXT(Настройки!$J2,"ч:мм"),TEXT(Настройки!M102,"ч:мм")),"ч:мм")&amp;"-"&amp;TEXT(IF(Настройки!M102="",TEXT(Настройки!$J2,"ч:мм"),TEXT(Настройки!M102,"ч:мм"))+TIME(0,Декабрь!K13,0),"ч::мм"))</f>
        <v/>
      </c>
      <c r="I14" s="30" t="str">
        <f>IF(TEXT(IF(Настройки!N102="",TEXT(Настройки!$J2,"ч:мм"),TEXT(Настройки!N102,"ч:мм"))+TIME(0,Декабрь!L13,0),"ч::мм")=TEXT(IF(Настройки!N102="",TEXT(Настройки!$J2,"ч:мм"),TEXT(Настройки!N102,"ч:мм")),"ч:мм"),"",TEXT(IF(Настройки!N102="",TEXT(Настройки!$J2,"ч:мм"),TEXT(Настройки!N102,"ч:мм")),"ч:мм")&amp;"-"&amp;TEXT(IF(Настройки!N102="",TEXT(Настройки!$J2,"ч:мм"),TEXT(Настройки!N102,"ч:мм"))+TIME(0,Декабрь!L13,0),"ч::мм"))</f>
        <v/>
      </c>
      <c r="J14" s="30" t="str">
        <f>IF(TEXT(IF(Настройки!O102="",TEXT(Настройки!$J2,"ч:мм"),TEXT(Настройки!O102,"ч:мм"))+TIME(0,Декабрь!M13,0),"ч::мм")=TEXT(IF(Настройки!O102="",TEXT(Настройки!$J2,"ч:мм"),TEXT(Настройки!O102,"ч:мм")),"ч:мм"),"",TEXT(IF(Настройки!O102="",TEXT(Настройки!$J2,"ч:мм"),TEXT(Настройки!O102,"ч:мм")),"ч:мм")&amp;"-"&amp;TEXT(IF(Настройки!O102="",TEXT(Настройки!$J2,"ч:мм"),TEXT(Настройки!O102,"ч:мм"))+TIME(0,Декабрь!M13,0),"ч::мм"))</f>
        <v/>
      </c>
      <c r="K14" s="30" t="str">
        <f>IF(TEXT(IF(Настройки!P102="",TEXT(Настройки!$J2,"ч:мм"),TEXT(Настройки!P102,"ч:мм"))+TIME(0,Декабрь!N13,0),"ч::мм")=TEXT(IF(Настройки!P102="",TEXT(Настройки!$J2,"ч:мм"),TEXT(Настройки!P102,"ч:мм")),"ч:мм"),"",TEXT(IF(Настройки!P102="",TEXT(Настройки!$J2,"ч:мм"),TEXT(Настройки!P102,"ч:мм")),"ч:мм")&amp;"-"&amp;TEXT(IF(Настройки!P102="",TEXT(Настройки!$J2,"ч:мм"),TEXT(Настройки!P102,"ч:мм"))+TIME(0,Декабрь!N13,0),"ч::мм"))</f>
        <v/>
      </c>
      <c r="L14" s="30" t="str">
        <f>IF(TEXT(IF(Настройки!Q102="",TEXT(Настройки!$J2,"ч:мм"),TEXT(Настройки!Q102,"ч:мм"))+TIME(0,Декабрь!O13,0),"ч::мм")=TEXT(IF(Настройки!Q102="",TEXT(Настройки!$J2,"ч:мм"),TEXT(Настройки!Q102,"ч:мм")),"ч:мм"),"",TEXT(IF(Настройки!Q102="",TEXT(Настройки!$J2,"ч:мм"),TEXT(Настройки!Q102,"ч:мм")),"ч:мм")&amp;"-"&amp;TEXT(IF(Настройки!Q102="",TEXT(Настройки!$J2,"ч:мм"),TEXT(Настройки!Q102,"ч:мм"))+TIME(0,Декабрь!O13,0),"ч::мм"))</f>
        <v/>
      </c>
      <c r="M14" s="30" t="str">
        <f>IF(TEXT(IF(Настройки!R102="",TEXT(Настройки!$J2,"ч:мм"),TEXT(Настройки!R102,"ч:мм"))+TIME(0,Декабрь!P13,0),"ч::мм")=TEXT(IF(Настройки!R102="",TEXT(Настройки!$J2,"ч:мм"),TEXT(Настройки!R102,"ч:мм")),"ч:мм"),"",TEXT(IF(Настройки!R102="",TEXT(Настройки!$J2,"ч:мм"),TEXT(Настройки!R102,"ч:мм")),"ч:мм")&amp;"-"&amp;TEXT(IF(Настройки!R102="",TEXT(Настройки!$J2,"ч:мм"),TEXT(Настройки!R102,"ч:мм"))+TIME(0,Декабрь!P13,0),"ч::мм"))</f>
        <v/>
      </c>
      <c r="N14" s="30" t="str">
        <f>IF(TEXT(IF(Настройки!S102="",TEXT(Настройки!$J2,"ч:мм"),TEXT(Настройки!S102,"ч:мм"))+TIME(0,Декабрь!Q13,0),"ч::мм")=TEXT(IF(Настройки!S102="",TEXT(Настройки!$J2,"ч:мм"),TEXT(Настройки!S102,"ч:мм")),"ч:мм"),"",TEXT(IF(Настройки!S102="",TEXT(Настройки!$J2,"ч:мм"),TEXT(Настройки!S102,"ч:мм")),"ч:мм")&amp;"-"&amp;TEXT(IF(Настройки!S102="",TEXT(Настройки!$J2,"ч:мм"),TEXT(Настройки!S102,"ч:мм"))+TIME(0,Декабрь!Q13,0),"ч::мм"))</f>
        <v/>
      </c>
      <c r="O14" s="30" t="str">
        <f>IF(TEXT(IF(Настройки!T102="",TEXT(Настройки!$J2,"ч:мм"),TEXT(Настройки!T102,"ч:мм"))+TIME(0,Декабрь!R13,0),"ч::мм")=TEXT(IF(Настройки!T102="",TEXT(Настройки!$J2,"ч:мм"),TEXT(Настройки!T102,"ч:мм")),"ч:мм"),"",TEXT(IF(Настройки!T102="",TEXT(Настройки!$J2,"ч:мм"),TEXT(Настройки!T102,"ч:мм")),"ч:мм")&amp;"-"&amp;TEXT(IF(Настройки!T102="",TEXT(Настройки!$J2,"ч:мм"),TEXT(Настройки!T102,"ч:мм"))+TIME(0,Декабрь!R13,0),"ч::мм"))</f>
        <v/>
      </c>
      <c r="P14" s="30" t="str">
        <f>IF(TEXT(IF(Настройки!U102="",TEXT(Настройки!$J2,"ч:мм"),TEXT(Настройки!U102,"ч:мм"))+TIME(0,Декабрь!S13,0),"ч::мм")=TEXT(IF(Настройки!U102="",TEXT(Настройки!$J2,"ч:мм"),TEXT(Настройки!U102,"ч:мм")),"ч:мм"),"",TEXT(IF(Настройки!U102="",TEXT(Настройки!$J2,"ч:мм"),TEXT(Настройки!U102,"ч:мм")),"ч:мм")&amp;"-"&amp;TEXT(IF(Настройки!U102="",TEXT(Настройки!$J2,"ч:мм"),TEXT(Настройки!U102,"ч:мм"))+TIME(0,Декабрь!S13,0),"ч::мм"))</f>
        <v/>
      </c>
      <c r="R14" s="30"/>
    </row>
    <row r="15" spans="1:32" x14ac:dyDescent="0.25">
      <c r="A15" s="32" t="str">
        <f ca="1">IF(Настройки!J3&lt;&gt;"",TEXT(MIN(Настройки!G103:AK103,Настройки!J3),"ч:мм")&amp;"-"&amp;TEXT(MAX(Настройки!G103:AK103,Настройки!J3)+TIME(0,MAX(Декабрь!E14:AI14),0),"ч:мм"),"")</f>
        <v>13:00-13:00</v>
      </c>
      <c r="B15" s="30" t="str">
        <f ca="1">IF(TEXT(IF(Настройки!G103="",TEXT(Настройки!$J3,"ч:мм"),TEXT(Настройки!G103,"ч:мм"))+TIME(0,Декабрь!E14,0),"ч::мм")=TEXT(IF(Настройки!G103="",TEXT(Настройки!$J3,"ч:мм"),TEXT(Настройки!G103,"ч:мм")),"ч:мм"),"",TEXT(IF(Настройки!G103="",TEXT(Настройки!$J3,"ч:мм"),TEXT(Настройки!G103,"ч:мм")),"ч:мм")&amp;"-"&amp;TEXT(IF(Настройки!G103="",TEXT(Настройки!$J3,"ч:мм"),TEXT(Настройки!G103,"ч:мм"))+TIME(0,Декабрь!E14,0),"ч::мм"))</f>
        <v/>
      </c>
      <c r="C15" s="30" t="str">
        <f ca="1">IF(TEXT(IF(Настройки!H103="",TEXT(Настройки!$J3,"ч:мм"),TEXT(Настройки!H103,"ч:мм"))+TIME(0,Декабрь!F14,0),"ч::мм")=TEXT(IF(Настройки!H103="",TEXT(Настройки!$J3,"ч:мм"),TEXT(Настройки!H103,"ч:мм")),"ч:мм"),"",TEXT(IF(Настройки!H103="",TEXT(Настройки!$J3,"ч:мм"),TEXT(Настройки!H103,"ч:мм")),"ч:мм")&amp;"-"&amp;TEXT(IF(Настройки!H103="",TEXT(Настройки!$J3,"ч:мм"),TEXT(Настройки!H103,"ч:мм"))+TIME(0,Декабрь!F14,0),"ч::мм"))</f>
        <v/>
      </c>
      <c r="D15" s="30" t="str">
        <f ca="1">IF(TEXT(IF(Настройки!I103="",TEXT(Настройки!$J3,"ч:мм"),TEXT(Настройки!I103,"ч:мм"))+TIME(0,Декабрь!G14,0),"ч::мм")=TEXT(IF(Настройки!I103="",TEXT(Настройки!$J3,"ч:мм"),TEXT(Настройки!I103,"ч:мм")),"ч:мм"),"",TEXT(IF(Настройки!I103="",TEXT(Настройки!$J3,"ч:мм"),TEXT(Настройки!I103,"ч:мм")),"ч:мм")&amp;"-"&amp;TEXT(IF(Настройки!I103="",TEXT(Настройки!$J3,"ч:мм"),TEXT(Настройки!I103,"ч:мм"))+TIME(0,Декабрь!G14,0),"ч::мм"))</f>
        <v/>
      </c>
      <c r="E15" s="30" t="str">
        <f ca="1">IF(TEXT(IF(Настройки!J103="",TEXT(Настройки!$J3,"ч:мм"),TEXT(Настройки!J103,"ч:мм"))+TIME(0,Декабрь!H14,0),"ч::мм")=TEXT(IF(Настройки!J103="",TEXT(Настройки!$J3,"ч:мм"),TEXT(Настройки!J103,"ч:мм")),"ч:мм"),"",TEXT(IF(Настройки!J103="",TEXT(Настройки!$J3,"ч:мм"),TEXT(Настройки!J103,"ч:мм")),"ч:мм")&amp;"-"&amp;TEXT(IF(Настройки!J103="",TEXT(Настройки!$J3,"ч:мм"),TEXT(Настройки!J103,"ч:мм"))+TIME(0,Декабрь!H14,0),"ч::мм"))</f>
        <v/>
      </c>
      <c r="F15" s="30" t="str">
        <f ca="1">IF(TEXT(IF(Настройки!K103="",TEXT(Настройки!$J3,"ч:мм"),TEXT(Настройки!K103,"ч:мм"))+TIME(0,Декабрь!I14,0),"ч::мм")=TEXT(IF(Настройки!K103="",TEXT(Настройки!$J3,"ч:мм"),TEXT(Настройки!K103,"ч:мм")),"ч:мм"),"",TEXT(IF(Настройки!K103="",TEXT(Настройки!$J3,"ч:мм"),TEXT(Настройки!K103,"ч:мм")),"ч:мм")&amp;"-"&amp;TEXT(IF(Настройки!K103="",TEXT(Настройки!$J3,"ч:мм"),TEXT(Настройки!K103,"ч:мм"))+TIME(0,Декабрь!I14,0),"ч::мм"))</f>
        <v/>
      </c>
      <c r="G15" s="30" t="str">
        <f ca="1">IF(TEXT(IF(Настройки!L103="",TEXT(Настройки!$J3,"ч:мм"),TEXT(Настройки!L103,"ч:мм"))+TIME(0,Декабрь!J14,0),"ч::мм")=TEXT(IF(Настройки!L103="",TEXT(Настройки!$J3,"ч:мм"),TEXT(Настройки!L103,"ч:мм")),"ч:мм"),"",TEXT(IF(Настройки!L103="",TEXT(Настройки!$J3,"ч:мм"),TEXT(Настройки!L103,"ч:мм")),"ч:мм")&amp;"-"&amp;TEXT(IF(Настройки!L103="",TEXT(Настройки!$J3,"ч:мм"),TEXT(Настройки!L103,"ч:мм"))+TIME(0,Декабрь!J14,0),"ч::мм"))</f>
        <v/>
      </c>
      <c r="H15" s="30" t="str">
        <f ca="1">IF(TEXT(IF(Настройки!M103="",TEXT(Настройки!$J3,"ч:мм"),TEXT(Настройки!M103,"ч:мм"))+TIME(0,Декабрь!K14,0),"ч::мм")=TEXT(IF(Настройки!M103="",TEXT(Настройки!$J3,"ч:мм"),TEXT(Настройки!M103,"ч:мм")),"ч:мм"),"",TEXT(IF(Настройки!M103="",TEXT(Настройки!$J3,"ч:мм"),TEXT(Настройки!M103,"ч:мм")),"ч:мм")&amp;"-"&amp;TEXT(IF(Настройки!M103="",TEXT(Настройки!$J3,"ч:мм"),TEXT(Настройки!M103,"ч:мм"))+TIME(0,Декабрь!K14,0),"ч::мм"))</f>
        <v/>
      </c>
      <c r="I15" s="30" t="str">
        <f ca="1">IF(TEXT(IF(Настройки!N103="",TEXT(Настройки!$J3,"ч:мм"),TEXT(Настройки!N103,"ч:мм"))+TIME(0,Декабрь!L14,0),"ч::мм")=TEXT(IF(Настройки!N103="",TEXT(Настройки!$J3,"ч:мм"),TEXT(Настройки!N103,"ч:мм")),"ч:мм"),"",TEXT(IF(Настройки!N103="",TEXT(Настройки!$J3,"ч:мм"),TEXT(Настройки!N103,"ч:мм")),"ч:мм")&amp;"-"&amp;TEXT(IF(Настройки!N103="",TEXT(Настройки!$J3,"ч:мм"),TEXT(Настройки!N103,"ч:мм"))+TIME(0,Декабрь!L14,0),"ч::мм"))</f>
        <v/>
      </c>
      <c r="J15" s="30" t="str">
        <f ca="1">IF(TEXT(IF(Настройки!O103="",TEXT(Настройки!$J3,"ч:мм"),TEXT(Настройки!O103,"ч:мм"))+TIME(0,Декабрь!M14,0),"ч::мм")=TEXT(IF(Настройки!O103="",TEXT(Настройки!$J3,"ч:мм"),TEXT(Настройки!O103,"ч:мм")),"ч:мм"),"",TEXT(IF(Настройки!O103="",TEXT(Настройки!$J3,"ч:мм"),TEXT(Настройки!O103,"ч:мм")),"ч:мм")&amp;"-"&amp;TEXT(IF(Настройки!O103="",TEXT(Настройки!$J3,"ч:мм"),TEXT(Настройки!O103,"ч:мм"))+TIME(0,Декабрь!M14,0),"ч::мм"))</f>
        <v/>
      </c>
      <c r="K15" s="30" t="str">
        <f ca="1">IF(TEXT(IF(Настройки!P103="",TEXT(Настройки!$J3,"ч:мм"),TEXT(Настройки!P103,"ч:мм"))+TIME(0,Декабрь!N14,0),"ч::мм")=TEXT(IF(Настройки!P103="",TEXT(Настройки!$J3,"ч:мм"),TEXT(Настройки!P103,"ч:мм")),"ч:мм"),"",TEXT(IF(Настройки!P103="",TEXT(Настройки!$J3,"ч:мм"),TEXT(Настройки!P103,"ч:мм")),"ч:мм")&amp;"-"&amp;TEXT(IF(Настройки!P103="",TEXT(Настройки!$J3,"ч:мм"),TEXT(Настройки!P103,"ч:мм"))+TIME(0,Декабрь!N14,0),"ч::мм"))</f>
        <v/>
      </c>
      <c r="L15" s="30" t="str">
        <f ca="1">IF(TEXT(IF(Настройки!Q103="",TEXT(Настройки!$J3,"ч:мм"),TEXT(Настройки!Q103,"ч:мм"))+TIME(0,Декабрь!O14,0),"ч::мм")=TEXT(IF(Настройки!Q103="",TEXT(Настройки!$J3,"ч:мм"),TEXT(Настройки!Q103,"ч:мм")),"ч:мм"),"",TEXT(IF(Настройки!Q103="",TEXT(Настройки!$J3,"ч:мм"),TEXT(Настройки!Q103,"ч:мм")),"ч:мм")&amp;"-"&amp;TEXT(IF(Настройки!Q103="",TEXT(Настройки!$J3,"ч:мм"),TEXT(Настройки!Q103,"ч:мм"))+TIME(0,Декабрь!O14,0),"ч::мм"))</f>
        <v/>
      </c>
      <c r="M15" s="30" t="str">
        <f ca="1">IF(TEXT(IF(Настройки!R103="",TEXT(Настройки!$J3,"ч:мм"),TEXT(Настройки!R103,"ч:мм"))+TIME(0,Декабрь!P14,0),"ч::мм")=TEXT(IF(Настройки!R103="",TEXT(Настройки!$J3,"ч:мм"),TEXT(Настройки!R103,"ч:мм")),"ч:мм"),"",TEXT(IF(Настройки!R103="",TEXT(Настройки!$J3,"ч:мм"),TEXT(Настройки!R103,"ч:мм")),"ч:мм")&amp;"-"&amp;TEXT(IF(Настройки!R103="",TEXT(Настройки!$J3,"ч:мм"),TEXT(Настройки!R103,"ч:мм"))+TIME(0,Декабрь!P14,0),"ч::мм"))</f>
        <v/>
      </c>
      <c r="N15" s="30" t="str">
        <f ca="1">IF(TEXT(IF(Настройки!S103="",TEXT(Настройки!$J3,"ч:мм"),TEXT(Настройки!S103,"ч:мм"))+TIME(0,Декабрь!Q14,0),"ч::мм")=TEXT(IF(Настройки!S103="",TEXT(Настройки!$J3,"ч:мм"),TEXT(Настройки!S103,"ч:мм")),"ч:мм"),"",TEXT(IF(Настройки!S103="",TEXT(Настройки!$J3,"ч:мм"),TEXT(Настройки!S103,"ч:мм")),"ч:мм")&amp;"-"&amp;TEXT(IF(Настройки!S103="",TEXT(Настройки!$J3,"ч:мм"),TEXT(Настройки!S103,"ч:мм"))+TIME(0,Декабрь!Q14,0),"ч::мм"))</f>
        <v/>
      </c>
      <c r="O15" s="30" t="str">
        <f ca="1">IF(TEXT(IF(Настройки!T103="",TEXT(Настройки!$J3,"ч:мм"),TEXT(Настройки!T103,"ч:мм"))+TIME(0,Декабрь!R14,0),"ч::мм")=TEXT(IF(Настройки!T103="",TEXT(Настройки!$J3,"ч:мм"),TEXT(Настройки!T103,"ч:мм")),"ч:мм"),"",TEXT(IF(Настройки!T103="",TEXT(Настройки!$J3,"ч:мм"),TEXT(Настройки!T103,"ч:мм")),"ч:мм")&amp;"-"&amp;TEXT(IF(Настройки!T103="",TEXT(Настройки!$J3,"ч:мм"),TEXT(Настройки!T103,"ч:мм"))+TIME(0,Декабрь!R14,0),"ч::мм"))</f>
        <v/>
      </c>
      <c r="P15" s="30" t="str">
        <f ca="1">IF(TEXT(IF(Настройки!U103="",TEXT(Настройки!$J3,"ч:мм"),TEXT(Настройки!U103,"ч:мм"))+TIME(0,Декабрь!S14,0),"ч::мм")=TEXT(IF(Настройки!U103="",TEXT(Настройки!$J3,"ч:мм"),TEXT(Настройки!U103,"ч:мм")),"ч:мм"),"",TEXT(IF(Настройки!U103="",TEXT(Настройки!$J3,"ч:мм"),TEXT(Настройки!U103,"ч:мм")),"ч:мм")&amp;"-"&amp;TEXT(IF(Настройки!U103="",TEXT(Настройки!$J3,"ч:мм"),TEXT(Настройки!U103,"ч:мм"))+TIME(0,Декабрь!S14,0),"ч::мм"))</f>
        <v/>
      </c>
      <c r="S15" s="30"/>
    </row>
    <row r="16" spans="1:32" x14ac:dyDescent="0.25">
      <c r="A16" s="32" t="str">
        <f ca="1">IF(Настройки!J4&lt;&gt;"",TEXT(MIN(Настройки!G104:AK104,Настройки!J4),"ч:мм")&amp;"-"&amp;TEXT(MAX(Настройки!G104:AK104,Настройки!J4)+TIME(0,MAX(Декабрь!E15:AI15),0),"ч:мм"),"")</f>
        <v>16:00-16:00</v>
      </c>
      <c r="B16" s="30" t="str">
        <f ca="1">IF(TEXT(IF(Настройки!G104="",TEXT(Настройки!$J4,"ч:мм"),TEXT(Настройки!G104,"ч:мм"))+TIME(0,Декабрь!E15,0),"ч::мм")=TEXT(IF(Настройки!G104="",TEXT(Настройки!$J4,"ч:мм"),TEXT(Настройки!G104,"ч:мм")),"ч:мм"),"",TEXT(IF(Настройки!G104="",TEXT(Настройки!$J4,"ч:мм"),TEXT(Настройки!G104,"ч:мм")),"ч:мм")&amp;"-"&amp;TEXT(IF(Настройки!G104="",TEXT(Настройки!$J4,"ч:мм"),TEXT(Настройки!G104,"ч:мм"))+TIME(0,Декабрь!E15,0),"ч::мм"))</f>
        <v/>
      </c>
      <c r="C16" s="30" t="str">
        <f ca="1">IF(TEXT(IF(Настройки!H104="",TEXT(Настройки!$J4,"ч:мм"),TEXT(Настройки!H104,"ч:мм"))+TIME(0,Декабрь!F15,0),"ч::мм")=TEXT(IF(Настройки!H104="",TEXT(Настройки!$J4,"ч:мм"),TEXT(Настройки!H104,"ч:мм")),"ч:мм"),"",TEXT(IF(Настройки!H104="",TEXT(Настройки!$J4,"ч:мм"),TEXT(Настройки!H104,"ч:мм")),"ч:мм")&amp;"-"&amp;TEXT(IF(Настройки!H104="",TEXT(Настройки!$J4,"ч:мм"),TEXT(Настройки!H104,"ч:мм"))+TIME(0,Декабрь!F15,0),"ч::мм"))</f>
        <v/>
      </c>
      <c r="D16" s="30" t="str">
        <f ca="1">IF(TEXT(IF(Настройки!I104="",TEXT(Настройки!$J4,"ч:мм"),TEXT(Настройки!I104,"ч:мм"))+TIME(0,Декабрь!G15,0),"ч::мм")=TEXT(IF(Настройки!I104="",TEXT(Настройки!$J4,"ч:мм"),TEXT(Настройки!I104,"ч:мм")),"ч:мм"),"",TEXT(IF(Настройки!I104="",TEXT(Настройки!$J4,"ч:мм"),TEXT(Настройки!I104,"ч:мм")),"ч:мм")&amp;"-"&amp;TEXT(IF(Настройки!I104="",TEXT(Настройки!$J4,"ч:мм"),TEXT(Настройки!I104,"ч:мм"))+TIME(0,Декабрь!G15,0),"ч::мм"))</f>
        <v/>
      </c>
      <c r="E16" s="30" t="str">
        <f ca="1">IF(TEXT(IF(Настройки!J104="",TEXT(Настройки!$J4,"ч:мм"),TEXT(Настройки!J104,"ч:мм"))+TIME(0,Декабрь!H15,0),"ч::мм")=TEXT(IF(Настройки!J104="",TEXT(Настройки!$J4,"ч:мм"),TEXT(Настройки!J104,"ч:мм")),"ч:мм"),"",TEXT(IF(Настройки!J104="",TEXT(Настройки!$J4,"ч:мм"),TEXT(Настройки!J104,"ч:мм")),"ч:мм")&amp;"-"&amp;TEXT(IF(Настройки!J104="",TEXT(Настройки!$J4,"ч:мм"),TEXT(Настройки!J104,"ч:мм"))+TIME(0,Декабрь!H15,0),"ч::мм"))</f>
        <v/>
      </c>
      <c r="F16" s="30" t="str">
        <f ca="1">IF(TEXT(IF(Настройки!K104="",TEXT(Настройки!$J4,"ч:мм"),TEXT(Настройки!K104,"ч:мм"))+TIME(0,Декабрь!I15,0),"ч::мм")=TEXT(IF(Настройки!K104="",TEXT(Настройки!$J4,"ч:мм"),TEXT(Настройки!K104,"ч:мм")),"ч:мм"),"",TEXT(IF(Настройки!K104="",TEXT(Настройки!$J4,"ч:мм"),TEXT(Настройки!K104,"ч:мм")),"ч:мм")&amp;"-"&amp;TEXT(IF(Настройки!K104="",TEXT(Настройки!$J4,"ч:мм"),TEXT(Настройки!K104,"ч:мм"))+TIME(0,Декабрь!I15,0),"ч::мм"))</f>
        <v/>
      </c>
      <c r="G16" s="30" t="str">
        <f ca="1">IF(TEXT(IF(Настройки!L104="",TEXT(Настройки!$J4,"ч:мм"),TEXT(Настройки!L104,"ч:мм"))+TIME(0,Декабрь!J15,0),"ч::мм")=TEXT(IF(Настройки!L104="",TEXT(Настройки!$J4,"ч:мм"),TEXT(Настройки!L104,"ч:мм")),"ч:мм"),"",TEXT(IF(Настройки!L104="",TEXT(Настройки!$J4,"ч:мм"),TEXT(Настройки!L104,"ч:мм")),"ч:мм")&amp;"-"&amp;TEXT(IF(Настройки!L104="",TEXT(Настройки!$J4,"ч:мм"),TEXT(Настройки!L104,"ч:мм"))+TIME(0,Декабрь!J15,0),"ч::мм"))</f>
        <v/>
      </c>
      <c r="H16" s="30" t="str">
        <f ca="1">IF(TEXT(IF(Настройки!M104="",TEXT(Настройки!$J4,"ч:мм"),TEXT(Настройки!M104,"ч:мм"))+TIME(0,Декабрь!K15,0),"ч::мм")=TEXT(IF(Настройки!M104="",TEXT(Настройки!$J4,"ч:мм"),TEXT(Настройки!M104,"ч:мм")),"ч:мм"),"",TEXT(IF(Настройки!M104="",TEXT(Настройки!$J4,"ч:мм"),TEXT(Настройки!M104,"ч:мм")),"ч:мм")&amp;"-"&amp;TEXT(IF(Настройки!M104="",TEXT(Настройки!$J4,"ч:мм"),TEXT(Настройки!M104,"ч:мм"))+TIME(0,Декабрь!K15,0),"ч::мм"))</f>
        <v/>
      </c>
      <c r="I16" s="30" t="str">
        <f ca="1">IF(TEXT(IF(Настройки!N104="",TEXT(Настройки!$J4,"ч:мм"),TEXT(Настройки!N104,"ч:мм"))+TIME(0,Декабрь!L15,0),"ч::мм")=TEXT(IF(Настройки!N104="",TEXT(Настройки!$J4,"ч:мм"),TEXT(Настройки!N104,"ч:мм")),"ч:мм"),"",TEXT(IF(Настройки!N104="",TEXT(Настройки!$J4,"ч:мм"),TEXT(Настройки!N104,"ч:мм")),"ч:мм")&amp;"-"&amp;TEXT(IF(Настройки!N104="",TEXT(Настройки!$J4,"ч:мм"),TEXT(Настройки!N104,"ч:мм"))+TIME(0,Декабрь!L15,0),"ч::мм"))</f>
        <v/>
      </c>
      <c r="J16" s="30" t="str">
        <f ca="1">IF(TEXT(IF(Настройки!O104="",TEXT(Настройки!$J4,"ч:мм"),TEXT(Настройки!O104,"ч:мм"))+TIME(0,Декабрь!M15,0),"ч::мм")=TEXT(IF(Настройки!O104="",TEXT(Настройки!$J4,"ч:мм"),TEXT(Настройки!O104,"ч:мм")),"ч:мм"),"",TEXT(IF(Настройки!O104="",TEXT(Настройки!$J4,"ч:мм"),TEXT(Настройки!O104,"ч:мм")),"ч:мм")&amp;"-"&amp;TEXT(IF(Настройки!O104="",TEXT(Настройки!$J4,"ч:мм"),TEXT(Настройки!O104,"ч:мм"))+TIME(0,Декабрь!M15,0),"ч::мм"))</f>
        <v/>
      </c>
      <c r="K16" s="30" t="str">
        <f ca="1">IF(TEXT(IF(Настройки!P104="",TEXT(Настройки!$J4,"ч:мм"),TEXT(Настройки!P104,"ч:мм"))+TIME(0,Декабрь!N15,0),"ч::мм")=TEXT(IF(Настройки!P104="",TEXT(Настройки!$J4,"ч:мм"),TEXT(Настройки!P104,"ч:мм")),"ч:мм"),"",TEXT(IF(Настройки!P104="",TEXT(Настройки!$J4,"ч:мм"),TEXT(Настройки!P104,"ч:мм")),"ч:мм")&amp;"-"&amp;TEXT(IF(Настройки!P104="",TEXT(Настройки!$J4,"ч:мм"),TEXT(Настройки!P104,"ч:мм"))+TIME(0,Декабрь!N15,0),"ч::мм"))</f>
        <v/>
      </c>
      <c r="L16" s="30" t="str">
        <f ca="1">IF(TEXT(IF(Настройки!Q104="",TEXT(Настройки!$J4,"ч:мм"),TEXT(Настройки!Q104,"ч:мм"))+TIME(0,Декабрь!O15,0),"ч::мм")=TEXT(IF(Настройки!Q104="",TEXT(Настройки!$J4,"ч:мм"),TEXT(Настройки!Q104,"ч:мм")),"ч:мм"),"",TEXT(IF(Настройки!Q104="",TEXT(Настройки!$J4,"ч:мм"),TEXT(Настройки!Q104,"ч:мм")),"ч:мм")&amp;"-"&amp;TEXT(IF(Настройки!Q104="",TEXT(Настройки!$J4,"ч:мм"),TEXT(Настройки!Q104,"ч:мм"))+TIME(0,Декабрь!O15,0),"ч::мм"))</f>
        <v/>
      </c>
      <c r="M16" s="30" t="str">
        <f ca="1">IF(TEXT(IF(Настройки!R104="",TEXT(Настройки!$J4,"ч:мм"),TEXT(Настройки!R104,"ч:мм"))+TIME(0,Декабрь!P15,0),"ч::мм")=TEXT(IF(Настройки!R104="",TEXT(Настройки!$J4,"ч:мм"),TEXT(Настройки!R104,"ч:мм")),"ч:мм"),"",TEXT(IF(Настройки!R104="",TEXT(Настройки!$J4,"ч:мм"),TEXT(Настройки!R104,"ч:мм")),"ч:мм")&amp;"-"&amp;TEXT(IF(Настройки!R104="",TEXT(Настройки!$J4,"ч:мм"),TEXT(Настройки!R104,"ч:мм"))+TIME(0,Декабрь!P15,0),"ч::мм"))</f>
        <v/>
      </c>
      <c r="N16" s="30" t="str">
        <f ca="1">IF(TEXT(IF(Настройки!S104="",TEXT(Настройки!$J4,"ч:мм"),TEXT(Настройки!S104,"ч:мм"))+TIME(0,Декабрь!Q15,0),"ч::мм")=TEXT(IF(Настройки!S104="",TEXT(Настройки!$J4,"ч:мм"),TEXT(Настройки!S104,"ч:мм")),"ч:мм"),"",TEXT(IF(Настройки!S104="",TEXT(Настройки!$J4,"ч:мм"),TEXT(Настройки!S104,"ч:мм")),"ч:мм")&amp;"-"&amp;TEXT(IF(Настройки!S104="",TEXT(Настройки!$J4,"ч:мм"),TEXT(Настройки!S104,"ч:мм"))+TIME(0,Декабрь!Q15,0),"ч::мм"))</f>
        <v/>
      </c>
      <c r="O16" s="30" t="str">
        <f ca="1">IF(TEXT(IF(Настройки!T104="",TEXT(Настройки!$J4,"ч:мм"),TEXT(Настройки!T104,"ч:мм"))+TIME(0,Декабрь!R15,0),"ч::мм")=TEXT(IF(Настройки!T104="",TEXT(Настройки!$J4,"ч:мм"),TEXT(Настройки!T104,"ч:мм")),"ч:мм"),"",TEXT(IF(Настройки!T104="",TEXT(Настройки!$J4,"ч:мм"),TEXT(Настройки!T104,"ч:мм")),"ч:мм")&amp;"-"&amp;TEXT(IF(Настройки!T104="",TEXT(Настройки!$J4,"ч:мм"),TEXT(Настройки!T104,"ч:мм"))+TIME(0,Декабрь!R15,0),"ч::мм"))</f>
        <v/>
      </c>
      <c r="P16" s="30" t="str">
        <f ca="1">IF(TEXT(IF(Настройки!U104="",TEXT(Настройки!$J4,"ч:мм"),TEXT(Настройки!U104,"ч:мм"))+TIME(0,Декабрь!S15,0),"ч::мм")=TEXT(IF(Настройки!U104="",TEXT(Настройки!$J4,"ч:мм"),TEXT(Настройки!U104,"ч:мм")),"ч:мм"),"",TEXT(IF(Настройки!U104="",TEXT(Настройки!$J4,"ч:мм"),TEXT(Настройки!U104,"ч:мм")),"ч:мм")&amp;"-"&amp;TEXT(IF(Настройки!U104="",TEXT(Настройки!$J4,"ч:мм"),TEXT(Настройки!U104,"ч:мм"))+TIME(0,Декабрь!S15,0),"ч::мм"))</f>
        <v/>
      </c>
      <c r="S16" s="30"/>
    </row>
    <row r="18" spans="1:18" x14ac:dyDescent="0.25">
      <c r="A18" s="81"/>
      <c r="B18" s="67" t="s">
        <v>55</v>
      </c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4"/>
      <c r="Q18" s="33"/>
    </row>
    <row r="19" spans="1:18" x14ac:dyDescent="0.25">
      <c r="A19" s="83"/>
      <c r="B19" s="95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6"/>
      <c r="Q19" s="33"/>
    </row>
    <row r="20" spans="1:18" x14ac:dyDescent="0.25">
      <c r="A20" s="83"/>
      <c r="B20" s="29">
        <f>Настройки!V18</f>
        <v>45642</v>
      </c>
      <c r="C20" s="29">
        <f>Настройки!W18</f>
        <v>45643</v>
      </c>
      <c r="D20" s="29">
        <f>Настройки!X18</f>
        <v>45644</v>
      </c>
      <c r="E20" s="29">
        <f>Настройки!Y18</f>
        <v>45645</v>
      </c>
      <c r="F20" s="29">
        <f>Настройки!Z18</f>
        <v>45646</v>
      </c>
      <c r="G20" s="29">
        <f>Настройки!AA18</f>
        <v>45647</v>
      </c>
      <c r="H20" s="29">
        <f>Настройки!AB18</f>
        <v>45648</v>
      </c>
      <c r="I20" s="29">
        <f>Настройки!AC18</f>
        <v>45649</v>
      </c>
      <c r="J20" s="29">
        <f>Настройки!AD18</f>
        <v>45650</v>
      </c>
      <c r="K20" s="29">
        <f>Настройки!AE18</f>
        <v>45651</v>
      </c>
      <c r="L20" s="29">
        <f>Настройки!AF18</f>
        <v>45652</v>
      </c>
      <c r="M20" s="29">
        <f>Настройки!AG18</f>
        <v>45653</v>
      </c>
      <c r="N20" s="29">
        <f>Настройки!AH18</f>
        <v>45654</v>
      </c>
      <c r="O20" s="29">
        <f>Настройки!AI18</f>
        <v>45655</v>
      </c>
      <c r="P20" s="29">
        <f>Настройки!AJ18</f>
        <v>45656</v>
      </c>
      <c r="Q20" s="31"/>
    </row>
    <row r="21" spans="1:18" x14ac:dyDescent="0.25">
      <c r="A21" s="83"/>
      <c r="B21" s="67" t="s">
        <v>54</v>
      </c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4"/>
      <c r="Q21" s="33"/>
    </row>
    <row r="22" spans="1:18" x14ac:dyDescent="0.25">
      <c r="A22" s="84"/>
      <c r="B22" s="95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6"/>
      <c r="Q22" s="33"/>
    </row>
    <row r="23" spans="1:18" x14ac:dyDescent="0.25">
      <c r="A23" s="3" t="s">
        <v>138</v>
      </c>
      <c r="B23" s="3" t="s">
        <v>90</v>
      </c>
      <c r="C23" s="3" t="s">
        <v>91</v>
      </c>
      <c r="D23" s="3" t="s">
        <v>92</v>
      </c>
      <c r="E23" s="3" t="s">
        <v>93</v>
      </c>
      <c r="F23" s="3" t="s">
        <v>94</v>
      </c>
      <c r="G23" s="3" t="s">
        <v>95</v>
      </c>
      <c r="H23" s="3" t="s">
        <v>96</v>
      </c>
      <c r="I23" s="3" t="s">
        <v>97</v>
      </c>
      <c r="J23" s="3" t="s">
        <v>98</v>
      </c>
      <c r="K23" s="3" t="s">
        <v>99</v>
      </c>
      <c r="L23" s="3" t="s">
        <v>100</v>
      </c>
      <c r="M23" s="3" t="s">
        <v>101</v>
      </c>
      <c r="N23" s="3" t="s">
        <v>102</v>
      </c>
      <c r="O23" s="3" t="s">
        <v>103</v>
      </c>
      <c r="P23" s="3" t="s">
        <v>104</v>
      </c>
      <c r="Q23" s="9"/>
    </row>
    <row r="24" spans="1:18" x14ac:dyDescent="0.25">
      <c r="A24" s="32" t="str">
        <f t="shared" ref="A24:A26" si="0">A14</f>
        <v>9:00-9:00</v>
      </c>
      <c r="B24" s="3" t="str">
        <f>IF(TEXT(IF(Настройки!V102="",TEXT(Настройки!$J2,"ч:мм"),TEXT(Настройки!V102,"ч:мм"))+TIME(0,Декабрь!T13,0),"ч::мм")=TEXT(IF(Настройки!V102="",TEXT(Настройки!$J2,"ч:мм"),TEXT(Настройки!V102,"ч:мм")),"ч:мм"),"",TEXT(IF(Настройки!V102="",TEXT(Настройки!$J2,"ч:мм"),TEXT(Настройки!V102,"ч:мм")),"ч:мм")&amp;"-"&amp;TEXT(IF(Настройки!V102="",TEXT(Настройки!$J2,"ч:мм"),TEXT(Настройки!V102,"ч:мм"))+TIME(0,Декабрь!T13,0),"ч::мм"))</f>
        <v/>
      </c>
      <c r="C24" s="3" t="str">
        <f>IF(TEXT(IF(Настройки!W102="",TEXT(Настройки!$J2,"ч:мм"),TEXT(Настройки!W102,"ч:мм"))+TIME(0,Декабрь!U13,0),"ч::мм")=TEXT(IF(Настройки!W102="",TEXT(Настройки!$J2,"ч:мм"),TEXT(Настройки!W102,"ч:мм")),"ч:мм"),"",TEXT(IF(Настройки!W102="",TEXT(Настройки!$J2,"ч:мм"),TEXT(Настройки!W102,"ч:мм")),"ч:мм")&amp;"-"&amp;TEXT(IF(Настройки!W102="",TEXT(Настройки!$J2,"ч:мм"),TEXT(Настройки!W102,"ч:мм"))+TIME(0,Декабрь!U13,0),"ч::мм"))</f>
        <v/>
      </c>
      <c r="D24" s="3" t="str">
        <f>IF(TEXT(IF(Настройки!X102="",TEXT(Настройки!$J2,"ч:мм"),TEXT(Настройки!X102,"ч:мм"))+TIME(0,Декабрь!V13,0),"ч::мм")=TEXT(IF(Настройки!X102="",TEXT(Настройки!$J2,"ч:мм"),TEXT(Настройки!X102,"ч:мм")),"ч:мм"),"",TEXT(IF(Настройки!X102="",TEXT(Настройки!$J2,"ч:мм"),TEXT(Настройки!X102,"ч:мм")),"ч:мм")&amp;"-"&amp;TEXT(IF(Настройки!X102="",TEXT(Настройки!$J2,"ч:мм"),TEXT(Настройки!X102,"ч:мм"))+TIME(0,Декабрь!V13,0),"ч::мм"))</f>
        <v/>
      </c>
      <c r="E24" s="3" t="str">
        <f>IF(TEXT(IF(Настройки!Y102="",TEXT(Настройки!$J2,"ч:мм"),TEXT(Настройки!Y102,"ч:мм"))+TIME(0,Декабрь!W13,0),"ч::мм")=TEXT(IF(Настройки!Y102="",TEXT(Настройки!$J2,"ч:мм"),TEXT(Настройки!Y102,"ч:мм")),"ч:мм"),"",TEXT(IF(Настройки!Y102="",TEXT(Настройки!$J2,"ч:мм"),TEXT(Настройки!Y102,"ч:мм")),"ч:мм")&amp;"-"&amp;TEXT(IF(Настройки!Y102="",TEXT(Настройки!$J2,"ч:мм"),TEXT(Настройки!Y102,"ч:мм"))+TIME(0,Декабрь!W13,0),"ч::мм"))</f>
        <v/>
      </c>
      <c r="F24" s="3" t="str">
        <f>IF(TEXT(IF(Настройки!Z102="",TEXT(Настройки!$J2,"ч:мм"),TEXT(Настройки!Z102,"ч:мм"))+TIME(0,Декабрь!X13,0),"ч::мм")=TEXT(IF(Настройки!Z102="",TEXT(Настройки!$J2,"ч:мм"),TEXT(Настройки!Z102,"ч:мм")),"ч:мм"),"",TEXT(IF(Настройки!Z102="",TEXT(Настройки!$J2,"ч:мм"),TEXT(Настройки!Z102,"ч:мм")),"ч:мм")&amp;"-"&amp;TEXT(IF(Настройки!Z102="",TEXT(Настройки!$J2,"ч:мм"),TEXT(Настройки!Z102,"ч:мм"))+TIME(0,Декабрь!X13,0),"ч::мм"))</f>
        <v/>
      </c>
      <c r="G24" s="3" t="str">
        <f>IF(TEXT(IF(Настройки!AA102="",TEXT(Настройки!$J2,"ч:мм"),TEXT(Настройки!AA102,"ч:мм"))+TIME(0,Декабрь!Y13,0),"ч::мм")=TEXT(IF(Настройки!AA102="",TEXT(Настройки!$J2,"ч:мм"),TEXT(Настройки!AA102,"ч:мм")),"ч:мм"),"",TEXT(IF(Настройки!AA102="",TEXT(Настройки!$J2,"ч:мм"),TEXT(Настройки!AA102,"ч:мм")),"ч:мм")&amp;"-"&amp;TEXT(IF(Настройки!AA102="",TEXT(Настройки!$J2,"ч:мм"),TEXT(Настройки!AA102,"ч:мм"))+TIME(0,Декабрь!Y13,0),"ч::мм"))</f>
        <v/>
      </c>
      <c r="H24" s="3" t="str">
        <f>IF(TEXT(IF(Настройки!AB102="",TEXT(Настройки!$J2,"ч:мм"),TEXT(Настройки!AB102,"ч:мм"))+TIME(0,Декабрь!Z13,0),"ч::мм")=TEXT(IF(Настройки!AB102="",TEXT(Настройки!$J2,"ч:мм"),TEXT(Настройки!AB102,"ч:мм")),"ч:мм"),"",TEXT(IF(Настройки!AB102="",TEXT(Настройки!$J2,"ч:мм"),TEXT(Настройки!AB102,"ч:мм")),"ч:мм")&amp;"-"&amp;TEXT(IF(Настройки!AB102="",TEXT(Настройки!$J2,"ч:мм"),TEXT(Настройки!AB102,"ч:мм"))+TIME(0,Декабрь!Z13,0),"ч::мм"))</f>
        <v/>
      </c>
      <c r="I24" s="3" t="str">
        <f>IF(TEXT(IF(Настройки!AC102="",TEXT(Настройки!$J2,"ч:мм"),TEXT(Настройки!AC102,"ч:мм"))+TIME(0,Декабрь!AA13,0),"ч::мм")=TEXT(IF(Настройки!AC102="",TEXT(Настройки!$J2,"ч:мм"),TEXT(Настройки!AC102,"ч:мм")),"ч:мм"),"",TEXT(IF(Настройки!AC102="",TEXT(Настройки!$J2,"ч:мм"),TEXT(Настройки!AC102,"ч:мм")),"ч:мм")&amp;"-"&amp;TEXT(IF(Настройки!AC102="",TEXT(Настройки!$J2,"ч:мм"),TEXT(Настройки!AC102,"ч:мм"))+TIME(0,Декабрь!AA13,0),"ч::мм"))</f>
        <v/>
      </c>
      <c r="J24" s="3" t="str">
        <f>IF(TEXT(IF(Настройки!AD102="",TEXT(Настройки!$J2,"ч:мм"),TEXT(Настройки!AD102,"ч:мм"))+TIME(0,Декабрь!AB13,0),"ч::мм")=TEXT(IF(Настройки!AD102="",TEXT(Настройки!$J2,"ч:мм"),TEXT(Настройки!AD102,"ч:мм")),"ч:мм"),"",TEXT(IF(Настройки!AD102="",TEXT(Настройки!$J2,"ч:мм"),TEXT(Настройки!AD102,"ч:мм")),"ч:мм")&amp;"-"&amp;TEXT(IF(Настройки!AD102="",TEXT(Настройки!$J2,"ч:мм"),TEXT(Настройки!AD102,"ч:мм"))+TIME(0,Декабрь!AB13,0),"ч::мм"))</f>
        <v/>
      </c>
      <c r="K24" s="3" t="str">
        <f>IF(TEXT(IF(Настройки!AE102="",TEXT(Настройки!$J2,"ч:мм"),TEXT(Настройки!AE102,"ч:мм"))+TIME(0,Декабрь!AC13,0),"ч::мм")=TEXT(IF(Настройки!AE102="",TEXT(Настройки!$J2,"ч:мм"),TEXT(Настройки!AE102,"ч:мм")),"ч:мм"),"",TEXT(IF(Настройки!AE102="",TEXT(Настройки!$J2,"ч:мм"),TEXT(Настройки!AE102,"ч:мм")),"ч:мм")&amp;"-"&amp;TEXT(IF(Настройки!AE102="",TEXT(Настройки!$J2,"ч:мм"),TEXT(Настройки!AE102,"ч:мм"))+TIME(0,Декабрь!AC13,0),"ч::мм"))</f>
        <v/>
      </c>
      <c r="L24" s="3" t="str">
        <f>IF(TEXT(IF(Настройки!AF102="",TEXT(Настройки!$J2,"ч:мм"),TEXT(Настройки!AF102,"ч:мм"))+TIME(0,Декабрь!AD13,0),"ч::мм")=TEXT(IF(Настройки!AF102="",TEXT(Настройки!$J2,"ч:мм"),TEXT(Настройки!AF102,"ч:мм")),"ч:мм"),"",TEXT(IF(Настройки!AF102="",TEXT(Настройки!$J2,"ч:мм"),TEXT(Настройки!AF102,"ч:мм")),"ч:мм")&amp;"-"&amp;TEXT(IF(Настройки!AF102="",TEXT(Настройки!$J2,"ч:мм"),TEXT(Настройки!AF102,"ч:мм"))+TIME(0,Декабрь!AD13,0),"ч::мм"))</f>
        <v/>
      </c>
      <c r="M24" s="3" t="str">
        <f>IF(TEXT(IF(Настройки!AG102="",TEXT(Настройки!$J2,"ч:мм"),TEXT(Настройки!AG102,"ч:мм"))+TIME(0,Декабрь!AE13,0),"ч::мм")=TEXT(IF(Настройки!AG102="",TEXT(Настройки!$J2,"ч:мм"),TEXT(Настройки!AG102,"ч:мм")),"ч:мм"),"",TEXT(IF(Настройки!AG102="",TEXT(Настройки!$J2,"ч:мм"),TEXT(Настройки!AG102,"ч:мм")),"ч:мм")&amp;"-"&amp;TEXT(IF(Настройки!AG102="",TEXT(Настройки!$J2,"ч:мм"),TEXT(Настройки!AG102,"ч:мм"))+TIME(0,Декабрь!AE13,0),"ч::мм"))</f>
        <v/>
      </c>
      <c r="N24" s="3" t="str">
        <f>IF(TEXT(IF(Настройки!AH102="",TEXT(Настройки!$J2,"ч:мм"),TEXT(Настройки!AH102,"ч:мм"))+TIME(0,Декабрь!AF13,0),"ч::мм")=TEXT(IF(Настройки!AH102="",TEXT(Настройки!$J2,"ч:мм"),TEXT(Настройки!AH102,"ч:мм")),"ч:мм"),"",TEXT(IF(Настройки!AH102="",TEXT(Настройки!$J2,"ч:мм"),TEXT(Настройки!AH102,"ч:мм")),"ч:мм")&amp;"-"&amp;TEXT(IF(Настройки!AH102="",TEXT(Настройки!$J2,"ч:мм"),TEXT(Настройки!AH102,"ч:мм"))+TIME(0,Декабрь!AF13,0),"ч::мм"))</f>
        <v/>
      </c>
      <c r="O24" s="3" t="str">
        <f>IF(TEXT(IF(Настройки!AI102="",TEXT(Настройки!$J2,"ч:мм"),TEXT(Настройки!AI102,"ч:мм"))+TIME(0,Декабрь!AG13,0),"ч::мм")=TEXT(IF(Настройки!AI102="",TEXT(Настройки!$J2,"ч:мм"),TEXT(Настройки!AI102,"ч:мм")),"ч:мм"),"",TEXT(IF(Настройки!AI102="",TEXT(Настройки!$J2,"ч:мм"),TEXT(Настройки!AI102,"ч:мм")),"ч:мм")&amp;"-"&amp;TEXT(IF(Настройки!AI102="",TEXT(Настройки!$J2,"ч:мм"),TEXT(Настройки!AI102,"ч:мм"))+TIME(0,Декабрь!AG13,0),"ч::мм"))</f>
        <v/>
      </c>
      <c r="P24" s="3" t="str">
        <f>IF(TEXT(IF(Настройки!AJ102="",TEXT(Настройки!$J2,"ч:мм"),TEXT(Настройки!AJ102,"ч:мм"))+TIME(0,Декабрь!AH13,0),"ч::мм")=TEXT(IF(Настройки!AJ102="",TEXT(Настройки!$J2,"ч:мм"),TEXT(Настройки!AJ102,"ч:мм")),"ч:мм"),"",TEXT(IF(Настройки!AJ102="",TEXT(Настройки!$J2,"ч:мм"),TEXT(Настройки!AJ102,"ч:мм")),"ч:мм")&amp;"-"&amp;TEXT(IF(Настройки!AJ102="",TEXT(Настройки!$J2,"ч:мм"),TEXT(Настройки!AJ102,"ч:мм"))+TIME(0,Декабрь!AH13,0),"ч::мм"))</f>
        <v/>
      </c>
    </row>
    <row r="25" spans="1:18" x14ac:dyDescent="0.25">
      <c r="A25" s="32" t="str">
        <f t="shared" ca="1" si="0"/>
        <v>13:00-13:00</v>
      </c>
      <c r="B25" s="3" t="str">
        <f ca="1">IF(TEXT(IF(Настройки!V103="",TEXT(Настройки!$J3,"ч:мм"),TEXT(Настройки!V103,"ч:мм"))+TIME(0,Декабрь!T14,0),"ч::мм")=TEXT(IF(Настройки!V103="",TEXT(Настройки!$J3,"ч:мм"),TEXT(Настройки!V103,"ч:мм")),"ч:мм"),"",TEXT(IF(Настройки!V103="",TEXT(Настройки!$J3,"ч:мм"),TEXT(Настройки!V103,"ч:мм")),"ч:мм")&amp;"-"&amp;TEXT(IF(Настройки!V103="",TEXT(Настройки!$J3,"ч:мм"),TEXT(Настройки!V103,"ч:мм"))+TIME(0,Декабрь!T14,0),"ч::мм"))</f>
        <v/>
      </c>
      <c r="C25" s="3" t="str">
        <f ca="1">IF(TEXT(IF(Настройки!W103="",TEXT(Настройки!$J3,"ч:мм"),TEXT(Настройки!W103,"ч:мм"))+TIME(0,Декабрь!U14,0),"ч::мм")=TEXT(IF(Настройки!W103="",TEXT(Настройки!$J3,"ч:мм"),TEXT(Настройки!W103,"ч:мм")),"ч:мм"),"",TEXT(IF(Настройки!W103="",TEXT(Настройки!$J3,"ч:мм"),TEXT(Настройки!W103,"ч:мм")),"ч:мм")&amp;"-"&amp;TEXT(IF(Настройки!W103="",TEXT(Настройки!$J3,"ч:мм"),TEXT(Настройки!W103,"ч:мм"))+TIME(0,Декабрь!U14,0),"ч::мм"))</f>
        <v/>
      </c>
      <c r="D25" s="3" t="str">
        <f ca="1">IF(TEXT(IF(Настройки!X103="",TEXT(Настройки!$J3,"ч:мм"),TEXT(Настройки!X103,"ч:мм"))+TIME(0,Декабрь!V14,0),"ч::мм")=TEXT(IF(Настройки!X103="",TEXT(Настройки!$J3,"ч:мм"),TEXT(Настройки!X103,"ч:мм")),"ч:мм"),"",TEXT(IF(Настройки!X103="",TEXT(Настройки!$J3,"ч:мм"),TEXT(Настройки!X103,"ч:мм")),"ч:мм")&amp;"-"&amp;TEXT(IF(Настройки!X103="",TEXT(Настройки!$J3,"ч:мм"),TEXT(Настройки!X103,"ч:мм"))+TIME(0,Декабрь!V14,0),"ч::мм"))</f>
        <v/>
      </c>
      <c r="E25" s="3" t="str">
        <f ca="1">IF(TEXT(IF(Настройки!Y103="",TEXT(Настройки!$J3,"ч:мм"),TEXT(Настройки!Y103,"ч:мм"))+TIME(0,Декабрь!W14,0),"ч::мм")=TEXT(IF(Настройки!Y103="",TEXT(Настройки!$J3,"ч:мм"),TEXT(Настройки!Y103,"ч:мм")),"ч:мм"),"",TEXT(IF(Настройки!Y103="",TEXT(Настройки!$J3,"ч:мм"),TEXT(Настройки!Y103,"ч:мм")),"ч:мм")&amp;"-"&amp;TEXT(IF(Настройки!Y103="",TEXT(Настройки!$J3,"ч:мм"),TEXT(Настройки!Y103,"ч:мм"))+TIME(0,Декабрь!W14,0),"ч::мм"))</f>
        <v/>
      </c>
      <c r="F25" s="3" t="str">
        <f ca="1">IF(TEXT(IF(Настройки!Z103="",TEXT(Настройки!$J3,"ч:мм"),TEXT(Настройки!Z103,"ч:мм"))+TIME(0,Декабрь!X14,0),"ч::мм")=TEXT(IF(Настройки!Z103="",TEXT(Настройки!$J3,"ч:мм"),TEXT(Настройки!Z103,"ч:мм")),"ч:мм"),"",TEXT(IF(Настройки!Z103="",TEXT(Настройки!$J3,"ч:мм"),TEXT(Настройки!Z103,"ч:мм")),"ч:мм")&amp;"-"&amp;TEXT(IF(Настройки!Z103="",TEXT(Настройки!$J3,"ч:мм"),TEXT(Настройки!Z103,"ч:мм"))+TIME(0,Декабрь!X14,0),"ч::мм"))</f>
        <v/>
      </c>
      <c r="G25" s="3" t="str">
        <f ca="1">IF(TEXT(IF(Настройки!AA103="",TEXT(Настройки!$J3,"ч:мм"),TEXT(Настройки!AA103,"ч:мм"))+TIME(0,Декабрь!Y14,0),"ч::мм")=TEXT(IF(Настройки!AA103="",TEXT(Настройки!$J3,"ч:мм"),TEXT(Настройки!AA103,"ч:мм")),"ч:мм"),"",TEXT(IF(Настройки!AA103="",TEXT(Настройки!$J3,"ч:мм"),TEXT(Настройки!AA103,"ч:мм")),"ч:мм")&amp;"-"&amp;TEXT(IF(Настройки!AA103="",TEXT(Настройки!$J3,"ч:мм"),TEXT(Настройки!AA103,"ч:мм"))+TIME(0,Декабрь!Y14,0),"ч::мм"))</f>
        <v/>
      </c>
      <c r="H25" s="3" t="str">
        <f ca="1">IF(TEXT(IF(Настройки!AB103="",TEXT(Настройки!$J3,"ч:мм"),TEXT(Настройки!AB103,"ч:мм"))+TIME(0,Декабрь!Z14,0),"ч::мм")=TEXT(IF(Настройки!AB103="",TEXT(Настройки!$J3,"ч:мм"),TEXT(Настройки!AB103,"ч:мм")),"ч:мм"),"",TEXT(IF(Настройки!AB103="",TEXT(Настройки!$J3,"ч:мм"),TEXT(Настройки!AB103,"ч:мм")),"ч:мм")&amp;"-"&amp;TEXT(IF(Настройки!AB103="",TEXT(Настройки!$J3,"ч:мм"),TEXT(Настройки!AB103,"ч:мм"))+TIME(0,Декабрь!Z14,0),"ч::мм"))</f>
        <v/>
      </c>
      <c r="I25" s="3" t="str">
        <f ca="1">IF(TEXT(IF(Настройки!AC103="",TEXT(Настройки!$J3,"ч:мм"),TEXT(Настройки!AC103,"ч:мм"))+TIME(0,Декабрь!AA14,0),"ч::мм")=TEXT(IF(Настройки!AC103="",TEXT(Настройки!$J3,"ч:мм"),TEXT(Настройки!AC103,"ч:мм")),"ч:мм"),"",TEXT(IF(Настройки!AC103="",TEXT(Настройки!$J3,"ч:мм"),TEXT(Настройки!AC103,"ч:мм")),"ч:мм")&amp;"-"&amp;TEXT(IF(Настройки!AC103="",TEXT(Настройки!$J3,"ч:мм"),TEXT(Настройки!AC103,"ч:мм"))+TIME(0,Декабрь!AA14,0),"ч::мм"))</f>
        <v/>
      </c>
      <c r="J25" s="3" t="str">
        <f ca="1">IF(TEXT(IF(Настройки!AD103="",TEXT(Настройки!$J3,"ч:мм"),TEXT(Настройки!AD103,"ч:мм"))+TIME(0,Декабрь!AB14,0),"ч::мм")=TEXT(IF(Настройки!AD103="",TEXT(Настройки!$J3,"ч:мм"),TEXT(Настройки!AD103,"ч:мм")),"ч:мм"),"",TEXT(IF(Настройки!AD103="",TEXT(Настройки!$J3,"ч:мм"),TEXT(Настройки!AD103,"ч:мм")),"ч:мм")&amp;"-"&amp;TEXT(IF(Настройки!AD103="",TEXT(Настройки!$J3,"ч:мм"),TEXT(Настройки!AD103,"ч:мм"))+TIME(0,Декабрь!AB14,0),"ч::мм"))</f>
        <v/>
      </c>
      <c r="K25" s="3" t="str">
        <f ca="1">IF(TEXT(IF(Настройки!AE103="",TEXT(Настройки!$J3,"ч:мм"),TEXT(Настройки!AE103,"ч:мм"))+TIME(0,Декабрь!AC14,0),"ч::мм")=TEXT(IF(Настройки!AE103="",TEXT(Настройки!$J3,"ч:мм"),TEXT(Настройки!AE103,"ч:мм")),"ч:мм"),"",TEXT(IF(Настройки!AE103="",TEXT(Настройки!$J3,"ч:мм"),TEXT(Настройки!AE103,"ч:мм")),"ч:мм")&amp;"-"&amp;TEXT(IF(Настройки!AE103="",TEXT(Настройки!$J3,"ч:мм"),TEXT(Настройки!AE103,"ч:мм"))+TIME(0,Декабрь!AC14,0),"ч::мм"))</f>
        <v/>
      </c>
      <c r="L25" s="3" t="str">
        <f ca="1">IF(TEXT(IF(Настройки!AF103="",TEXT(Настройки!$J3,"ч:мм"),TEXT(Настройки!AF103,"ч:мм"))+TIME(0,Декабрь!AD14,0),"ч::мм")=TEXT(IF(Настройки!AF103="",TEXT(Настройки!$J3,"ч:мм"),TEXT(Настройки!AF103,"ч:мм")),"ч:мм"),"",TEXT(IF(Настройки!AF103="",TEXT(Настройки!$J3,"ч:мм"),TEXT(Настройки!AF103,"ч:мм")),"ч:мм")&amp;"-"&amp;TEXT(IF(Настройки!AF103="",TEXT(Настройки!$J3,"ч:мм"),TEXT(Настройки!AF103,"ч:мм"))+TIME(0,Декабрь!AD14,0),"ч::мм"))</f>
        <v/>
      </c>
      <c r="M25" s="3" t="str">
        <f ca="1">IF(TEXT(IF(Настройки!AG103="",TEXT(Настройки!$J3,"ч:мм"),TEXT(Настройки!AG103,"ч:мм"))+TIME(0,Декабрь!AE14,0),"ч::мм")=TEXT(IF(Настройки!AG103="",TEXT(Настройки!$J3,"ч:мм"),TEXT(Настройки!AG103,"ч:мм")),"ч:мм"),"",TEXT(IF(Настройки!AG103="",TEXT(Настройки!$J3,"ч:мм"),TEXT(Настройки!AG103,"ч:мм")),"ч:мм")&amp;"-"&amp;TEXT(IF(Настройки!AG103="",TEXT(Настройки!$J3,"ч:мм"),TEXT(Настройки!AG103,"ч:мм"))+TIME(0,Декабрь!AE14,0),"ч::мм"))</f>
        <v/>
      </c>
      <c r="N25" s="3" t="str">
        <f ca="1">IF(TEXT(IF(Настройки!AH103="",TEXT(Настройки!$J3,"ч:мм"),TEXT(Настройки!AH103,"ч:мм"))+TIME(0,Декабрь!AF14,0),"ч::мм")=TEXT(IF(Настройки!AH103="",TEXT(Настройки!$J3,"ч:мм"),TEXT(Настройки!AH103,"ч:мм")),"ч:мм"),"",TEXT(IF(Настройки!AH103="",TEXT(Настройки!$J3,"ч:мм"),TEXT(Настройки!AH103,"ч:мм")),"ч:мм")&amp;"-"&amp;TEXT(IF(Настройки!AH103="",TEXT(Настройки!$J3,"ч:мм"),TEXT(Настройки!AH103,"ч:мм"))+TIME(0,Декабрь!AF14,0),"ч::мм"))</f>
        <v/>
      </c>
      <c r="O25" s="3" t="str">
        <f ca="1">IF(TEXT(IF(Настройки!AI103="",TEXT(Настройки!$J3,"ч:мм"),TEXT(Настройки!AI103,"ч:мм"))+TIME(0,Декабрь!AG14,0),"ч::мм")=TEXT(IF(Настройки!AI103="",TEXT(Настройки!$J3,"ч:мм"),TEXT(Настройки!AI103,"ч:мм")),"ч:мм"),"",TEXT(IF(Настройки!AI103="",TEXT(Настройки!$J3,"ч:мм"),TEXT(Настройки!AI103,"ч:мм")),"ч:мм")&amp;"-"&amp;TEXT(IF(Настройки!AI103="",TEXT(Настройки!$J3,"ч:мм"),TEXT(Настройки!AI103,"ч:мм"))+TIME(0,Декабрь!AG14,0),"ч::мм"))</f>
        <v/>
      </c>
      <c r="P25" s="3" t="str">
        <f ca="1">IF(TEXT(IF(Настройки!AJ103="",TEXT(Настройки!$J3,"ч:мм"),TEXT(Настройки!AJ103,"ч:мм"))+TIME(0,Декабрь!AH14,0),"ч::мм")=TEXT(IF(Настройки!AJ103="",TEXT(Настройки!$J3,"ч:мм"),TEXT(Настройки!AJ103,"ч:мм")),"ч:мм"),"",TEXT(IF(Настройки!AJ103="",TEXT(Настройки!$J3,"ч:мм"),TEXT(Настройки!AJ103,"ч:мм")),"ч:мм")&amp;"-"&amp;TEXT(IF(Настройки!AJ103="",TEXT(Настройки!$J3,"ч:мм"),TEXT(Настройки!AJ103,"ч:мм"))+TIME(0,Декабрь!AH14,0),"ч::мм"))</f>
        <v/>
      </c>
    </row>
    <row r="26" spans="1:18" x14ac:dyDescent="0.25">
      <c r="A26" s="32" t="str">
        <f t="shared" ca="1" si="0"/>
        <v>16:00-16:00</v>
      </c>
      <c r="B26" s="3" t="str">
        <f ca="1">IF(TEXT(IF(Настройки!V104="",TEXT(Настройки!$J4,"ч:мм"),TEXT(Настройки!V104,"ч:мм"))+TIME(0,Декабрь!T15,0),"ч::мм")=TEXT(IF(Настройки!V104="",TEXT(Настройки!$J4,"ч:мм"),TEXT(Настройки!V104,"ч:мм")),"ч:мм"),"",TEXT(IF(Настройки!V104="",TEXT(Настройки!$J4,"ч:мм"),TEXT(Настройки!V104,"ч:мм")),"ч:мм")&amp;"-"&amp;TEXT(IF(Настройки!V104="",TEXT(Настройки!$J4,"ч:мм"),TEXT(Настройки!V104,"ч:мм"))+TIME(0,Декабрь!T15,0),"ч::мм"))</f>
        <v/>
      </c>
      <c r="C26" s="3" t="str">
        <f ca="1">IF(TEXT(IF(Настройки!W104="",TEXT(Настройки!$J4,"ч:мм"),TEXT(Настройки!W104,"ч:мм"))+TIME(0,Декабрь!U15,0),"ч::мм")=TEXT(IF(Настройки!W104="",TEXT(Настройки!$J4,"ч:мм"),TEXT(Настройки!W104,"ч:мм")),"ч:мм"),"",TEXT(IF(Настройки!W104="",TEXT(Настройки!$J4,"ч:мм"),TEXT(Настройки!W104,"ч:мм")),"ч:мм")&amp;"-"&amp;TEXT(IF(Настройки!W104="",TEXT(Настройки!$J4,"ч:мм"),TEXT(Настройки!W104,"ч:мм"))+TIME(0,Декабрь!U15,0),"ч::мм"))</f>
        <v/>
      </c>
      <c r="D26" s="3" t="str">
        <f ca="1">IF(TEXT(IF(Настройки!X104="",TEXT(Настройки!$J4,"ч:мм"),TEXT(Настройки!X104,"ч:мм"))+TIME(0,Декабрь!V15,0),"ч::мм")=TEXT(IF(Настройки!X104="",TEXT(Настройки!$J4,"ч:мм"),TEXT(Настройки!X104,"ч:мм")),"ч:мм"),"",TEXT(IF(Настройки!X104="",TEXT(Настройки!$J4,"ч:мм"),TEXT(Настройки!X104,"ч:мм")),"ч:мм")&amp;"-"&amp;TEXT(IF(Настройки!X104="",TEXT(Настройки!$J4,"ч:мм"),TEXT(Настройки!X104,"ч:мм"))+TIME(0,Декабрь!V15,0),"ч::мм"))</f>
        <v/>
      </c>
      <c r="E26" s="3" t="str">
        <f ca="1">IF(TEXT(IF(Настройки!Y104="",TEXT(Настройки!$J4,"ч:мм"),TEXT(Настройки!Y104,"ч:мм"))+TIME(0,Декабрь!W15,0),"ч::мм")=TEXT(IF(Настройки!Y104="",TEXT(Настройки!$J4,"ч:мм"),TEXT(Настройки!Y104,"ч:мм")),"ч:мм"),"",TEXT(IF(Настройки!Y104="",TEXT(Настройки!$J4,"ч:мм"),TEXT(Настройки!Y104,"ч:мм")),"ч:мм")&amp;"-"&amp;TEXT(IF(Настройки!Y104="",TEXT(Настройки!$J4,"ч:мм"),TEXT(Настройки!Y104,"ч:мм"))+TIME(0,Декабрь!W15,0),"ч::мм"))</f>
        <v/>
      </c>
      <c r="F26" s="3" t="str">
        <f ca="1">IF(TEXT(IF(Настройки!Z104="",TEXT(Настройки!$J4,"ч:мм"),TEXT(Настройки!Z104,"ч:мм"))+TIME(0,Декабрь!X15,0),"ч::мм")=TEXT(IF(Настройки!Z104="",TEXT(Настройки!$J4,"ч:мм"),TEXT(Настройки!Z104,"ч:мм")),"ч:мм"),"",TEXT(IF(Настройки!Z104="",TEXT(Настройки!$J4,"ч:мм"),TEXT(Настройки!Z104,"ч:мм")),"ч:мм")&amp;"-"&amp;TEXT(IF(Настройки!Z104="",TEXT(Настройки!$J4,"ч:мм"),TEXT(Настройки!Z104,"ч:мм"))+TIME(0,Декабрь!X15,0),"ч::мм"))</f>
        <v/>
      </c>
      <c r="G26" s="3" t="str">
        <f ca="1">IF(TEXT(IF(Настройки!AA104="",TEXT(Настройки!$J4,"ч:мм"),TEXT(Настройки!AA104,"ч:мм"))+TIME(0,Декабрь!Y15,0),"ч::мм")=TEXT(IF(Настройки!AA104="",TEXT(Настройки!$J4,"ч:мм"),TEXT(Настройки!AA104,"ч:мм")),"ч:мм"),"",TEXT(IF(Настройки!AA104="",TEXT(Настройки!$J4,"ч:мм"),TEXT(Настройки!AA104,"ч:мм")),"ч:мм")&amp;"-"&amp;TEXT(IF(Настройки!AA104="",TEXT(Настройки!$J4,"ч:мм"),TEXT(Настройки!AA104,"ч:мм"))+TIME(0,Декабрь!Y15,0),"ч::мм"))</f>
        <v/>
      </c>
      <c r="H26" s="3" t="str">
        <f ca="1">IF(TEXT(IF(Настройки!AB104="",TEXT(Настройки!$J4,"ч:мм"),TEXT(Настройки!AB104,"ч:мм"))+TIME(0,Декабрь!Z15,0),"ч::мм")=TEXT(IF(Настройки!AB104="",TEXT(Настройки!$J4,"ч:мм"),TEXT(Настройки!AB104,"ч:мм")),"ч:мм"),"",TEXT(IF(Настройки!AB104="",TEXT(Настройки!$J4,"ч:мм"),TEXT(Настройки!AB104,"ч:мм")),"ч:мм")&amp;"-"&amp;TEXT(IF(Настройки!AB104="",TEXT(Настройки!$J4,"ч:мм"),TEXT(Настройки!AB104,"ч:мм"))+TIME(0,Декабрь!Z15,0),"ч::мм"))</f>
        <v/>
      </c>
      <c r="I26" s="3" t="str">
        <f ca="1">IF(TEXT(IF(Настройки!AC104="",TEXT(Настройки!$J4,"ч:мм"),TEXT(Настройки!AC104,"ч:мм"))+TIME(0,Декабрь!AA15,0),"ч::мм")=TEXT(IF(Настройки!AC104="",TEXT(Настройки!$J4,"ч:мм"),TEXT(Настройки!AC104,"ч:мм")),"ч:мм"),"",TEXT(IF(Настройки!AC104="",TEXT(Настройки!$J4,"ч:мм"),TEXT(Настройки!AC104,"ч:мм")),"ч:мм")&amp;"-"&amp;TEXT(IF(Настройки!AC104="",TEXT(Настройки!$J4,"ч:мм"),TEXT(Настройки!AC104,"ч:мм"))+TIME(0,Декабрь!AA15,0),"ч::мм"))</f>
        <v/>
      </c>
      <c r="J26" s="3" t="str">
        <f ca="1">IF(TEXT(IF(Настройки!AD104="",TEXT(Настройки!$J4,"ч:мм"),TEXT(Настройки!AD104,"ч:мм"))+TIME(0,Декабрь!AB15,0),"ч::мм")=TEXT(IF(Настройки!AD104="",TEXT(Настройки!$J4,"ч:мм"),TEXT(Настройки!AD104,"ч:мм")),"ч:мм"),"",TEXT(IF(Настройки!AD104="",TEXT(Настройки!$J4,"ч:мм"),TEXT(Настройки!AD104,"ч:мм")),"ч:мм")&amp;"-"&amp;TEXT(IF(Настройки!AD104="",TEXT(Настройки!$J4,"ч:мм"),TEXT(Настройки!AD104,"ч:мм"))+TIME(0,Декабрь!AB15,0),"ч::мм"))</f>
        <v/>
      </c>
      <c r="K26" s="3" t="str">
        <f ca="1">IF(TEXT(IF(Настройки!AE104="",TEXT(Настройки!$J4,"ч:мм"),TEXT(Настройки!AE104,"ч:мм"))+TIME(0,Декабрь!AC15,0),"ч::мм")=TEXT(IF(Настройки!AE104="",TEXT(Настройки!$J4,"ч:мм"),TEXT(Настройки!AE104,"ч:мм")),"ч:мм"),"",TEXT(IF(Настройки!AE104="",TEXT(Настройки!$J4,"ч:мм"),TEXT(Настройки!AE104,"ч:мм")),"ч:мм")&amp;"-"&amp;TEXT(IF(Настройки!AE104="",TEXT(Настройки!$J4,"ч:мм"),TEXT(Настройки!AE104,"ч:мм"))+TIME(0,Декабрь!AC15,0),"ч::мм"))</f>
        <v/>
      </c>
      <c r="L26" s="3" t="str">
        <f ca="1">IF(TEXT(IF(Настройки!AF104="",TEXT(Настройки!$J4,"ч:мм"),TEXT(Настройки!AF104,"ч:мм"))+TIME(0,Декабрь!AD15,0),"ч::мм")=TEXT(IF(Настройки!AF104="",TEXT(Настройки!$J4,"ч:мм"),TEXT(Настройки!AF104,"ч:мм")),"ч:мм"),"",TEXT(IF(Настройки!AF104="",TEXT(Настройки!$J4,"ч:мм"),TEXT(Настройки!AF104,"ч:мм")),"ч:мм")&amp;"-"&amp;TEXT(IF(Настройки!AF104="",TEXT(Настройки!$J4,"ч:мм"),TEXT(Настройки!AF104,"ч:мм"))+TIME(0,Декабрь!AD15,0),"ч::мм"))</f>
        <v/>
      </c>
      <c r="M26" s="3" t="str">
        <f ca="1">IF(TEXT(IF(Настройки!AG104="",TEXT(Настройки!$J4,"ч:мм"),TEXT(Настройки!AG104,"ч:мм"))+TIME(0,Декабрь!AE15,0),"ч::мм")=TEXT(IF(Настройки!AG104="",TEXT(Настройки!$J4,"ч:мм"),TEXT(Настройки!AG104,"ч:мм")),"ч:мм"),"",TEXT(IF(Настройки!AG104="",TEXT(Настройки!$J4,"ч:мм"),TEXT(Настройки!AG104,"ч:мм")),"ч:мм")&amp;"-"&amp;TEXT(IF(Настройки!AG104="",TEXT(Настройки!$J4,"ч:мм"),TEXT(Настройки!AG104,"ч:мм"))+TIME(0,Декабрь!AE15,0),"ч::мм"))</f>
        <v/>
      </c>
      <c r="N26" s="3" t="str">
        <f ca="1">IF(TEXT(IF(Настройки!AH104="",TEXT(Настройки!$J4,"ч:мм"),TEXT(Настройки!AH104,"ч:мм"))+TIME(0,Декабрь!AF15,0),"ч::мм")=TEXT(IF(Настройки!AH104="",TEXT(Настройки!$J4,"ч:мм"),TEXT(Настройки!AH104,"ч:мм")),"ч:мм"),"",TEXT(IF(Настройки!AH104="",TEXT(Настройки!$J4,"ч:мм"),TEXT(Настройки!AH104,"ч:мм")),"ч:мм")&amp;"-"&amp;TEXT(IF(Настройки!AH104="",TEXT(Настройки!$J4,"ч:мм"),TEXT(Настройки!AH104,"ч:мм"))+TIME(0,Декабрь!AF15,0),"ч::мм"))</f>
        <v/>
      </c>
      <c r="O26" s="3" t="str">
        <f ca="1">IF(TEXT(IF(Настройки!AI104="",TEXT(Настройки!$J4,"ч:мм"),TEXT(Настройки!AI104,"ч:мм"))+TIME(0,Декабрь!AG15,0),"ч::мм")=TEXT(IF(Настройки!AI104="",TEXT(Настройки!$J4,"ч:мм"),TEXT(Настройки!AI104,"ч:мм")),"ч:мм"),"",TEXT(IF(Настройки!AI104="",TEXT(Настройки!$J4,"ч:мм"),TEXT(Настройки!AI104,"ч:мм")),"ч:мм")&amp;"-"&amp;TEXT(IF(Настройки!AI104="",TEXT(Настройки!$J4,"ч:мм"),TEXT(Настройки!AI104,"ч:мм"))+TIME(0,Декабрь!AG15,0),"ч::мм"))</f>
        <v/>
      </c>
      <c r="P26" s="3" t="str">
        <f ca="1">IF(TEXT(IF(Настройки!AJ104="",TEXT(Настройки!$J4,"ч:мм"),TEXT(Настройки!AJ104,"ч:мм"))+TIME(0,Декабрь!AH15,0),"ч::мм")=TEXT(IF(Настройки!AJ104="",TEXT(Настройки!$J4,"ч:мм"),TEXT(Настройки!AJ104,"ч:мм")),"ч:мм"),"",TEXT(IF(Настройки!AJ104="",TEXT(Настройки!$J4,"ч:мм"),TEXT(Настройки!AJ104,"ч:мм")),"ч:мм")&amp;"-"&amp;TEXT(IF(Настройки!AJ104="",TEXT(Настройки!$J4,"ч:мм"),TEXT(Настройки!AJ104,"ч:мм"))+TIME(0,Декабрь!AH15,0),"ч::мм"))</f>
        <v/>
      </c>
    </row>
    <row r="27" spans="1:18" x14ac:dyDescent="0.25">
      <c r="Q27" s="9"/>
      <c r="R27" s="9"/>
    </row>
    <row r="28" spans="1:18" x14ac:dyDescent="0.25">
      <c r="A28" s="81"/>
      <c r="B28" s="67" t="s">
        <v>55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4"/>
      <c r="Q28" s="33"/>
      <c r="R28" s="9"/>
    </row>
    <row r="29" spans="1:18" x14ac:dyDescent="0.25">
      <c r="A29" s="83"/>
      <c r="B29" s="95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6"/>
      <c r="Q29" s="33"/>
      <c r="R29" s="9"/>
    </row>
    <row r="30" spans="1:18" x14ac:dyDescent="0.25">
      <c r="A30" s="83"/>
      <c r="B30" s="29">
        <f>Настройки!AK18</f>
        <v>45657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31"/>
      <c r="R30" s="9"/>
    </row>
    <row r="31" spans="1:18" x14ac:dyDescent="0.25">
      <c r="A31" s="83"/>
      <c r="B31" s="67" t="s">
        <v>54</v>
      </c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4"/>
      <c r="Q31" s="33"/>
      <c r="R31" s="9"/>
    </row>
    <row r="32" spans="1:18" x14ac:dyDescent="0.25">
      <c r="A32" s="84"/>
      <c r="B32" s="95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6"/>
      <c r="Q32" s="33"/>
      <c r="R32" s="9"/>
    </row>
    <row r="33" spans="1:16" x14ac:dyDescent="0.25">
      <c r="A33" s="3" t="s">
        <v>138</v>
      </c>
      <c r="B33" s="3" t="s">
        <v>113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</row>
    <row r="34" spans="1:16" x14ac:dyDescent="0.25">
      <c r="A34" s="32" t="str">
        <f t="shared" ref="A34:A36" si="1">A14</f>
        <v>9:00-9:00</v>
      </c>
      <c r="B34" s="3" t="str">
        <f>IF(TEXT(IF(Настройки!AK102="",TEXT(Настройки!$J2,"ч:мм"),TEXT(Настройки!AK102,"ч:мм"))+TIME(0,Декабрь!AI13,0),"ч::мм")=TEXT(IF(Настройки!AK102="",TEXT(Настройки!$J2,"ч:мм"),TEXT(Настройки!AK102,"ч:мм")),"ч:мм"),"",TEXT(IF(Настройки!AK102="",TEXT(Настройки!$J2,"ч:мм"),TEXT(Настройки!AK102,"ч:мм")),"ч:мм")&amp;"-"&amp;TEXT(IF(Настройки!AK102="",TEXT(Настройки!$J2,"ч:мм"),TEXT(Настройки!AK102,"ч:мм"))+TIME(0,Декабрь!AI13,0),"ч::мм"))</f>
        <v/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</row>
    <row r="35" spans="1:16" x14ac:dyDescent="0.25">
      <c r="A35" s="32" t="str">
        <f t="shared" ca="1" si="1"/>
        <v>13:00-13:00</v>
      </c>
      <c r="B35" s="3" t="str">
        <f ca="1">IF(TEXT(IF(Настройки!AK103="",TEXT(Настройки!$J3,"ч:мм"),TEXT(Настройки!AK103,"ч:мм"))+TIME(0,Декабрь!AI14,0),"ч::мм")=TEXT(IF(Настройки!AK103="",TEXT(Настройки!$J3,"ч:мм"),TEXT(Настройки!AK103,"ч:мм")),"ч:мм"),"",TEXT(IF(Настройки!AK103="",TEXT(Настройки!$J3,"ч:мм"),TEXT(Настройки!AK103,"ч:мм")),"ч:мм")&amp;"-"&amp;TEXT(IF(Настройки!AK103="",TEXT(Настройки!$J3,"ч:мм"),TEXT(Настройки!AK103,"ч:мм"))+TIME(0,Декабрь!AI14,0),"ч::мм"))</f>
        <v/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</row>
    <row r="36" spans="1:16" x14ac:dyDescent="0.25">
      <c r="A36" s="32" t="str">
        <f t="shared" ca="1" si="1"/>
        <v>16:00-16:00</v>
      </c>
      <c r="B36" s="3" t="str">
        <f ca="1">IF(TEXT(IF(Настройки!AK104="",TEXT(Настройки!$J4,"ч:мм"),TEXT(Настройки!AK104,"ч:мм"))+TIME(0,Декабрь!AI15,0),"ч::мм")=TEXT(IF(Настройки!AK104="",TEXT(Настройки!$J4,"ч:мм"),TEXT(Настройки!AK104,"ч:мм")),"ч:мм"),"",TEXT(IF(Настройки!AK104="",TEXT(Настройки!$J4,"ч:мм"),TEXT(Настройки!AK104,"ч:мм")),"ч:мм")&amp;"-"&amp;TEXT(IF(Настройки!AK104="",TEXT(Настройки!$J4,"ч:мм"),TEXT(Настройки!AK104,"ч:мм"))+TIME(0,Декабрь!AI15,0),"ч::мм"))</f>
        <v/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</row>
  </sheetData>
  <mergeCells count="12">
    <mergeCell ref="A18:A22"/>
    <mergeCell ref="B18:P19"/>
    <mergeCell ref="B21:P22"/>
    <mergeCell ref="A28:A32"/>
    <mergeCell ref="B28:P29"/>
    <mergeCell ref="B31:P32"/>
    <mergeCell ref="A2:P2"/>
    <mergeCell ref="F6:G6"/>
    <mergeCell ref="H6:I6"/>
    <mergeCell ref="A8:A12"/>
    <mergeCell ref="B8:P9"/>
    <mergeCell ref="B11:P12"/>
  </mergeCells>
  <conditionalFormatting sqref="B10:P10">
    <cfRule type="expression" dxfId="57" priority="3">
      <formula>WEEKDAY(B10:P10,2)&gt;5</formula>
    </cfRule>
  </conditionalFormatting>
  <conditionalFormatting sqref="B20:P20">
    <cfRule type="expression" dxfId="56" priority="2">
      <formula>WEEKDAY(B20:P20,2)&gt;5</formula>
    </cfRule>
  </conditionalFormatting>
  <conditionalFormatting sqref="B30">
    <cfRule type="expression" dxfId="55" priority="1">
      <formula>WEEKDAY(B30,2)&gt;5</formula>
    </cfRule>
  </conditionalFormatting>
  <pageMargins left="0.25" right="0.25" top="0.75" bottom="0.75" header="0.3" footer="0.3"/>
  <pageSetup paperSize="9" scale="76" fitToHeight="0" orientation="landscape" horizontalDpi="0" verticalDpi="0" r:id="rId1"/>
  <ignoredErrors>
    <ignoredError sqref="A14:A16" formulaRange="1"/>
  </ignoredErrors>
  <tableParts count="3">
    <tablePart r:id="rId2"/>
    <tablePart r:id="rId3"/>
    <tablePart r:id="rId4"/>
  </tableParts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month" Type="http://schemas.openxmlformats.org/officeDocument/2006/relationships/image" Target="images/btn-month.png"/><Relationship Id="btn-collapse" Type="http://schemas.openxmlformats.org/officeDocument/2006/relationships/image" Target="images/btn-collapse.png"/><Relationship Id="select-list" Type="http://schemas.openxmlformats.org/officeDocument/2006/relationships/image" Target="images/select-list.png"/><Relationship Id="services" Type="http://schemas.openxmlformats.org/officeDocument/2006/relationships/image" Target="images/services.png"/><Relationship Id="btn-ok" Type="http://schemas.openxmlformats.org/officeDocument/2006/relationships/image" Target="images/btn-ok.png"/><Relationship Id="clear-errors" Type="http://schemas.openxmlformats.org/officeDocument/2006/relationships/image" Target="images/clear-errors.png"/><Relationship Id="btn-list" Type="http://schemas.openxmlformats.org/officeDocument/2006/relationships/image" Target="images/btn-list.png"/><Relationship Id="graph-icon" Type="http://schemas.openxmlformats.org/officeDocument/2006/relationships/image" Target="images/graph-icon.png"/><Relationship Id="Main" Type="http://schemas.openxmlformats.org/officeDocument/2006/relationships/image" Target="images/Main.png"/><Relationship Id="btn-prev" Type="http://schemas.openxmlformats.org/officeDocument/2006/relationships/image" Target="images/btn-prev.png"/><Relationship Id="btn-exit" Type="http://schemas.openxmlformats.org/officeDocument/2006/relationships/image" Target="images/btn-exit.png"/><Relationship Id="btn-resize" Type="http://schemas.openxmlformats.org/officeDocument/2006/relationships/image" Target="images/btn-resize.png"/><Relationship Id="config-icon" Type="http://schemas.openxmlformats.org/officeDocument/2006/relationships/image" Target="images/config-icon.png"/><Relationship Id="btn-config" Type="http://schemas.openxmlformats.org/officeDocument/2006/relationships/image" Target="images/btn-config.png"/><Relationship Id="btn-up" Type="http://schemas.openxmlformats.org/officeDocument/2006/relationships/image" Target="images/btn-up.png"/><Relationship Id="btn-expand" Type="http://schemas.openxmlformats.org/officeDocument/2006/relationships/image" Target="images/btn-expand.png"/><Relationship Id="btn-next" Type="http://schemas.openxmlformats.org/officeDocument/2006/relationships/image" Target="images/btn-next.png"/></Relationships>
</file>

<file path=customUI/customUI14.xml><?xml version="1.0" encoding="utf-8"?>
<customUI xmlns="http://schemas.microsoft.com/office/2009/07/customui" onLoad="RibbonOnLoad">
  <ribbon startFromScratch="false">
    <tabs>
      <tab id="ServicesID" label="Управление" getVisible="GetVisible" tag="Services">
        <group id="BaseID" label="Перемещения по страницам" getVisible="GetterVisible" tag="Base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menu id="MonthID" label="Месяцы" image="btn-month">
              <button id="onJanID" label="Январь Месяц" image="btn-list" onAction="JanuaryClick"/>
              <button id="onFebID" label="Февраль Месяц" image="btn-list" onAction="FebruaryClick"/>
              <button id="onMarID" label="Март Месяц" image="btn-list" onAction="MarchClick"/>
              <button id="onAprID" label="Апрель Месяц" image="btn-list" onAction="AprilClick"/>
              <button id="onMayID" label="Май Месяц" image="btn-list" onAction="MayClick"/>
              <button id="onJuneID" label="Июнь Месяц" image="btn-list" onAction="JuneClick"/>
              <button id="onJulyID" label="Июль Месяц" image="btn-list" onAction="JulyClick"/>
              <button id="onAugID" label="Август Месяц" image="btn-list" onAction="AugustClick"/>
              <button id="onSeptID" label="Сентябрь Месяц" image="btn-list" onAction="SeptemberClick"/>
              <button id="onOctID" label="Октябрь Месяц" image="btn-list" onAction="OctoberClick"/>
              <button id="onNovID" label="Ноябрь Месяц" image="btn-list" onAction="NovemberClick"/>
              <button id="onDecID" label="Декабрь Месяц" image="btn-list" onAction="DecemberClick"/>
            </menu>
            <menu id="GraphID" label="Графики" image="graph-icon">
              <button id="onGraphJanID" label="Январь График" image="btn-list" onAction="JanuaryGraph"/>
              <button id="onGraphFebID" label="Февраль График" image="btn-list" onAction="FebruaryGraph"/>
              <button id="onGraphMarID" label="Март График" image="btn-list" onAction="MarchGraph"/>
              <button id="onGraphAprID" label="Апрель График" image="btn-list" onAction="AprilGraph"/>
              <button id="onGraphMayID" label="Май График" image="btn-list" onAction="MayGraph"/>
              <button id="onGraphJuneID" label="Июнь График" image="btn-list" onAction="JuneGraph"/>
              <button id="onGraphJulyID" label="Июль График" image="btn-list" onAction="JulyGraph"/>
              <button id="onGraphAugID" label="Август График" image="btn-list" onAction="AugustGraph"/>
              <button id="onGraphSeptID" label="Сентябрь График" image="btn-list" onAction="SeptemberGraph"/>
              <button id="onGraphOctID" label="Октябрь График" image="btn-list" onAction="OctoberGraph"/>
              <button id="onGraphNovID" label="Ноябрь График" image="btn-list" onAction="NovemberGraph"/>
              <button id="onGraphDecID" label="Декабрь График" image="btn-list" onAction="DecemberGraph"/>
            </menu>
          </menu>
          <button id="PrevID" label="Предыдущая" image="btn-prev" size="large" onAction="PrevClick"/>
          <button id="NextID" label="Следующая" image="btn-next" size="large" onAction="NextClick"/>
        </group>
        <group id="ConfigID" label="Параметры" getVisible="GetterVisible" tag="BaseConfig">
          <menu id="ParamID" label="Настройки" image="btn-config" size="large">
            <button id="TableConfigID" label="Настройки таблиц" image="config-icon" onAction="TableConfigClick"/>
            <button id="ListSocialID" label="Настройка списка услуг" image="services" onAction="ListSocialClick"/>
          </menu>
        </group>
        <group id="MonthsID" label="Перемещения по страницам" getVisible="GetterVisible" tag="Month">
          <button id="MonthMainID" label="Домой" image="Main" size="large" onAction="MainClick"/>
          <menu id="MonthSelectListID" label="Выбрать страницу" image="select-list" size="large">
            <button id="MonthOnMainID" label="Домой" image="Main" onAction="MainClick"/>
            <menu id="MonthMonthID" label="Месяцы" image="btn-month">
              <button id="MonthOnJanID" label="Январь Месяц" image="btn-list" onAction="JanuaryClick"/>
              <button id="MonthOnFebID" label="Февраль Месяц" image="btn-list" onAction="FebruaryClick"/>
              <button id="MonthOnMarID" label="Март Месяц" image="btn-list" onAction="MarchClick"/>
              <button id="MonthOnAprID" label="Апрель Месяц" image="btn-list" onAction="AprilClick"/>
              <button id="MonthOnMayID" label="Май Месяц" image="btn-list" onAction="MayClick"/>
              <button id="MonthOnJuneID" label="Июнь Месяц" image="btn-list" onAction="JuneClick"/>
              <button id="MonthOnJulyID" label="Июль Месяц" image="btn-list" onAction="JulyClick"/>
              <button id="MonthOnAugID" label="Август Месяц" image="btn-list" onAction="AugustClick"/>
              <button id="MonthOnSeptID" label="Сентябрь Месяц" image="btn-list" onAction="SeptemberClick"/>
              <button id="MonthOnOctID" label="Октябрь Месяц" image="btn-list" onAction="OctoberClick"/>
              <button id="MonthOnNovID" label="Ноябрь Месяц" image="btn-list" onAction="NovemberClick"/>
              <button id="MonthOnDecID" label="Декабрь Месяц" image="btn-list" onAction="DecemberClick"/>
            </menu>
            <menu id="MonthGraphID" label="Графики" image="graph-icon">
              <button id="MonthOnGraphJanID" label="Январь График" image="btn-list" onAction="JanuaryGraph"/>
              <button id="MonthOnGraphFebID" label="Февраль График" image="btn-list" onAction="FebruaryGraph"/>
              <button id="MonthOnGraphMarID" label="Март График" image="btn-list" onAction="MarchGraph"/>
              <button id="MonthOnGraphAprID" label="Апрель График" image="btn-list" onAction="AprilGraph"/>
              <button id="MonthOnGraphMayID" label="Май График" image="btn-list" onAction="MayGraph"/>
              <button id="MonthOnGraphJuneID" label="Июнь График" image="btn-list" onAction="JuneGraph"/>
              <button id="MonthOnGraphJulyID" label="Июль График" image="btn-list" onAction="JulyGraph"/>
              <button id="MonthOnGraphAugID" label="Август График" image="btn-list" onAction="AugustGraph"/>
              <button id="MonthOnGraphSeptID" label="Сентябрь График" image="btn-list" onAction="SeptemberGraph"/>
              <button id="MonthOnGraphOctID" label="Октябрь График" image="btn-list" onAction="OctoberGraph"/>
              <button id="MonthOnGraphNovID" label="Ноябрь График" image="btn-list" onAction="NovemberGraph"/>
              <button id="MonthOnGraphDecID" label="Декабрь График" image="btn-list" onAction="DecemberGraph"/>
            </menu>
          </menu>
          <button id="MonthDownID" label="Вниз" image="btn-down" size="large" onAction="DownClick"/>
          <button id="MonthUpID" label="Вверх" image="btn-up" size="large" onAction="UpClick"/>
          <button id="MonthPrevID" label="Предыдущая" image="btn-prev" size="large" onAction="PrevClick"/>
          <button id="MonthNextID" label="Следующая" image="btn-next" size="large" onAction="NextClick"/>
        </group>
        <group id="MonthConfigID" label="Параметры" getVisible="GetterVisible" tag="MonthConfig">
          <button id="MonthResizeID" label="Подогнать размеры" image="btn-resize" size="large" onAction="MonthResizeClick"/>
          <menu id="MonthParamID" label="Настройки" image="btn-config" size="large">
            <button id="MonthTableConfigID" label="Настройки таблиц" image="config-icon" onAction="TableConfigClick"/>
            <button id="MonthListSocialID" label="Настройка списка услуг" image="services" onAction="ListSocialClick"/>
          </menu>
        </group>
      </tab>
      <tab id="EditorID" label="Изменения" getVisible="GetVisible" tag="Editor">
        <group id="EditionID" label="Редактирование списка" getVisible="GetterVisible" tag="EditionList">
          <dropDown id="DroDownID" label="Выбор услуги" imageMso="SelectRow" getItemCount="getItemCount" getItemImage="getItemImage" getItemLabel="getItemLabel" onAction="dropDownClick"/>
          <button id="AddID" label="Добавить услугу" image="btn-expand" size="large" onAction="AddClick"/>
          <button id="AllAddID" label="Добавить все" imageMso="SelectColumn" size="large" onAction="AllAddClick"/>
          <separator id="sepEditID"/>
          <button id="DelID" label="Удалить выделенную" image="btn-collapse" size="large" onAction="DellClick"/>
          <button id="AllDelID" label="Очистить список" image="clear-errors" size="large" onAction="AllDellClick"/>
        </group>
        <group id="EditionFineID" label="Завершение" getVisible="GetterVisible" tag="EditionFine">
          <button id="OkID" label="Применить список" image="btn-ok" size="large" onAction="UsesClick"/>
          <button id="FinishID" label="Завершить редиктирование" image="btn-exit" size="large" onAction="FinishClick"/>
        </group>
        <group id="EndID" label="Завершение" getVisible="GetterVisible" tag="End">
          <button id="EndResizeID" label="Подогнать размеры" image="btn-resize" size="large" onAction="ConfigResizeClick"/>
          <button id="EndFinishID" label="Завершить редиктирование" image="btn-exit" size="large" onAction="Finish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12</vt:i4>
      </vt:variant>
    </vt:vector>
  </HeadingPairs>
  <TitlesOfParts>
    <vt:vector size="38" baseType="lpstr">
      <vt:lpstr>Настройки</vt:lpstr>
      <vt:lpstr>СписокУслуг</vt:lpstr>
      <vt:lpstr>Январь</vt:lpstr>
      <vt:lpstr>ГрЯнварь</vt:lpstr>
      <vt:lpstr>Февраль</vt:lpstr>
      <vt:lpstr>ГрФевраль</vt:lpstr>
      <vt:lpstr>Март</vt:lpstr>
      <vt:lpstr>ГрМарт</vt:lpstr>
      <vt:lpstr>Апрель</vt:lpstr>
      <vt:lpstr>ГрАпрель</vt:lpstr>
      <vt:lpstr>Май</vt:lpstr>
      <vt:lpstr>ГрМай</vt:lpstr>
      <vt:lpstr>Июнь</vt:lpstr>
      <vt:lpstr>ГрИюнь</vt:lpstr>
      <vt:lpstr>Июль</vt:lpstr>
      <vt:lpstr>ГрИюль</vt:lpstr>
      <vt:lpstr>Август</vt:lpstr>
      <vt:lpstr>ГрАвгуст</vt:lpstr>
      <vt:lpstr>Сентябрь</vt:lpstr>
      <vt:lpstr>ГрСентябрь</vt:lpstr>
      <vt:lpstr>Октябрь</vt:lpstr>
      <vt:lpstr>ГрОктябрь</vt:lpstr>
      <vt:lpstr>Ноябрь</vt:lpstr>
      <vt:lpstr>ГрНоябрь</vt:lpstr>
      <vt:lpstr>Декабрь</vt:lpstr>
      <vt:lpstr>ГрДекабрь</vt:lpstr>
      <vt:lpstr>Август!Заголовки_для_печати</vt:lpstr>
      <vt:lpstr>Апрель!Заголовки_для_печати</vt:lpstr>
      <vt:lpstr>Декабрь!Заголовки_для_печати</vt:lpstr>
      <vt:lpstr>Июль!Заголовки_для_печати</vt:lpstr>
      <vt:lpstr>Июнь!Заголовки_для_печати</vt:lpstr>
      <vt:lpstr>Май!Заголовки_для_печати</vt:lpstr>
      <vt:lpstr>Март!Заголовки_для_печати</vt:lpstr>
      <vt:lpstr>Ноябрь!Заголовки_для_печати</vt:lpstr>
      <vt:lpstr>Октябрь!Заголовки_для_печати</vt:lpstr>
      <vt:lpstr>Сентябрь!Заголовки_для_печати</vt:lpstr>
      <vt:lpstr>Февраль!Заголовки_для_печати</vt:lpstr>
      <vt:lpstr>Январь!Заголовки_для_печати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utv2</cp:lastModifiedBy>
  <dcterms:created xsi:type="dcterms:W3CDTF">2006-09-16T00:00:00Z</dcterms:created>
  <dcterms:modified xsi:type="dcterms:W3CDTF">2024-04-08T11:18:13Z</dcterms:modified>
</cp:coreProperties>
</file>