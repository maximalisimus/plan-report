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Загрузки\temp\План-отчет\"/>
    </mc:Choice>
  </mc:AlternateContent>
  <bookViews>
    <workbookView xWindow="240" yWindow="105" windowWidth="14805" windowHeight="8010" firstSheet="2" activeTab="2"/>
  </bookViews>
  <sheets>
    <sheet name="Настройки" sheetId="1" state="hidden" r:id="rId1"/>
    <sheet name="СписокУслуг" sheetId="26" state="hidden" r:id="rId2"/>
    <sheet name="Январь" sheetId="10" r:id="rId3"/>
    <sheet name="ГрЯнварь" sheetId="14" r:id="rId4"/>
    <sheet name="Февраль" sheetId="9" r:id="rId5"/>
    <sheet name="ГрФевраль" sheetId="15" r:id="rId6"/>
    <sheet name="Март" sheetId="8" r:id="rId7"/>
    <sheet name="ГрМарт" sheetId="16" r:id="rId8"/>
    <sheet name="Апрель" sheetId="7" r:id="rId9"/>
    <sheet name="ГрАпрель" sheetId="17" r:id="rId10"/>
    <sheet name="Май" sheetId="6" r:id="rId11"/>
    <sheet name="ГрМай" sheetId="18" r:id="rId12"/>
    <sheet name="Июнь" sheetId="5" r:id="rId13"/>
    <sheet name="ГрИюнь" sheetId="19" r:id="rId14"/>
    <sheet name="Июль" sheetId="4" r:id="rId15"/>
    <sheet name="ГрИюль" sheetId="20" r:id="rId16"/>
    <sheet name="Август" sheetId="3" r:id="rId17"/>
    <sheet name="ГрАвгуст" sheetId="21" r:id="rId18"/>
    <sheet name="Сентябрь" sheetId="2" r:id="rId19"/>
    <sheet name="ГрСентябрь" sheetId="22" r:id="rId20"/>
    <sheet name="Октябрь" sheetId="11" r:id="rId21"/>
    <sheet name="ГрОктябрь" sheetId="23" r:id="rId22"/>
    <sheet name="Ноябрь" sheetId="12" r:id="rId23"/>
    <sheet name="ГрНоябрь" sheetId="24" r:id="rId24"/>
    <sheet name="Декабрь" sheetId="13" r:id="rId25"/>
    <sheet name="ГрДекабрь" sheetId="25" r:id="rId26"/>
  </sheets>
  <functionGroups builtInGroupCount="18"/>
  <definedNames>
    <definedName name="_xlnm.Print_Titles" localSheetId="16">Август!$20:$25</definedName>
    <definedName name="_xlnm.Print_Titles" localSheetId="8">Апрель!$20:$25</definedName>
    <definedName name="_xlnm.Print_Titles" localSheetId="24">Декабрь!$20:$25</definedName>
    <definedName name="_xlnm.Print_Titles" localSheetId="14">Июль!$20:$25</definedName>
    <definedName name="_xlnm.Print_Titles" localSheetId="12">Июнь!$20:$25</definedName>
    <definedName name="_xlnm.Print_Titles" localSheetId="10">Май!$20:$25</definedName>
    <definedName name="_xlnm.Print_Titles" localSheetId="6">Март!$20:$25</definedName>
    <definedName name="_xlnm.Print_Titles" localSheetId="22">Ноябрь!$20:$25</definedName>
    <definedName name="_xlnm.Print_Titles" localSheetId="20">Октябрь!$20:$25</definedName>
    <definedName name="_xlnm.Print_Titles" localSheetId="18">Сентябрь!$20:$25</definedName>
    <definedName name="_xlnm.Print_Titles" localSheetId="4">Февраль!$20:$25</definedName>
    <definedName name="_xlnm.Print_Titles" localSheetId="2">Январь!$20:$25</definedName>
  </definedNames>
  <calcPr calcId="152511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AJ26" i="10" l="1"/>
  <c r="AJ27" i="10"/>
  <c r="AJ28" i="10"/>
  <c r="B26" i="10"/>
  <c r="B27" i="10"/>
  <c r="B28" i="10"/>
  <c r="C26" i="10"/>
  <c r="C27" i="10"/>
  <c r="C27" i="13" s="1"/>
  <c r="C28" i="10"/>
  <c r="C28" i="2" s="1"/>
  <c r="AI15" i="10" l="1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AI14" i="10"/>
  <c r="AH14" i="10"/>
  <c r="AG14" i="10"/>
  <c r="L14" i="10"/>
  <c r="L15" i="10"/>
  <c r="C26" i="12"/>
  <c r="J14" i="10"/>
  <c r="K15" i="10"/>
  <c r="I15" i="10"/>
  <c r="G15" i="10"/>
  <c r="I14" i="10"/>
  <c r="G14" i="10"/>
  <c r="F13" i="10"/>
  <c r="H13" i="10"/>
  <c r="J13" i="10"/>
  <c r="L13" i="10"/>
  <c r="N13" i="10"/>
  <c r="P13" i="10"/>
  <c r="R13" i="10"/>
  <c r="T13" i="10"/>
  <c r="V13" i="10"/>
  <c r="X13" i="10"/>
  <c r="Z13" i="10"/>
  <c r="AB13" i="10"/>
  <c r="AD13" i="10"/>
  <c r="AF13" i="10"/>
  <c r="AH13" i="10"/>
  <c r="E15" i="10"/>
  <c r="J15" i="10"/>
  <c r="K14" i="10"/>
  <c r="H15" i="10"/>
  <c r="F15" i="10"/>
  <c r="H14" i="10"/>
  <c r="F14" i="10"/>
  <c r="G13" i="10"/>
  <c r="I13" i="10"/>
  <c r="K13" i="10"/>
  <c r="M13" i="10"/>
  <c r="O13" i="10"/>
  <c r="Q13" i="10"/>
  <c r="S13" i="10"/>
  <c r="U13" i="10"/>
  <c r="W13" i="10"/>
  <c r="Y13" i="10"/>
  <c r="AA13" i="10"/>
  <c r="AC13" i="10"/>
  <c r="AE13" i="10"/>
  <c r="AG13" i="10"/>
  <c r="AI13" i="10"/>
  <c r="E14" i="10"/>
  <c r="C26" i="9"/>
  <c r="C26" i="7"/>
  <c r="C26" i="5"/>
  <c r="C26" i="3"/>
  <c r="C26" i="11"/>
  <c r="C28" i="13"/>
  <c r="C28" i="9"/>
  <c r="C28" i="7"/>
  <c r="C28" i="5"/>
  <c r="C28" i="3"/>
  <c r="C28" i="11"/>
  <c r="C28" i="12"/>
  <c r="C26" i="13"/>
  <c r="C27" i="6"/>
  <c r="C27" i="8"/>
  <c r="C27" i="4"/>
  <c r="C27" i="2"/>
  <c r="C27" i="9"/>
  <c r="C28" i="8"/>
  <c r="C26" i="8"/>
  <c r="C27" i="7"/>
  <c r="C28" i="6"/>
  <c r="C26" i="6"/>
  <c r="C27" i="5"/>
  <c r="C28" i="4"/>
  <c r="C26" i="4"/>
  <c r="C27" i="3"/>
  <c r="C26" i="2"/>
  <c r="C27" i="11"/>
  <c r="C27" i="12"/>
  <c r="AJ27" i="13"/>
  <c r="AJ28" i="13"/>
  <c r="AJ26" i="13"/>
  <c r="AI27" i="12"/>
  <c r="AI28" i="12"/>
  <c r="AI26" i="12"/>
  <c r="AJ27" i="11"/>
  <c r="AJ28" i="11"/>
  <c r="AJ26" i="11"/>
  <c r="AI27" i="2"/>
  <c r="AI28" i="2"/>
  <c r="AI26" i="2"/>
  <c r="AJ27" i="3"/>
  <c r="AJ28" i="3"/>
  <c r="AJ26" i="3"/>
  <c r="AJ27" i="4"/>
  <c r="AJ28" i="4"/>
  <c r="AJ26" i="4"/>
  <c r="AI27" i="5"/>
  <c r="AI28" i="5"/>
  <c r="AI26" i="5"/>
  <c r="AJ27" i="6"/>
  <c r="AJ28" i="6"/>
  <c r="AJ26" i="6"/>
  <c r="AI27" i="7"/>
  <c r="AI28" i="7"/>
  <c r="AI26" i="7"/>
  <c r="AJ27" i="8"/>
  <c r="AJ28" i="8"/>
  <c r="AJ26" i="8"/>
  <c r="AH27" i="9"/>
  <c r="AH28" i="9"/>
  <c r="AH26" i="9"/>
  <c r="AI15" i="4" l="1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G14" i="4"/>
  <c r="E14" i="4"/>
  <c r="AH14" i="4"/>
  <c r="AF14" i="4"/>
  <c r="AD14" i="4"/>
  <c r="AB14" i="4"/>
  <c r="Z14" i="4"/>
  <c r="X14" i="4"/>
  <c r="V14" i="4"/>
  <c r="T14" i="4"/>
  <c r="R14" i="4"/>
  <c r="P14" i="4"/>
  <c r="N14" i="4"/>
  <c r="L14" i="4"/>
  <c r="J14" i="4"/>
  <c r="H14" i="4"/>
  <c r="F14" i="4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AH14" i="3"/>
  <c r="AF14" i="3"/>
  <c r="AD14" i="3"/>
  <c r="AB14" i="3"/>
  <c r="Z14" i="3"/>
  <c r="X14" i="3"/>
  <c r="V14" i="3"/>
  <c r="T14" i="3"/>
  <c r="R14" i="3"/>
  <c r="P14" i="3"/>
  <c r="N14" i="3"/>
  <c r="L14" i="3"/>
  <c r="J14" i="3"/>
  <c r="H14" i="3"/>
  <c r="F14" i="3"/>
  <c r="AI14" i="3"/>
  <c r="AG14" i="3"/>
  <c r="AE14" i="3"/>
  <c r="AC14" i="3"/>
  <c r="AA14" i="3"/>
  <c r="Y14" i="3"/>
  <c r="W14" i="3"/>
  <c r="U14" i="3"/>
  <c r="S14" i="3"/>
  <c r="Q14" i="3"/>
  <c r="O14" i="3"/>
  <c r="M14" i="3"/>
  <c r="K14" i="3"/>
  <c r="I14" i="3"/>
  <c r="G14" i="3"/>
  <c r="E14" i="3"/>
  <c r="AI15" i="6"/>
  <c r="AH15" i="6"/>
  <c r="AG15" i="6"/>
  <c r="AF15" i="6"/>
  <c r="AE15" i="6"/>
  <c r="AD15" i="6"/>
  <c r="AC15" i="6"/>
  <c r="AB15" i="6"/>
  <c r="AA15" i="6"/>
  <c r="Z15" i="6"/>
  <c r="O15" i="6"/>
  <c r="K15" i="6"/>
  <c r="I15" i="6"/>
  <c r="G15" i="6"/>
  <c r="E15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Y15" i="6"/>
  <c r="X15" i="6"/>
  <c r="W15" i="6"/>
  <c r="V15" i="6"/>
  <c r="U15" i="6"/>
  <c r="T15" i="6"/>
  <c r="S15" i="6"/>
  <c r="R15" i="6"/>
  <c r="Q15" i="6"/>
  <c r="P15" i="6"/>
  <c r="N15" i="6"/>
  <c r="M15" i="6"/>
  <c r="L15" i="6"/>
  <c r="J15" i="6"/>
  <c r="H15" i="6"/>
  <c r="F15" i="6"/>
  <c r="AI14" i="13"/>
  <c r="AH14" i="13"/>
  <c r="AG14" i="13"/>
  <c r="AF14" i="13"/>
  <c r="AE14" i="13"/>
  <c r="AD14" i="13"/>
  <c r="AC14" i="13"/>
  <c r="AB14" i="13"/>
  <c r="AA14" i="13"/>
  <c r="Z14" i="13"/>
  <c r="Y14" i="13"/>
  <c r="X14" i="13"/>
  <c r="W14" i="13"/>
  <c r="V14" i="13"/>
  <c r="U14" i="13"/>
  <c r="T14" i="13"/>
  <c r="S14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AI15" i="13"/>
  <c r="AG15" i="13"/>
  <c r="AE15" i="13"/>
  <c r="AC15" i="13"/>
  <c r="AA15" i="13"/>
  <c r="Y15" i="13"/>
  <c r="W15" i="13"/>
  <c r="U15" i="13"/>
  <c r="S15" i="13"/>
  <c r="Q15" i="13"/>
  <c r="O15" i="13"/>
  <c r="M15" i="13"/>
  <c r="K15" i="13"/>
  <c r="I15" i="13"/>
  <c r="G15" i="13"/>
  <c r="E15" i="13"/>
  <c r="AH15" i="13"/>
  <c r="AF15" i="13"/>
  <c r="AD15" i="13"/>
  <c r="AB15" i="13"/>
  <c r="Z15" i="13"/>
  <c r="X15" i="13"/>
  <c r="V15" i="13"/>
  <c r="T15" i="13"/>
  <c r="R15" i="13"/>
  <c r="P15" i="13"/>
  <c r="N15" i="13"/>
  <c r="L15" i="13"/>
  <c r="J15" i="13"/>
  <c r="H15" i="13"/>
  <c r="F15" i="13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AH15" i="11"/>
  <c r="AF15" i="11"/>
  <c r="AD15" i="11"/>
  <c r="AB15" i="11"/>
  <c r="Z15" i="11"/>
  <c r="X15" i="11"/>
  <c r="V15" i="11"/>
  <c r="T15" i="11"/>
  <c r="R15" i="11"/>
  <c r="P15" i="11"/>
  <c r="N15" i="11"/>
  <c r="L15" i="11"/>
  <c r="K14" i="11"/>
  <c r="J14" i="11"/>
  <c r="I14" i="11"/>
  <c r="H14" i="11"/>
  <c r="G14" i="11"/>
  <c r="F14" i="11"/>
  <c r="E14" i="11"/>
  <c r="AI15" i="11"/>
  <c r="AG15" i="11"/>
  <c r="AE15" i="11"/>
  <c r="AC15" i="11"/>
  <c r="AA15" i="11"/>
  <c r="Y15" i="11"/>
  <c r="W15" i="11"/>
  <c r="U15" i="11"/>
  <c r="S15" i="11"/>
  <c r="Q15" i="11"/>
  <c r="O15" i="11"/>
  <c r="M15" i="11"/>
  <c r="K15" i="11"/>
  <c r="J15" i="11"/>
  <c r="I15" i="11"/>
  <c r="H15" i="11"/>
  <c r="G15" i="11"/>
  <c r="F15" i="11"/>
  <c r="E15" i="11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AG14" i="5"/>
  <c r="AE14" i="5"/>
  <c r="AC14" i="5"/>
  <c r="AA14" i="5"/>
  <c r="Y14" i="5"/>
  <c r="W14" i="5"/>
  <c r="U14" i="5"/>
  <c r="S14" i="5"/>
  <c r="Q14" i="5"/>
  <c r="O14" i="5"/>
  <c r="M14" i="5"/>
  <c r="K14" i="5"/>
  <c r="I14" i="5"/>
  <c r="G14" i="5"/>
  <c r="E15" i="5"/>
  <c r="AH14" i="5"/>
  <c r="AF14" i="5"/>
  <c r="AD14" i="5"/>
  <c r="AB14" i="5"/>
  <c r="Z14" i="5"/>
  <c r="X14" i="5"/>
  <c r="V14" i="5"/>
  <c r="T14" i="5"/>
  <c r="R14" i="5"/>
  <c r="P14" i="5"/>
  <c r="N14" i="5"/>
  <c r="L14" i="5"/>
  <c r="J14" i="5"/>
  <c r="H14" i="5"/>
  <c r="F14" i="5"/>
  <c r="E14" i="5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AF15" i="9"/>
  <c r="AD15" i="9"/>
  <c r="AB15" i="9"/>
  <c r="Z15" i="9"/>
  <c r="X15" i="9"/>
  <c r="V15" i="9"/>
  <c r="T15" i="9"/>
  <c r="R15" i="9"/>
  <c r="P15" i="9"/>
  <c r="N15" i="9"/>
  <c r="L15" i="9"/>
  <c r="J15" i="9"/>
  <c r="H15" i="9"/>
  <c r="AG15" i="9"/>
  <c r="AE15" i="9"/>
  <c r="AC15" i="9"/>
  <c r="AA15" i="9"/>
  <c r="Y15" i="9"/>
  <c r="W15" i="9"/>
  <c r="U15" i="9"/>
  <c r="S15" i="9"/>
  <c r="Q15" i="9"/>
  <c r="O15" i="9"/>
  <c r="M15" i="9"/>
  <c r="K15" i="9"/>
  <c r="I15" i="9"/>
  <c r="G15" i="9"/>
  <c r="E15" i="9"/>
  <c r="F15" i="9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M14" i="2"/>
  <c r="K14" i="2"/>
  <c r="I14" i="2"/>
  <c r="G14" i="2"/>
  <c r="E14" i="2"/>
  <c r="L14" i="2"/>
  <c r="J14" i="2"/>
  <c r="H14" i="2"/>
  <c r="F14" i="2"/>
  <c r="AI15" i="8"/>
  <c r="AG15" i="8"/>
  <c r="AE15" i="8"/>
  <c r="AC15" i="8"/>
  <c r="AA15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AH15" i="8"/>
  <c r="AF15" i="8"/>
  <c r="AD15" i="8"/>
  <c r="AB15" i="8"/>
  <c r="Z15" i="8"/>
  <c r="Y15" i="8"/>
  <c r="W15" i="8"/>
  <c r="U15" i="8"/>
  <c r="S15" i="8"/>
  <c r="Q15" i="8"/>
  <c r="O15" i="8"/>
  <c r="M15" i="8"/>
  <c r="K15" i="8"/>
  <c r="I15" i="8"/>
  <c r="G15" i="8"/>
  <c r="E15" i="8"/>
  <c r="X15" i="8"/>
  <c r="V15" i="8"/>
  <c r="T15" i="8"/>
  <c r="R15" i="8"/>
  <c r="P15" i="8"/>
  <c r="N15" i="8"/>
  <c r="L15" i="8"/>
  <c r="J15" i="8"/>
  <c r="H15" i="8"/>
  <c r="F15" i="8"/>
  <c r="AG15" i="7"/>
  <c r="AE15" i="7"/>
  <c r="AB15" i="7"/>
  <c r="Z15" i="7"/>
  <c r="X15" i="7"/>
  <c r="V15" i="7"/>
  <c r="T15" i="7"/>
  <c r="R15" i="7"/>
  <c r="P15" i="7"/>
  <c r="N15" i="7"/>
  <c r="L15" i="7"/>
  <c r="J15" i="7"/>
  <c r="H15" i="7"/>
  <c r="F15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AH15" i="7"/>
  <c r="AF15" i="7"/>
  <c r="AD15" i="7"/>
  <c r="AC15" i="7"/>
  <c r="AA15" i="7"/>
  <c r="Y15" i="7"/>
  <c r="W15" i="7"/>
  <c r="U15" i="7"/>
  <c r="S15" i="7"/>
  <c r="Q15" i="7"/>
  <c r="O15" i="7"/>
  <c r="M15" i="7"/>
  <c r="K15" i="7"/>
  <c r="I15" i="7"/>
  <c r="G15" i="7"/>
  <c r="E15" i="7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AG15" i="12"/>
  <c r="AE15" i="12"/>
  <c r="AC15" i="12"/>
  <c r="AA15" i="12"/>
  <c r="Y15" i="12"/>
  <c r="W15" i="12"/>
  <c r="U15" i="12"/>
  <c r="S15" i="12"/>
  <c r="Q15" i="12"/>
  <c r="O15" i="12"/>
  <c r="M15" i="12"/>
  <c r="K15" i="12"/>
  <c r="I15" i="12"/>
  <c r="G15" i="12"/>
  <c r="E15" i="12"/>
  <c r="AH15" i="12"/>
  <c r="AF15" i="12"/>
  <c r="AD15" i="12"/>
  <c r="AB15" i="12"/>
  <c r="Z15" i="12"/>
  <c r="X15" i="12"/>
  <c r="V15" i="12"/>
  <c r="T15" i="12"/>
  <c r="R15" i="12"/>
  <c r="P15" i="12"/>
  <c r="N15" i="12"/>
  <c r="L15" i="12"/>
  <c r="J15" i="12"/>
  <c r="H15" i="12"/>
  <c r="F15" i="12"/>
  <c r="B26" i="13"/>
  <c r="B27" i="13"/>
  <c r="B28" i="13"/>
  <c r="B26" i="12"/>
  <c r="B27" i="12"/>
  <c r="B28" i="12"/>
  <c r="B26" i="11"/>
  <c r="B27" i="11"/>
  <c r="B28" i="11"/>
  <c r="B26" i="2"/>
  <c r="B27" i="2"/>
  <c r="B28" i="2"/>
  <c r="B26" i="3"/>
  <c r="B27" i="3"/>
  <c r="B28" i="3"/>
  <c r="B26" i="4"/>
  <c r="B27" i="4"/>
  <c r="B28" i="4"/>
  <c r="B26" i="5"/>
  <c r="B27" i="5"/>
  <c r="B28" i="5"/>
  <c r="B26" i="6"/>
  <c r="B27" i="6"/>
  <c r="B28" i="6"/>
  <c r="B26" i="7"/>
  <c r="B27" i="7"/>
  <c r="B28" i="7"/>
  <c r="B26" i="8"/>
  <c r="B27" i="8"/>
  <c r="B28" i="8"/>
  <c r="B26" i="9"/>
  <c r="B27" i="9"/>
  <c r="B28" i="9"/>
  <c r="H6" i="25" l="1"/>
  <c r="I4" i="25"/>
  <c r="H6" i="24" l="1"/>
  <c r="I4" i="24"/>
  <c r="H6" i="23"/>
  <c r="I4" i="23"/>
  <c r="H6" i="22"/>
  <c r="I4" i="22"/>
  <c r="H6" i="21"/>
  <c r="I4" i="21"/>
  <c r="H6" i="20"/>
  <c r="I4" i="20"/>
  <c r="H6" i="19"/>
  <c r="I4" i="19"/>
  <c r="H6" i="18"/>
  <c r="I4" i="18"/>
  <c r="H6" i="17"/>
  <c r="I4" i="17"/>
  <c r="H6" i="16" l="1"/>
  <c r="I4" i="16"/>
  <c r="H6" i="15"/>
  <c r="I4" i="15"/>
  <c r="I4" i="14"/>
  <c r="H6" i="14"/>
  <c r="M4" i="13" l="1"/>
  <c r="M4" i="12"/>
  <c r="M4" i="11"/>
  <c r="M4" i="2"/>
  <c r="M4" i="3"/>
  <c r="M4" i="4"/>
  <c r="M4" i="5"/>
  <c r="M4" i="6"/>
  <c r="M4" i="7"/>
  <c r="M4" i="8"/>
  <c r="M4" i="9"/>
  <c r="M4" i="10"/>
  <c r="AK28" i="13" l="1"/>
  <c r="AK27" i="13"/>
  <c r="R5" i="13"/>
  <c r="AJ17" i="13" l="1"/>
  <c r="AJ28" i="12"/>
  <c r="AJ27" i="12"/>
  <c r="R5" i="12"/>
  <c r="AK28" i="11"/>
  <c r="AK27" i="11"/>
  <c r="R5" i="11"/>
  <c r="AI17" i="12" l="1"/>
  <c r="AJ17" i="11"/>
  <c r="AK28" i="10"/>
  <c r="AK27" i="10"/>
  <c r="R5" i="10"/>
  <c r="AJ17" i="10" l="1"/>
  <c r="AI27" i="9"/>
  <c r="AI28" i="9"/>
  <c r="R5" i="9"/>
  <c r="AK28" i="8"/>
  <c r="AK27" i="8"/>
  <c r="R5" i="8"/>
  <c r="AJ28" i="7"/>
  <c r="AJ27" i="7"/>
  <c r="R5" i="7"/>
  <c r="AK28" i="6"/>
  <c r="AK27" i="6"/>
  <c r="R5" i="6"/>
  <c r="R5" i="2"/>
  <c r="R5" i="3"/>
  <c r="R5" i="4"/>
  <c r="R5" i="5"/>
  <c r="AJ28" i="5"/>
  <c r="AJ27" i="5"/>
  <c r="AH17" i="9" l="1"/>
  <c r="AJ17" i="8"/>
  <c r="AI17" i="7"/>
  <c r="AJ17" i="6"/>
  <c r="AI17" i="5"/>
  <c r="AK27" i="4" l="1"/>
  <c r="AK28" i="4"/>
  <c r="AK27" i="3" l="1"/>
  <c r="AK28" i="3"/>
  <c r="AJ27" i="2"/>
  <c r="AJ28" i="2"/>
  <c r="AJ17" i="3" l="1"/>
  <c r="AJ17" i="4"/>
  <c r="AK18" i="1"/>
  <c r="AJ18" i="1"/>
  <c r="P20" i="25" s="1"/>
  <c r="AI18" i="1"/>
  <c r="O20" i="25" s="1"/>
  <c r="AH18" i="1"/>
  <c r="N20" i="25" s="1"/>
  <c r="AG18" i="1"/>
  <c r="AF18" i="1"/>
  <c r="L20" i="25" s="1"/>
  <c r="AE18" i="1"/>
  <c r="K20" i="25" s="1"/>
  <c r="AD18" i="1"/>
  <c r="J20" i="25" s="1"/>
  <c r="AC18" i="1"/>
  <c r="AB18" i="1"/>
  <c r="H20" i="25" s="1"/>
  <c r="AA18" i="1"/>
  <c r="G20" i="25" s="1"/>
  <c r="Z18" i="1"/>
  <c r="F20" i="25" s="1"/>
  <c r="Y18" i="1"/>
  <c r="X18" i="1"/>
  <c r="D20" i="25" s="1"/>
  <c r="W18" i="1"/>
  <c r="C20" i="25" s="1"/>
  <c r="V18" i="1"/>
  <c r="B20" i="25" s="1"/>
  <c r="U18" i="1"/>
  <c r="T18" i="1"/>
  <c r="O10" i="25" s="1"/>
  <c r="S18" i="1"/>
  <c r="N10" i="25" s="1"/>
  <c r="R18" i="1"/>
  <c r="M10" i="25" s="1"/>
  <c r="Q18" i="1"/>
  <c r="P18" i="1"/>
  <c r="K10" i="25" s="1"/>
  <c r="O18" i="1"/>
  <c r="J10" i="25" s="1"/>
  <c r="N18" i="1"/>
  <c r="I10" i="25" s="1"/>
  <c r="M18" i="1"/>
  <c r="L18" i="1"/>
  <c r="G10" i="25" s="1"/>
  <c r="K18" i="1"/>
  <c r="F10" i="25" s="1"/>
  <c r="J18" i="1"/>
  <c r="E10" i="25" s="1"/>
  <c r="I18" i="1"/>
  <c r="H18" i="1"/>
  <c r="C10" i="25" s="1"/>
  <c r="G18" i="1"/>
  <c r="B10" i="25" s="1"/>
  <c r="AK17" i="1"/>
  <c r="AK31" i="1" s="1"/>
  <c r="AJ17" i="1"/>
  <c r="P20" i="24" s="1"/>
  <c r="AI17" i="1"/>
  <c r="AH17" i="1"/>
  <c r="N20" i="24" s="1"/>
  <c r="AG17" i="1"/>
  <c r="M20" i="24" s="1"/>
  <c r="AF17" i="1"/>
  <c r="L20" i="24" s="1"/>
  <c r="AE17" i="1"/>
  <c r="AD17" i="1"/>
  <c r="J20" i="24" s="1"/>
  <c r="AC17" i="1"/>
  <c r="I20" i="24" s="1"/>
  <c r="AB17" i="1"/>
  <c r="H20" i="24" s="1"/>
  <c r="AA17" i="1"/>
  <c r="Z17" i="1"/>
  <c r="F20" i="24" s="1"/>
  <c r="Y17" i="1"/>
  <c r="E20" i="24" s="1"/>
  <c r="X17" i="1"/>
  <c r="D20" i="24" s="1"/>
  <c r="W17" i="1"/>
  <c r="V17" i="1"/>
  <c r="B20" i="24" s="1"/>
  <c r="U17" i="1"/>
  <c r="P10" i="24" s="1"/>
  <c r="T17" i="1"/>
  <c r="O10" i="24" s="1"/>
  <c r="S17" i="1"/>
  <c r="R17" i="1"/>
  <c r="M10" i="24" s="1"/>
  <c r="Q17" i="1"/>
  <c r="L10" i="24" s="1"/>
  <c r="P17" i="1"/>
  <c r="K10" i="24" s="1"/>
  <c r="O17" i="1"/>
  <c r="N17" i="1"/>
  <c r="I10" i="24" s="1"/>
  <c r="M17" i="1"/>
  <c r="H10" i="24" s="1"/>
  <c r="L17" i="1"/>
  <c r="G10" i="24" s="1"/>
  <c r="K17" i="1"/>
  <c r="J17" i="1"/>
  <c r="E10" i="24" s="1"/>
  <c r="I17" i="1"/>
  <c r="D10" i="24" s="1"/>
  <c r="H17" i="1"/>
  <c r="C10" i="24" s="1"/>
  <c r="G17" i="1"/>
  <c r="AK16" i="1"/>
  <c r="AJ16" i="1"/>
  <c r="P20" i="23" s="1"/>
  <c r="AI16" i="1"/>
  <c r="O20" i="23" s="1"/>
  <c r="AH16" i="1"/>
  <c r="N20" i="23" s="1"/>
  <c r="AG16" i="1"/>
  <c r="AF16" i="1"/>
  <c r="L20" i="23" s="1"/>
  <c r="AE16" i="1"/>
  <c r="K20" i="23" s="1"/>
  <c r="AD16" i="1"/>
  <c r="J20" i="23" s="1"/>
  <c r="AC16" i="1"/>
  <c r="AB16" i="1"/>
  <c r="H20" i="23" s="1"/>
  <c r="AA16" i="1"/>
  <c r="G20" i="23" s="1"/>
  <c r="Z16" i="1"/>
  <c r="F20" i="23" s="1"/>
  <c r="Y16" i="1"/>
  <c r="X16" i="1"/>
  <c r="D20" i="23" s="1"/>
  <c r="W16" i="1"/>
  <c r="C20" i="23" s="1"/>
  <c r="V16" i="1"/>
  <c r="B20" i="23" s="1"/>
  <c r="U16" i="1"/>
  <c r="T16" i="1"/>
  <c r="O10" i="23" s="1"/>
  <c r="S16" i="1"/>
  <c r="N10" i="23" s="1"/>
  <c r="R16" i="1"/>
  <c r="M10" i="23" s="1"/>
  <c r="Q16" i="1"/>
  <c r="P16" i="1"/>
  <c r="K10" i="23" s="1"/>
  <c r="O16" i="1"/>
  <c r="J10" i="23" s="1"/>
  <c r="N16" i="1"/>
  <c r="I10" i="23" s="1"/>
  <c r="M16" i="1"/>
  <c r="L16" i="1"/>
  <c r="G10" i="23" s="1"/>
  <c r="K16" i="1"/>
  <c r="F10" i="23" s="1"/>
  <c r="J16" i="1"/>
  <c r="E10" i="23" s="1"/>
  <c r="I16" i="1"/>
  <c r="H16" i="1"/>
  <c r="C10" i="23" s="1"/>
  <c r="G16" i="1"/>
  <c r="B10" i="23" s="1"/>
  <c r="AK15" i="1"/>
  <c r="AK29" i="1" s="1"/>
  <c r="AJ15" i="1"/>
  <c r="P20" i="22" s="1"/>
  <c r="AI15" i="1"/>
  <c r="AH15" i="1"/>
  <c r="N20" i="22" s="1"/>
  <c r="AG15" i="1"/>
  <c r="M20" i="22" s="1"/>
  <c r="AF15" i="1"/>
  <c r="L20" i="22" s="1"/>
  <c r="AE15" i="1"/>
  <c r="AD15" i="1"/>
  <c r="J20" i="22" s="1"/>
  <c r="AC15" i="1"/>
  <c r="I20" i="22" s="1"/>
  <c r="AB15" i="1"/>
  <c r="H20" i="22" s="1"/>
  <c r="AA15" i="1"/>
  <c r="Z15" i="1"/>
  <c r="F20" i="22" s="1"/>
  <c r="Y15" i="1"/>
  <c r="E20" i="22" s="1"/>
  <c r="X15" i="1"/>
  <c r="D20" i="22" s="1"/>
  <c r="W15" i="1"/>
  <c r="V15" i="1"/>
  <c r="B20" i="22" s="1"/>
  <c r="U15" i="1"/>
  <c r="P10" i="22" s="1"/>
  <c r="T15" i="1"/>
  <c r="O10" i="22" s="1"/>
  <c r="S15" i="1"/>
  <c r="R15" i="1"/>
  <c r="M10" i="22" s="1"/>
  <c r="Q15" i="1"/>
  <c r="L10" i="22" s="1"/>
  <c r="P15" i="1"/>
  <c r="K10" i="22" s="1"/>
  <c r="O15" i="1"/>
  <c r="N15" i="1"/>
  <c r="I10" i="22" s="1"/>
  <c r="M15" i="1"/>
  <c r="H10" i="22" s="1"/>
  <c r="L15" i="1"/>
  <c r="G10" i="22" s="1"/>
  <c r="K15" i="1"/>
  <c r="J15" i="1"/>
  <c r="E10" i="22" s="1"/>
  <c r="I15" i="1"/>
  <c r="D10" i="22" s="1"/>
  <c r="H15" i="1"/>
  <c r="C10" i="22" s="1"/>
  <c r="G15" i="1"/>
  <c r="AK14" i="1"/>
  <c r="AJ14" i="1"/>
  <c r="P20" i="21" s="1"/>
  <c r="AI14" i="1"/>
  <c r="O20" i="21" s="1"/>
  <c r="AH14" i="1"/>
  <c r="N20" i="21" s="1"/>
  <c r="AG14" i="1"/>
  <c r="AF14" i="1"/>
  <c r="L20" i="21" s="1"/>
  <c r="AE14" i="1"/>
  <c r="K20" i="21" s="1"/>
  <c r="AD14" i="1"/>
  <c r="J20" i="21" s="1"/>
  <c r="AC14" i="1"/>
  <c r="AB14" i="1"/>
  <c r="H20" i="21" s="1"/>
  <c r="AA14" i="1"/>
  <c r="G20" i="21" s="1"/>
  <c r="Z14" i="1"/>
  <c r="F20" i="21" s="1"/>
  <c r="Y14" i="1"/>
  <c r="X14" i="1"/>
  <c r="D20" i="21" s="1"/>
  <c r="W14" i="1"/>
  <c r="C20" i="21" s="1"/>
  <c r="V14" i="1"/>
  <c r="B20" i="21" s="1"/>
  <c r="U14" i="1"/>
  <c r="T14" i="1"/>
  <c r="O10" i="21" s="1"/>
  <c r="S14" i="1"/>
  <c r="N10" i="21" s="1"/>
  <c r="R14" i="1"/>
  <c r="M10" i="21" s="1"/>
  <c r="Q14" i="1"/>
  <c r="P14" i="1"/>
  <c r="K10" i="21" s="1"/>
  <c r="O14" i="1"/>
  <c r="J10" i="21" s="1"/>
  <c r="N14" i="1"/>
  <c r="I10" i="21" s="1"/>
  <c r="M14" i="1"/>
  <c r="L14" i="1"/>
  <c r="G10" i="21" s="1"/>
  <c r="K14" i="1"/>
  <c r="F10" i="21" s="1"/>
  <c r="J14" i="1"/>
  <c r="E10" i="21" s="1"/>
  <c r="I14" i="1"/>
  <c r="H14" i="1"/>
  <c r="C10" i="21" s="1"/>
  <c r="G14" i="1"/>
  <c r="B10" i="21" s="1"/>
  <c r="AK13" i="1"/>
  <c r="AJ13" i="1"/>
  <c r="P20" i="20" s="1"/>
  <c r="AI13" i="1"/>
  <c r="AH13" i="1"/>
  <c r="N20" i="20" s="1"/>
  <c r="AG13" i="1"/>
  <c r="AF13" i="1"/>
  <c r="L20" i="20" s="1"/>
  <c r="AE13" i="1"/>
  <c r="AD13" i="1"/>
  <c r="J20" i="20" s="1"/>
  <c r="AC13" i="1"/>
  <c r="AB13" i="1"/>
  <c r="H20" i="20" s="1"/>
  <c r="AA13" i="1"/>
  <c r="Z13" i="1"/>
  <c r="F20" i="20" s="1"/>
  <c r="Y13" i="1"/>
  <c r="X13" i="1"/>
  <c r="D20" i="20" s="1"/>
  <c r="W13" i="1"/>
  <c r="V13" i="1"/>
  <c r="B20" i="20" s="1"/>
  <c r="U13" i="1"/>
  <c r="T13" i="1"/>
  <c r="O10" i="20" s="1"/>
  <c r="S13" i="1"/>
  <c r="R13" i="1"/>
  <c r="M10" i="20" s="1"/>
  <c r="Q13" i="1"/>
  <c r="P13" i="1"/>
  <c r="K10" i="20" s="1"/>
  <c r="O13" i="1"/>
  <c r="N13" i="1"/>
  <c r="I10" i="20" s="1"/>
  <c r="M13" i="1"/>
  <c r="L13" i="1"/>
  <c r="G10" i="20" s="1"/>
  <c r="K13" i="1"/>
  <c r="J13" i="1"/>
  <c r="E10" i="20" s="1"/>
  <c r="I13" i="1"/>
  <c r="H13" i="1"/>
  <c r="C10" i="20" s="1"/>
  <c r="G13" i="1"/>
  <c r="AK12" i="1"/>
  <c r="AK26" i="1" s="1"/>
  <c r="AJ12" i="1"/>
  <c r="P20" i="19" s="1"/>
  <c r="AI12" i="1"/>
  <c r="O20" i="19" s="1"/>
  <c r="AH12" i="1"/>
  <c r="N20" i="19" s="1"/>
  <c r="AG12" i="1"/>
  <c r="AF12" i="1"/>
  <c r="L20" i="19" s="1"/>
  <c r="AE12" i="1"/>
  <c r="K20" i="19" s="1"/>
  <c r="AD12" i="1"/>
  <c r="J20" i="19" s="1"/>
  <c r="AC12" i="1"/>
  <c r="I20" i="19" s="1"/>
  <c r="AB12" i="1"/>
  <c r="H20" i="19" s="1"/>
  <c r="AA12" i="1"/>
  <c r="G20" i="19" s="1"/>
  <c r="Z12" i="1"/>
  <c r="F20" i="19" s="1"/>
  <c r="Y12" i="1"/>
  <c r="E20" i="19" s="1"/>
  <c r="X12" i="1"/>
  <c r="D20" i="19" s="1"/>
  <c r="W12" i="1"/>
  <c r="C20" i="19" s="1"/>
  <c r="V12" i="1"/>
  <c r="B20" i="19" s="1"/>
  <c r="U12" i="1"/>
  <c r="P10" i="19" s="1"/>
  <c r="T12" i="1"/>
  <c r="O10" i="19" s="1"/>
  <c r="S12" i="1"/>
  <c r="N10" i="19" s="1"/>
  <c r="R12" i="1"/>
  <c r="M10" i="19" s="1"/>
  <c r="Q12" i="1"/>
  <c r="L10" i="19" s="1"/>
  <c r="P12" i="1"/>
  <c r="K10" i="19" s="1"/>
  <c r="O12" i="1"/>
  <c r="J10" i="19" s="1"/>
  <c r="N12" i="1"/>
  <c r="I10" i="19" s="1"/>
  <c r="M12" i="1"/>
  <c r="H10" i="19" s="1"/>
  <c r="L12" i="1"/>
  <c r="G10" i="19" s="1"/>
  <c r="K12" i="1"/>
  <c r="F10" i="19" s="1"/>
  <c r="J12" i="1"/>
  <c r="E10" i="19" s="1"/>
  <c r="I12" i="1"/>
  <c r="D10" i="19" s="1"/>
  <c r="H12" i="1"/>
  <c r="C10" i="19" s="1"/>
  <c r="G12" i="1"/>
  <c r="B10" i="19" s="1"/>
  <c r="AK11" i="1"/>
  <c r="B30" i="18" s="1"/>
  <c r="AJ11" i="1"/>
  <c r="P20" i="18" s="1"/>
  <c r="AI11" i="1"/>
  <c r="O20" i="18" s="1"/>
  <c r="AH11" i="1"/>
  <c r="N20" i="18" s="1"/>
  <c r="AG11" i="1"/>
  <c r="M20" i="18" s="1"/>
  <c r="AF11" i="1"/>
  <c r="L20" i="18" s="1"/>
  <c r="AE11" i="1"/>
  <c r="K20" i="18" s="1"/>
  <c r="AD11" i="1"/>
  <c r="J20" i="18" s="1"/>
  <c r="AC11" i="1"/>
  <c r="I20" i="18" s="1"/>
  <c r="AB11" i="1"/>
  <c r="H20" i="18" s="1"/>
  <c r="AA11" i="1"/>
  <c r="G20" i="18" s="1"/>
  <c r="Z11" i="1"/>
  <c r="F20" i="18" s="1"/>
  <c r="Y11" i="1"/>
  <c r="E20" i="18" s="1"/>
  <c r="X11" i="1"/>
  <c r="D20" i="18" s="1"/>
  <c r="W11" i="1"/>
  <c r="C20" i="18" s="1"/>
  <c r="V11" i="1"/>
  <c r="B20" i="18" s="1"/>
  <c r="U11" i="1"/>
  <c r="P10" i="18" s="1"/>
  <c r="T11" i="1"/>
  <c r="O10" i="18" s="1"/>
  <c r="S11" i="1"/>
  <c r="N10" i="18" s="1"/>
  <c r="R11" i="1"/>
  <c r="M10" i="18" s="1"/>
  <c r="Q11" i="1"/>
  <c r="L10" i="18" s="1"/>
  <c r="P11" i="1"/>
  <c r="K10" i="18" s="1"/>
  <c r="O11" i="1"/>
  <c r="J10" i="18" s="1"/>
  <c r="N11" i="1"/>
  <c r="I10" i="18" s="1"/>
  <c r="M11" i="1"/>
  <c r="H10" i="18" s="1"/>
  <c r="L11" i="1"/>
  <c r="G10" i="18" s="1"/>
  <c r="K11" i="1"/>
  <c r="F10" i="18" s="1"/>
  <c r="J11" i="1"/>
  <c r="E10" i="18" s="1"/>
  <c r="I11" i="1"/>
  <c r="D10" i="18" s="1"/>
  <c r="H11" i="1"/>
  <c r="C10" i="18" s="1"/>
  <c r="G11" i="1"/>
  <c r="B10" i="18" s="1"/>
  <c r="AK10" i="1"/>
  <c r="AK24" i="1" s="1"/>
  <c r="AJ10" i="1"/>
  <c r="P20" i="17" s="1"/>
  <c r="AI10" i="1"/>
  <c r="O20" i="17" s="1"/>
  <c r="AH10" i="1"/>
  <c r="N20" i="17" s="1"/>
  <c r="AG10" i="1"/>
  <c r="M20" i="17" s="1"/>
  <c r="AF10" i="1"/>
  <c r="L20" i="17" s="1"/>
  <c r="AE10" i="1"/>
  <c r="K20" i="17" s="1"/>
  <c r="AD10" i="1"/>
  <c r="J20" i="17" s="1"/>
  <c r="AC10" i="1"/>
  <c r="I20" i="17" s="1"/>
  <c r="AB10" i="1"/>
  <c r="H20" i="17" s="1"/>
  <c r="AA10" i="1"/>
  <c r="G20" i="17" s="1"/>
  <c r="Z10" i="1"/>
  <c r="F20" i="17" s="1"/>
  <c r="Y10" i="1"/>
  <c r="E20" i="17" s="1"/>
  <c r="X10" i="1"/>
  <c r="D20" i="17" s="1"/>
  <c r="W10" i="1"/>
  <c r="C20" i="17" s="1"/>
  <c r="V10" i="1"/>
  <c r="B20" i="17" s="1"/>
  <c r="U10" i="1"/>
  <c r="P10" i="17" s="1"/>
  <c r="T10" i="1"/>
  <c r="O10" i="17" s="1"/>
  <c r="S10" i="1"/>
  <c r="N10" i="17" s="1"/>
  <c r="R10" i="1"/>
  <c r="M10" i="17" s="1"/>
  <c r="Q10" i="1"/>
  <c r="L10" i="17" s="1"/>
  <c r="P10" i="1"/>
  <c r="K10" i="17" s="1"/>
  <c r="O10" i="1"/>
  <c r="J10" i="17" s="1"/>
  <c r="N10" i="1"/>
  <c r="I10" i="17" s="1"/>
  <c r="M10" i="1"/>
  <c r="H10" i="17" s="1"/>
  <c r="L10" i="1"/>
  <c r="G10" i="17" s="1"/>
  <c r="K10" i="1"/>
  <c r="F10" i="17" s="1"/>
  <c r="J10" i="1"/>
  <c r="E10" i="17" s="1"/>
  <c r="I10" i="1"/>
  <c r="D10" i="17" s="1"/>
  <c r="H10" i="1"/>
  <c r="C10" i="17" s="1"/>
  <c r="G10" i="1"/>
  <c r="B10" i="17" s="1"/>
  <c r="AK9" i="1"/>
  <c r="B30" i="16" s="1"/>
  <c r="AJ9" i="1"/>
  <c r="P20" i="16" s="1"/>
  <c r="AI9" i="1"/>
  <c r="O20" i="16" s="1"/>
  <c r="AH9" i="1"/>
  <c r="N20" i="16" s="1"/>
  <c r="AG9" i="1"/>
  <c r="M20" i="16" s="1"/>
  <c r="AF9" i="1"/>
  <c r="L20" i="16" s="1"/>
  <c r="AE9" i="1"/>
  <c r="K20" i="16" s="1"/>
  <c r="AD9" i="1"/>
  <c r="J20" i="16" s="1"/>
  <c r="AC9" i="1"/>
  <c r="I20" i="16" s="1"/>
  <c r="AB9" i="1"/>
  <c r="H20" i="16" s="1"/>
  <c r="AA9" i="1"/>
  <c r="G20" i="16" s="1"/>
  <c r="Z9" i="1"/>
  <c r="F20" i="16" s="1"/>
  <c r="Y9" i="1"/>
  <c r="E20" i="16" s="1"/>
  <c r="X9" i="1"/>
  <c r="D20" i="16" s="1"/>
  <c r="W9" i="1"/>
  <c r="C20" i="16" s="1"/>
  <c r="V9" i="1"/>
  <c r="B20" i="16" s="1"/>
  <c r="U9" i="1"/>
  <c r="P10" i="16" s="1"/>
  <c r="T9" i="1"/>
  <c r="O10" i="16" s="1"/>
  <c r="S9" i="1"/>
  <c r="N10" i="16" s="1"/>
  <c r="R9" i="1"/>
  <c r="M10" i="16" s="1"/>
  <c r="Q9" i="1"/>
  <c r="L10" i="16" s="1"/>
  <c r="P9" i="1"/>
  <c r="K10" i="16" s="1"/>
  <c r="O9" i="1"/>
  <c r="J10" i="16" s="1"/>
  <c r="N9" i="1"/>
  <c r="I10" i="16" s="1"/>
  <c r="M9" i="1"/>
  <c r="H10" i="16" s="1"/>
  <c r="L9" i="1"/>
  <c r="G10" i="16" s="1"/>
  <c r="K9" i="1"/>
  <c r="F10" i="16" s="1"/>
  <c r="J9" i="1"/>
  <c r="E10" i="16" s="1"/>
  <c r="I9" i="1"/>
  <c r="D10" i="16" s="1"/>
  <c r="H9" i="1"/>
  <c r="C10" i="16" s="1"/>
  <c r="G9" i="1"/>
  <c r="B10" i="16" s="1"/>
  <c r="AK8" i="1"/>
  <c r="AK22" i="1" s="1"/>
  <c r="AJ8" i="1"/>
  <c r="AI8" i="1"/>
  <c r="O20" i="15" s="1"/>
  <c r="AH8" i="1"/>
  <c r="N20" i="15" s="1"/>
  <c r="AG8" i="1"/>
  <c r="M20" i="15" s="1"/>
  <c r="AF8" i="1"/>
  <c r="L20" i="15" s="1"/>
  <c r="AE8" i="1"/>
  <c r="K20" i="15" s="1"/>
  <c r="AD8" i="1"/>
  <c r="J20" i="15" s="1"/>
  <c r="AC8" i="1"/>
  <c r="I20" i="15" s="1"/>
  <c r="AB8" i="1"/>
  <c r="H20" i="15" s="1"/>
  <c r="AA8" i="1"/>
  <c r="G20" i="15" s="1"/>
  <c r="Z8" i="1"/>
  <c r="F20" i="15" s="1"/>
  <c r="Y8" i="1"/>
  <c r="E20" i="15" s="1"/>
  <c r="X8" i="1"/>
  <c r="D20" i="15" s="1"/>
  <c r="W8" i="1"/>
  <c r="C20" i="15" s="1"/>
  <c r="V8" i="1"/>
  <c r="B20" i="15" s="1"/>
  <c r="U8" i="1"/>
  <c r="P10" i="15" s="1"/>
  <c r="T8" i="1"/>
  <c r="O10" i="15" s="1"/>
  <c r="S8" i="1"/>
  <c r="N10" i="15" s="1"/>
  <c r="R8" i="1"/>
  <c r="M10" i="15" s="1"/>
  <c r="Q8" i="1"/>
  <c r="L10" i="15" s="1"/>
  <c r="P8" i="1"/>
  <c r="K10" i="15" s="1"/>
  <c r="O8" i="1"/>
  <c r="J10" i="15" s="1"/>
  <c r="N8" i="1"/>
  <c r="I10" i="15" s="1"/>
  <c r="M8" i="1"/>
  <c r="H10" i="15" s="1"/>
  <c r="L8" i="1"/>
  <c r="G10" i="15" s="1"/>
  <c r="K8" i="1"/>
  <c r="F10" i="15" s="1"/>
  <c r="J8" i="1"/>
  <c r="E10" i="15" s="1"/>
  <c r="I8" i="1"/>
  <c r="D10" i="15" s="1"/>
  <c r="H8" i="1"/>
  <c r="C10" i="15" s="1"/>
  <c r="G8" i="1"/>
  <c r="B10" i="15" s="1"/>
  <c r="AK7" i="1"/>
  <c r="B30" i="14" s="1"/>
  <c r="AJ7" i="1"/>
  <c r="P20" i="14" s="1"/>
  <c r="AI7" i="1"/>
  <c r="O20" i="14" s="1"/>
  <c r="AH7" i="1"/>
  <c r="N20" i="14" s="1"/>
  <c r="AG7" i="1"/>
  <c r="M20" i="14" s="1"/>
  <c r="AF7" i="1"/>
  <c r="L20" i="14" s="1"/>
  <c r="AE7" i="1"/>
  <c r="K20" i="14" s="1"/>
  <c r="AD7" i="1"/>
  <c r="J20" i="14" s="1"/>
  <c r="AC7" i="1"/>
  <c r="I20" i="14" s="1"/>
  <c r="AB7" i="1"/>
  <c r="H20" i="14" s="1"/>
  <c r="AA7" i="1"/>
  <c r="G20" i="14" s="1"/>
  <c r="Z7" i="1"/>
  <c r="F20" i="14" s="1"/>
  <c r="Y7" i="1"/>
  <c r="E20" i="14" s="1"/>
  <c r="X7" i="1"/>
  <c r="D20" i="14" s="1"/>
  <c r="W7" i="1"/>
  <c r="C20" i="14" s="1"/>
  <c r="V7" i="1"/>
  <c r="B20" i="14" s="1"/>
  <c r="U7" i="1"/>
  <c r="P10" i="14" s="1"/>
  <c r="T7" i="1"/>
  <c r="O10" i="14" s="1"/>
  <c r="S7" i="1"/>
  <c r="N10" i="14" s="1"/>
  <c r="R7" i="1"/>
  <c r="M10" i="14" s="1"/>
  <c r="Q7" i="1"/>
  <c r="L10" i="14" s="1"/>
  <c r="P7" i="1"/>
  <c r="K10" i="14" s="1"/>
  <c r="O7" i="1"/>
  <c r="J10" i="14" s="1"/>
  <c r="N7" i="1"/>
  <c r="I10" i="14" s="1"/>
  <c r="M7" i="1"/>
  <c r="H10" i="14" s="1"/>
  <c r="L7" i="1"/>
  <c r="G10" i="14" s="1"/>
  <c r="K7" i="1"/>
  <c r="F10" i="14" s="1"/>
  <c r="J7" i="1"/>
  <c r="E10" i="14" s="1"/>
  <c r="I7" i="1"/>
  <c r="D10" i="14" s="1"/>
  <c r="H7" i="1"/>
  <c r="C10" i="14" s="1"/>
  <c r="G7" i="1"/>
  <c r="B10" i="14" s="1"/>
  <c r="Y32" i="1" l="1"/>
  <c r="E20" i="25"/>
  <c r="AC32" i="1"/>
  <c r="I20" i="25"/>
  <c r="AG32" i="1"/>
  <c r="M20" i="25"/>
  <c r="AK32" i="1"/>
  <c r="B30" i="25"/>
  <c r="AJ22" i="1"/>
  <c r="P20" i="15"/>
  <c r="AG26" i="1"/>
  <c r="M20" i="19"/>
  <c r="E22" i="4"/>
  <c r="B10" i="20"/>
  <c r="G9" i="4"/>
  <c r="D10" i="20"/>
  <c r="I22" i="4"/>
  <c r="F10" i="20"/>
  <c r="K9" i="4"/>
  <c r="H10" i="20"/>
  <c r="M22" i="4"/>
  <c r="J10" i="20"/>
  <c r="O9" i="4"/>
  <c r="L10" i="20"/>
  <c r="Q22" i="4"/>
  <c r="N10" i="20"/>
  <c r="S9" i="4"/>
  <c r="P10" i="20"/>
  <c r="U22" i="4"/>
  <c r="C20" i="20"/>
  <c r="W9" i="4"/>
  <c r="E20" i="20"/>
  <c r="Y22" i="4"/>
  <c r="G20" i="20"/>
  <c r="AA9" i="4"/>
  <c r="I20" i="20"/>
  <c r="AC22" i="4"/>
  <c r="K20" i="20"/>
  <c r="AE9" i="4"/>
  <c r="M20" i="20"/>
  <c r="AG22" i="4"/>
  <c r="O20" i="20"/>
  <c r="AI9" i="4"/>
  <c r="B30" i="20"/>
  <c r="I28" i="1"/>
  <c r="D10" i="21"/>
  <c r="M28" i="1"/>
  <c r="H10" i="21"/>
  <c r="Q28" i="1"/>
  <c r="L10" i="21"/>
  <c r="U28" i="1"/>
  <c r="P10" i="21"/>
  <c r="Y28" i="1"/>
  <c r="E20" i="21"/>
  <c r="AC28" i="1"/>
  <c r="I20" i="21"/>
  <c r="AG28" i="1"/>
  <c r="M20" i="21"/>
  <c r="AK28" i="1"/>
  <c r="B30" i="21"/>
  <c r="G29" i="1"/>
  <c r="B10" i="22"/>
  <c r="K29" i="1"/>
  <c r="F10" i="22"/>
  <c r="O29" i="1"/>
  <c r="J10" i="22"/>
  <c r="S29" i="1"/>
  <c r="N10" i="22"/>
  <c r="W29" i="1"/>
  <c r="C20" i="22"/>
  <c r="AA29" i="1"/>
  <c r="G20" i="22"/>
  <c r="AE29" i="1"/>
  <c r="K20" i="22"/>
  <c r="AI29" i="1"/>
  <c r="O20" i="22"/>
  <c r="I30" i="1"/>
  <c r="D10" i="23"/>
  <c r="M30" i="1"/>
  <c r="H10" i="23"/>
  <c r="Q30" i="1"/>
  <c r="L10" i="23"/>
  <c r="U30" i="1"/>
  <c r="P10" i="23"/>
  <c r="Y30" i="1"/>
  <c r="E20" i="23"/>
  <c r="AC30" i="1"/>
  <c r="I20" i="23"/>
  <c r="AG30" i="1"/>
  <c r="M20" i="23"/>
  <c r="AK30" i="1"/>
  <c r="B30" i="23"/>
  <c r="G31" i="1"/>
  <c r="B10" i="24"/>
  <c r="K31" i="1"/>
  <c r="F10" i="24"/>
  <c r="O31" i="1"/>
  <c r="J10" i="24"/>
  <c r="S31" i="1"/>
  <c r="N10" i="24"/>
  <c r="W31" i="1"/>
  <c r="C20" i="24"/>
  <c r="AA31" i="1"/>
  <c r="G20" i="24"/>
  <c r="AE31" i="1"/>
  <c r="K20" i="24"/>
  <c r="AI31" i="1"/>
  <c r="O20" i="24"/>
  <c r="I32" i="1"/>
  <c r="D10" i="25"/>
  <c r="M32" i="1"/>
  <c r="H10" i="25"/>
  <c r="Q32" i="1"/>
  <c r="L10" i="25"/>
  <c r="U32" i="1"/>
  <c r="P10" i="25"/>
  <c r="H21" i="1"/>
  <c r="L21" i="1"/>
  <c r="P21" i="1"/>
  <c r="K27" i="1"/>
  <c r="S27" i="1"/>
  <c r="AA27" i="1"/>
  <c r="AI27" i="1"/>
  <c r="I9" i="4"/>
  <c r="Q9" i="4"/>
  <c r="Y9" i="4"/>
  <c r="AG9" i="4"/>
  <c r="G22" i="4"/>
  <c r="O22" i="4"/>
  <c r="W22" i="4"/>
  <c r="AE22" i="4"/>
  <c r="G27" i="1"/>
  <c r="O27" i="1"/>
  <c r="W27" i="1"/>
  <c r="AE27" i="1"/>
  <c r="E9" i="4"/>
  <c r="M9" i="4"/>
  <c r="U9" i="4"/>
  <c r="AC9" i="4"/>
  <c r="K22" i="4"/>
  <c r="S22" i="4"/>
  <c r="AA22" i="4"/>
  <c r="AI22" i="4"/>
  <c r="F9" i="10"/>
  <c r="F22" i="10"/>
  <c r="H9" i="10"/>
  <c r="H22" i="10"/>
  <c r="J9" i="10"/>
  <c r="J22" i="10"/>
  <c r="L9" i="10"/>
  <c r="L22" i="10"/>
  <c r="N9" i="10"/>
  <c r="N22" i="10"/>
  <c r="P9" i="10"/>
  <c r="P22" i="10"/>
  <c r="R9" i="10"/>
  <c r="R22" i="10"/>
  <c r="T21" i="1"/>
  <c r="T9" i="10"/>
  <c r="T22" i="10"/>
  <c r="V21" i="1"/>
  <c r="V9" i="10"/>
  <c r="V22" i="10"/>
  <c r="X21" i="1"/>
  <c r="X9" i="10"/>
  <c r="X22" i="10"/>
  <c r="Z21" i="1"/>
  <c r="Z9" i="10"/>
  <c r="Z22" i="10"/>
  <c r="AB21" i="1"/>
  <c r="AB9" i="10"/>
  <c r="AB22" i="10"/>
  <c r="AD21" i="1"/>
  <c r="AD9" i="10"/>
  <c r="AD22" i="10"/>
  <c r="AF21" i="1"/>
  <c r="AF9" i="10"/>
  <c r="AF22" i="10"/>
  <c r="AH21" i="1"/>
  <c r="AH9" i="10"/>
  <c r="AH22" i="10"/>
  <c r="AJ21" i="1"/>
  <c r="F22" i="9"/>
  <c r="F9" i="9"/>
  <c r="H22" i="1"/>
  <c r="H22" i="9"/>
  <c r="H9" i="9"/>
  <c r="J22" i="1"/>
  <c r="J22" i="9"/>
  <c r="J9" i="9"/>
  <c r="L22" i="1"/>
  <c r="L22" i="9"/>
  <c r="L9" i="9"/>
  <c r="N22" i="1"/>
  <c r="N22" i="9"/>
  <c r="N9" i="9"/>
  <c r="P22" i="1"/>
  <c r="P22" i="9"/>
  <c r="P9" i="9"/>
  <c r="R22" i="1"/>
  <c r="R22" i="9"/>
  <c r="R9" i="9"/>
  <c r="T22" i="1"/>
  <c r="T22" i="9"/>
  <c r="T9" i="9"/>
  <c r="V22" i="1"/>
  <c r="V22" i="9"/>
  <c r="V9" i="9"/>
  <c r="X22" i="1"/>
  <c r="X22" i="9"/>
  <c r="X9" i="9"/>
  <c r="Z22" i="1"/>
  <c r="Z22" i="9"/>
  <c r="Z9" i="9"/>
  <c r="AB22" i="1"/>
  <c r="AB22" i="9"/>
  <c r="AB9" i="9"/>
  <c r="AD22" i="1"/>
  <c r="AD22" i="9"/>
  <c r="AD9" i="9"/>
  <c r="AF22" i="1"/>
  <c r="AF22" i="9"/>
  <c r="AF9" i="9"/>
  <c r="AH22" i="1"/>
  <c r="F22" i="8"/>
  <c r="F9" i="8"/>
  <c r="H23" i="1"/>
  <c r="H22" i="8"/>
  <c r="H9" i="8"/>
  <c r="J23" i="1"/>
  <c r="J22" i="8"/>
  <c r="J9" i="8"/>
  <c r="L23" i="1"/>
  <c r="L22" i="8"/>
  <c r="L9" i="8"/>
  <c r="N23" i="1"/>
  <c r="N22" i="8"/>
  <c r="N9" i="8"/>
  <c r="P23" i="1"/>
  <c r="P22" i="8"/>
  <c r="P9" i="8"/>
  <c r="R23" i="1"/>
  <c r="R22" i="8"/>
  <c r="R9" i="8"/>
  <c r="T23" i="1"/>
  <c r="T22" i="8"/>
  <c r="T9" i="8"/>
  <c r="V23" i="1"/>
  <c r="V22" i="8"/>
  <c r="V9" i="8"/>
  <c r="X23" i="1"/>
  <c r="X22" i="8"/>
  <c r="X9" i="8"/>
  <c r="Z23" i="1"/>
  <c r="Z22" i="8"/>
  <c r="Z9" i="8"/>
  <c r="AB23" i="1"/>
  <c r="AB22" i="8"/>
  <c r="AB9" i="8"/>
  <c r="AD23" i="1"/>
  <c r="AD22" i="8"/>
  <c r="AD9" i="8"/>
  <c r="AF23" i="1"/>
  <c r="AF22" i="8"/>
  <c r="AF9" i="8"/>
  <c r="AH23" i="1"/>
  <c r="AH22" i="8"/>
  <c r="AH9" i="8"/>
  <c r="AJ23" i="1"/>
  <c r="F22" i="7"/>
  <c r="F9" i="7"/>
  <c r="H24" i="1"/>
  <c r="H9" i="7"/>
  <c r="H22" i="7"/>
  <c r="J24" i="1"/>
  <c r="J22" i="7"/>
  <c r="J9" i="7"/>
  <c r="L24" i="1"/>
  <c r="L9" i="7"/>
  <c r="L22" i="7"/>
  <c r="N24" i="1"/>
  <c r="N22" i="7"/>
  <c r="N9" i="7"/>
  <c r="P24" i="1"/>
  <c r="P22" i="7"/>
  <c r="P9" i="7"/>
  <c r="R24" i="1"/>
  <c r="R22" i="7"/>
  <c r="R9" i="7"/>
  <c r="T24" i="1"/>
  <c r="T22" i="7"/>
  <c r="T9" i="7"/>
  <c r="V24" i="1"/>
  <c r="V22" i="7"/>
  <c r="V9" i="7"/>
  <c r="X24" i="1"/>
  <c r="X22" i="7"/>
  <c r="X9" i="7"/>
  <c r="Z24" i="1"/>
  <c r="Z22" i="7"/>
  <c r="Z9" i="7"/>
  <c r="AB24" i="1"/>
  <c r="AB22" i="7"/>
  <c r="AB9" i="7"/>
  <c r="AD24" i="1"/>
  <c r="AD22" i="7"/>
  <c r="AD9" i="7"/>
  <c r="AF24" i="1"/>
  <c r="AF22" i="7"/>
  <c r="AF9" i="7"/>
  <c r="AH24" i="1"/>
  <c r="AH22" i="7"/>
  <c r="AH9" i="7"/>
  <c r="AJ24" i="1"/>
  <c r="F22" i="6"/>
  <c r="F9" i="6"/>
  <c r="H25" i="1"/>
  <c r="H22" i="6"/>
  <c r="H9" i="6"/>
  <c r="J25" i="1"/>
  <c r="J22" i="6"/>
  <c r="J9" i="6"/>
  <c r="L25" i="1"/>
  <c r="L22" i="6"/>
  <c r="L9" i="6"/>
  <c r="N25" i="1"/>
  <c r="N22" i="6"/>
  <c r="N9" i="6"/>
  <c r="P25" i="1"/>
  <c r="P22" i="6"/>
  <c r="P9" i="6"/>
  <c r="R25" i="1"/>
  <c r="R22" i="6"/>
  <c r="R9" i="6"/>
  <c r="T25" i="1"/>
  <c r="T22" i="6"/>
  <c r="T9" i="6"/>
  <c r="V25" i="1"/>
  <c r="V22" i="6"/>
  <c r="V9" i="6"/>
  <c r="X25" i="1"/>
  <c r="X22" i="6"/>
  <c r="X9" i="6"/>
  <c r="Z25" i="1"/>
  <c r="Z22" i="6"/>
  <c r="Z9" i="6"/>
  <c r="AB25" i="1"/>
  <c r="AB22" i="6"/>
  <c r="AB9" i="6"/>
  <c r="AD25" i="1"/>
  <c r="AD22" i="6"/>
  <c r="AD9" i="6"/>
  <c r="AF25" i="1"/>
  <c r="AF22" i="6"/>
  <c r="AF9" i="6"/>
  <c r="AH25" i="1"/>
  <c r="AH22" i="6"/>
  <c r="AH9" i="6"/>
  <c r="AJ25" i="1"/>
  <c r="F22" i="5"/>
  <c r="F9" i="5"/>
  <c r="H26" i="1"/>
  <c r="H9" i="5"/>
  <c r="H22" i="5"/>
  <c r="J26" i="1"/>
  <c r="J22" i="5"/>
  <c r="J9" i="5"/>
  <c r="L26" i="1"/>
  <c r="L9" i="5"/>
  <c r="L22" i="5"/>
  <c r="N26" i="1"/>
  <c r="N22" i="5"/>
  <c r="N9" i="5"/>
  <c r="P26" i="1"/>
  <c r="P9" i="5"/>
  <c r="P22" i="5"/>
  <c r="R26" i="1"/>
  <c r="R22" i="5"/>
  <c r="R9" i="5"/>
  <c r="T26" i="1"/>
  <c r="T9" i="5"/>
  <c r="T22" i="5"/>
  <c r="V26" i="1"/>
  <c r="V22" i="5"/>
  <c r="V9" i="5"/>
  <c r="X26" i="1"/>
  <c r="X9" i="5"/>
  <c r="X22" i="5"/>
  <c r="Z26" i="1"/>
  <c r="Z22" i="5"/>
  <c r="Z9" i="5"/>
  <c r="AB26" i="1"/>
  <c r="AB9" i="5"/>
  <c r="AB22" i="5"/>
  <c r="AD26" i="1"/>
  <c r="AD22" i="5"/>
  <c r="AD9" i="5"/>
  <c r="AF26" i="1"/>
  <c r="AF9" i="5"/>
  <c r="AF22" i="5"/>
  <c r="AH26" i="1"/>
  <c r="AH22" i="5"/>
  <c r="AH9" i="5"/>
  <c r="AJ26" i="1"/>
  <c r="F22" i="4"/>
  <c r="F9" i="4"/>
  <c r="H27" i="1"/>
  <c r="H22" i="4"/>
  <c r="H9" i="4"/>
  <c r="J27" i="1"/>
  <c r="J22" i="4"/>
  <c r="J9" i="4"/>
  <c r="L27" i="1"/>
  <c r="L22" i="4"/>
  <c r="L9" i="4"/>
  <c r="N27" i="1"/>
  <c r="N22" i="4"/>
  <c r="N9" i="4"/>
  <c r="P27" i="1"/>
  <c r="P22" i="4"/>
  <c r="P9" i="4"/>
  <c r="R27" i="1"/>
  <c r="R22" i="4"/>
  <c r="R9" i="4"/>
  <c r="T27" i="1"/>
  <c r="T22" i="4"/>
  <c r="T9" i="4"/>
  <c r="V27" i="1"/>
  <c r="V22" i="4"/>
  <c r="V9" i="4"/>
  <c r="X27" i="1"/>
  <c r="X22" i="4"/>
  <c r="X9" i="4"/>
  <c r="Z27" i="1"/>
  <c r="Z22" i="4"/>
  <c r="Z9" i="4"/>
  <c r="AB27" i="1"/>
  <c r="AB22" i="4"/>
  <c r="AB9" i="4"/>
  <c r="AD27" i="1"/>
  <c r="AD22" i="4"/>
  <c r="AD9" i="4"/>
  <c r="AF27" i="1"/>
  <c r="AF22" i="4"/>
  <c r="AF9" i="4"/>
  <c r="AH27" i="1"/>
  <c r="AH22" i="4"/>
  <c r="AH9" i="4"/>
  <c r="AJ27" i="1"/>
  <c r="H28" i="1"/>
  <c r="F22" i="3"/>
  <c r="F9" i="3"/>
  <c r="J28" i="1"/>
  <c r="H22" i="3"/>
  <c r="H9" i="3"/>
  <c r="L28" i="1"/>
  <c r="J22" i="3"/>
  <c r="J9" i="3"/>
  <c r="N28" i="1"/>
  <c r="L22" i="3"/>
  <c r="L9" i="3"/>
  <c r="P28" i="1"/>
  <c r="N22" i="3"/>
  <c r="N9" i="3"/>
  <c r="R28" i="1"/>
  <c r="P22" i="3"/>
  <c r="P9" i="3"/>
  <c r="T28" i="1"/>
  <c r="R22" i="3"/>
  <c r="R9" i="3"/>
  <c r="V28" i="1"/>
  <c r="T22" i="3"/>
  <c r="T9" i="3"/>
  <c r="X28" i="1"/>
  <c r="V22" i="3"/>
  <c r="V9" i="3"/>
  <c r="Z28" i="1"/>
  <c r="X22" i="3"/>
  <c r="X9" i="3"/>
  <c r="AB28" i="1"/>
  <c r="Z22" i="3"/>
  <c r="Z9" i="3"/>
  <c r="AD28" i="1"/>
  <c r="AB22" i="3"/>
  <c r="AB9" i="3"/>
  <c r="AF28" i="1"/>
  <c r="AD22" i="3"/>
  <c r="AD9" i="3"/>
  <c r="AH28" i="1"/>
  <c r="AF22" i="3"/>
  <c r="AF9" i="3"/>
  <c r="AJ28" i="1"/>
  <c r="AH22" i="3"/>
  <c r="AH9" i="3"/>
  <c r="F9" i="2"/>
  <c r="H29" i="1"/>
  <c r="F22" i="2"/>
  <c r="H9" i="2"/>
  <c r="J29" i="1"/>
  <c r="H22" i="2"/>
  <c r="J9" i="2"/>
  <c r="L29" i="1"/>
  <c r="J22" i="2"/>
  <c r="L9" i="2"/>
  <c r="N29" i="1"/>
  <c r="L22" i="2"/>
  <c r="N9" i="2"/>
  <c r="P29" i="1"/>
  <c r="N22" i="2"/>
  <c r="P9" i="2"/>
  <c r="R29" i="1"/>
  <c r="P22" i="2"/>
  <c r="R9" i="2"/>
  <c r="T29" i="1"/>
  <c r="R22" i="2"/>
  <c r="T9" i="2"/>
  <c r="V29" i="1"/>
  <c r="T22" i="2"/>
  <c r="V9" i="2"/>
  <c r="X29" i="1"/>
  <c r="V22" i="2"/>
  <c r="X9" i="2"/>
  <c r="Z29" i="1"/>
  <c r="X22" i="2"/>
  <c r="Z9" i="2"/>
  <c r="AB29" i="1"/>
  <c r="Z22" i="2"/>
  <c r="AB9" i="2"/>
  <c r="AD29" i="1"/>
  <c r="AB22" i="2"/>
  <c r="AD9" i="2"/>
  <c r="AF29" i="1"/>
  <c r="AD22" i="2"/>
  <c r="AF9" i="2"/>
  <c r="AH29" i="1"/>
  <c r="AF22" i="2"/>
  <c r="AH9" i="2"/>
  <c r="AJ29" i="1"/>
  <c r="AH22" i="2"/>
  <c r="F22" i="11"/>
  <c r="F9" i="11"/>
  <c r="H30" i="1"/>
  <c r="H22" i="11"/>
  <c r="H9" i="11"/>
  <c r="J30" i="1"/>
  <c r="J22" i="11"/>
  <c r="J9" i="11"/>
  <c r="L30" i="1"/>
  <c r="L22" i="11"/>
  <c r="L9" i="11"/>
  <c r="N30" i="1"/>
  <c r="N22" i="11"/>
  <c r="N9" i="11"/>
  <c r="P30" i="1"/>
  <c r="P22" i="11"/>
  <c r="P9" i="11"/>
  <c r="R30" i="1"/>
  <c r="R22" i="11"/>
  <c r="R9" i="11"/>
  <c r="T30" i="1"/>
  <c r="T22" i="11"/>
  <c r="T9" i="11"/>
  <c r="V30" i="1"/>
  <c r="V22" i="11"/>
  <c r="V9" i="11"/>
  <c r="X30" i="1"/>
  <c r="X22" i="11"/>
  <c r="X9" i="11"/>
  <c r="Z30" i="1"/>
  <c r="Z22" i="11"/>
  <c r="Z9" i="11"/>
  <c r="AB30" i="1"/>
  <c r="AB22" i="11"/>
  <c r="AB9" i="11"/>
  <c r="AD30" i="1"/>
  <c r="AD22" i="11"/>
  <c r="AD9" i="11"/>
  <c r="AF30" i="1"/>
  <c r="AF22" i="11"/>
  <c r="AF9" i="11"/>
  <c r="AH30" i="1"/>
  <c r="AH22" i="11"/>
  <c r="AH9" i="11"/>
  <c r="AJ30" i="1"/>
  <c r="F22" i="12"/>
  <c r="F9" i="12"/>
  <c r="H31" i="1"/>
  <c r="H22" i="12"/>
  <c r="H9" i="12"/>
  <c r="J31" i="1"/>
  <c r="J22" i="12"/>
  <c r="J9" i="12"/>
  <c r="L31" i="1"/>
  <c r="L22" i="12"/>
  <c r="L9" i="12"/>
  <c r="N31" i="1"/>
  <c r="N22" i="12"/>
  <c r="N9" i="12"/>
  <c r="P31" i="1"/>
  <c r="P22" i="12"/>
  <c r="P9" i="12"/>
  <c r="R31" i="1"/>
  <c r="R22" i="12"/>
  <c r="R9" i="12"/>
  <c r="T31" i="1"/>
  <c r="T22" i="12"/>
  <c r="T9" i="12"/>
  <c r="V31" i="1"/>
  <c r="V22" i="12"/>
  <c r="V9" i="12"/>
  <c r="X31" i="1"/>
  <c r="X22" i="12"/>
  <c r="X9" i="12"/>
  <c r="Z31" i="1"/>
  <c r="Z22" i="12"/>
  <c r="Z9" i="12"/>
  <c r="AB31" i="1"/>
  <c r="AB22" i="12"/>
  <c r="AB9" i="12"/>
  <c r="AD31" i="1"/>
  <c r="AD22" i="12"/>
  <c r="AD9" i="12"/>
  <c r="AF31" i="1"/>
  <c r="AF22" i="12"/>
  <c r="AF9" i="12"/>
  <c r="AH31" i="1"/>
  <c r="AH22" i="12"/>
  <c r="AH9" i="12"/>
  <c r="AJ31" i="1"/>
  <c r="F22" i="13"/>
  <c r="F9" i="13"/>
  <c r="H32" i="1"/>
  <c r="H22" i="13"/>
  <c r="H9" i="13"/>
  <c r="J32" i="1"/>
  <c r="J22" i="13"/>
  <c r="J9" i="13"/>
  <c r="L32" i="1"/>
  <c r="L22" i="13"/>
  <c r="L9" i="13"/>
  <c r="N32" i="1"/>
  <c r="N22" i="13"/>
  <c r="N9" i="13"/>
  <c r="P32" i="1"/>
  <c r="P22" i="13"/>
  <c r="P9" i="13"/>
  <c r="R32" i="1"/>
  <c r="R22" i="13"/>
  <c r="R9" i="13"/>
  <c r="T32" i="1"/>
  <c r="T22" i="13"/>
  <c r="T9" i="13"/>
  <c r="V32" i="1"/>
  <c r="V22" i="13"/>
  <c r="V9" i="13"/>
  <c r="X32" i="1"/>
  <c r="X22" i="13"/>
  <c r="X9" i="13"/>
  <c r="Z32" i="1"/>
  <c r="Z22" i="13"/>
  <c r="Z9" i="13"/>
  <c r="AB32" i="1"/>
  <c r="AB22" i="13"/>
  <c r="AB9" i="13"/>
  <c r="AD32" i="1"/>
  <c r="AD22" i="13"/>
  <c r="AD9" i="13"/>
  <c r="AF32" i="1"/>
  <c r="AF22" i="13"/>
  <c r="AF9" i="13"/>
  <c r="AH32" i="1"/>
  <c r="AH22" i="13"/>
  <c r="AH9" i="13"/>
  <c r="AJ32" i="1"/>
  <c r="J21" i="1"/>
  <c r="N21" i="1"/>
  <c r="R21" i="1"/>
  <c r="E9" i="10"/>
  <c r="E22" i="10"/>
  <c r="G22" i="10"/>
  <c r="G9" i="10"/>
  <c r="I22" i="10"/>
  <c r="I9" i="10"/>
  <c r="K22" i="10"/>
  <c r="K9" i="10"/>
  <c r="M22" i="10"/>
  <c r="M9" i="10"/>
  <c r="O22" i="10"/>
  <c r="O9" i="10"/>
  <c r="Q22" i="10"/>
  <c r="Q9" i="10"/>
  <c r="S22" i="10"/>
  <c r="S9" i="10"/>
  <c r="U22" i="10"/>
  <c r="U9" i="10"/>
  <c r="W22" i="10"/>
  <c r="W9" i="10"/>
  <c r="Y22" i="10"/>
  <c r="Y9" i="10"/>
  <c r="AA22" i="10"/>
  <c r="AA9" i="10"/>
  <c r="AC22" i="10"/>
  <c r="AC9" i="10"/>
  <c r="AE22" i="10"/>
  <c r="AE9" i="10"/>
  <c r="AG22" i="10"/>
  <c r="AG9" i="10"/>
  <c r="AI22" i="10"/>
  <c r="AI9" i="10"/>
  <c r="E22" i="9"/>
  <c r="E9" i="9"/>
  <c r="G9" i="9"/>
  <c r="G22" i="9"/>
  <c r="I9" i="9"/>
  <c r="I22" i="9"/>
  <c r="K9" i="9"/>
  <c r="K22" i="9"/>
  <c r="M9" i="9"/>
  <c r="M22" i="9"/>
  <c r="O9" i="9"/>
  <c r="O22" i="9"/>
  <c r="Q9" i="9"/>
  <c r="Q22" i="9"/>
  <c r="S9" i="9"/>
  <c r="S22" i="9"/>
  <c r="U9" i="9"/>
  <c r="U22" i="9"/>
  <c r="W9" i="9"/>
  <c r="W22" i="9"/>
  <c r="Y9" i="9"/>
  <c r="Y22" i="9"/>
  <c r="AA9" i="9"/>
  <c r="AA22" i="9"/>
  <c r="AC9" i="9"/>
  <c r="AC22" i="9"/>
  <c r="AE9" i="9"/>
  <c r="AE22" i="9"/>
  <c r="AG9" i="9"/>
  <c r="AG22" i="9"/>
  <c r="E9" i="8"/>
  <c r="E22" i="8"/>
  <c r="G22" i="8"/>
  <c r="G9" i="8"/>
  <c r="I9" i="8"/>
  <c r="I22" i="8"/>
  <c r="K22" i="8"/>
  <c r="K9" i="8"/>
  <c r="M9" i="8"/>
  <c r="M22" i="8"/>
  <c r="O22" i="8"/>
  <c r="O9" i="8"/>
  <c r="Q9" i="8"/>
  <c r="Q22" i="8"/>
  <c r="S22" i="8"/>
  <c r="S9" i="8"/>
  <c r="U9" i="8"/>
  <c r="U22" i="8"/>
  <c r="W22" i="8"/>
  <c r="W9" i="8"/>
  <c r="Y9" i="8"/>
  <c r="Y22" i="8"/>
  <c r="AA22" i="8"/>
  <c r="AA9" i="8"/>
  <c r="AC9" i="8"/>
  <c r="AC22" i="8"/>
  <c r="AE22" i="8"/>
  <c r="AE9" i="8"/>
  <c r="AG9" i="8"/>
  <c r="AG22" i="8"/>
  <c r="AI22" i="8"/>
  <c r="AI9" i="8"/>
  <c r="E22" i="7"/>
  <c r="E9" i="7"/>
  <c r="G22" i="7"/>
  <c r="G9" i="7"/>
  <c r="I22" i="7"/>
  <c r="I9" i="7"/>
  <c r="K22" i="7"/>
  <c r="K9" i="7"/>
  <c r="M22" i="7"/>
  <c r="M9" i="7"/>
  <c r="O22" i="7"/>
  <c r="O9" i="7"/>
  <c r="Q22" i="7"/>
  <c r="Q9" i="7"/>
  <c r="S22" i="7"/>
  <c r="S9" i="7"/>
  <c r="U22" i="7"/>
  <c r="U9" i="7"/>
  <c r="W22" i="7"/>
  <c r="W9" i="7"/>
  <c r="Y22" i="7"/>
  <c r="Y9" i="7"/>
  <c r="AA22" i="7"/>
  <c r="AA9" i="7"/>
  <c r="AC22" i="7"/>
  <c r="AC9" i="7"/>
  <c r="AE22" i="7"/>
  <c r="AE9" i="7"/>
  <c r="AG22" i="7"/>
  <c r="AG9" i="7"/>
  <c r="E22" i="6"/>
  <c r="E9" i="6"/>
  <c r="G9" i="6"/>
  <c r="G22" i="6"/>
  <c r="I9" i="6"/>
  <c r="I22" i="6"/>
  <c r="K9" i="6"/>
  <c r="K22" i="6"/>
  <c r="M9" i="6"/>
  <c r="M22" i="6"/>
  <c r="O9" i="6"/>
  <c r="O22" i="6"/>
  <c r="Q9" i="6"/>
  <c r="Q22" i="6"/>
  <c r="S9" i="6"/>
  <c r="S22" i="6"/>
  <c r="U9" i="6"/>
  <c r="U22" i="6"/>
  <c r="W9" i="6"/>
  <c r="W22" i="6"/>
  <c r="Y9" i="6"/>
  <c r="Y22" i="6"/>
  <c r="AA9" i="6"/>
  <c r="AA22" i="6"/>
  <c r="AC9" i="6"/>
  <c r="AC22" i="6"/>
  <c r="AE9" i="6"/>
  <c r="AE22" i="6"/>
  <c r="AG9" i="6"/>
  <c r="AG22" i="6"/>
  <c r="AI9" i="6"/>
  <c r="AI22" i="6"/>
  <c r="E22" i="5"/>
  <c r="E9" i="5"/>
  <c r="G22" i="5"/>
  <c r="G9" i="5"/>
  <c r="I22" i="5"/>
  <c r="I9" i="5"/>
  <c r="K22" i="5"/>
  <c r="K9" i="5"/>
  <c r="M22" i="5"/>
  <c r="M9" i="5"/>
  <c r="O22" i="5"/>
  <c r="O9" i="5"/>
  <c r="Q22" i="5"/>
  <c r="Q9" i="5"/>
  <c r="S22" i="5"/>
  <c r="S9" i="5"/>
  <c r="U22" i="5"/>
  <c r="U9" i="5"/>
  <c r="W22" i="5"/>
  <c r="W9" i="5"/>
  <c r="Y22" i="5"/>
  <c r="Y9" i="5"/>
  <c r="AA22" i="5"/>
  <c r="AA9" i="5"/>
  <c r="AC22" i="5"/>
  <c r="AC9" i="5"/>
  <c r="AE22" i="5"/>
  <c r="AE9" i="5"/>
  <c r="AG22" i="5"/>
  <c r="AG9" i="5"/>
  <c r="E22" i="3"/>
  <c r="E9" i="3"/>
  <c r="G22" i="3"/>
  <c r="G9" i="3"/>
  <c r="I22" i="3"/>
  <c r="I9" i="3"/>
  <c r="K22" i="3"/>
  <c r="K9" i="3"/>
  <c r="M22" i="3"/>
  <c r="M9" i="3"/>
  <c r="O22" i="3"/>
  <c r="O9" i="3"/>
  <c r="Q22" i="3"/>
  <c r="Q9" i="3"/>
  <c r="S22" i="3"/>
  <c r="S9" i="3"/>
  <c r="U22" i="3"/>
  <c r="U9" i="3"/>
  <c r="W22" i="3"/>
  <c r="W9" i="3"/>
  <c r="Y22" i="3"/>
  <c r="Y9" i="3"/>
  <c r="AA22" i="3"/>
  <c r="AA9" i="3"/>
  <c r="AC22" i="3"/>
  <c r="AC9" i="3"/>
  <c r="AE22" i="3"/>
  <c r="AE9" i="3"/>
  <c r="AG22" i="3"/>
  <c r="AG9" i="3"/>
  <c r="AI22" i="3"/>
  <c r="AI9" i="3"/>
  <c r="E9" i="2"/>
  <c r="E22" i="2"/>
  <c r="G9" i="2"/>
  <c r="G22" i="2"/>
  <c r="I9" i="2"/>
  <c r="I22" i="2"/>
  <c r="K9" i="2"/>
  <c r="K22" i="2"/>
  <c r="M9" i="2"/>
  <c r="M22" i="2"/>
  <c r="O9" i="2"/>
  <c r="O22" i="2"/>
  <c r="Q9" i="2"/>
  <c r="Q22" i="2"/>
  <c r="S9" i="2"/>
  <c r="S22" i="2"/>
  <c r="U9" i="2"/>
  <c r="U22" i="2"/>
  <c r="W9" i="2"/>
  <c r="W22" i="2"/>
  <c r="Y9" i="2"/>
  <c r="Y22" i="2"/>
  <c r="AA9" i="2"/>
  <c r="AA22" i="2"/>
  <c r="AC9" i="2"/>
  <c r="AC22" i="2"/>
  <c r="AE9" i="2"/>
  <c r="AE22" i="2"/>
  <c r="AG9" i="2"/>
  <c r="AG22" i="2"/>
  <c r="E9" i="11"/>
  <c r="E22" i="11"/>
  <c r="G22" i="11"/>
  <c r="G9" i="11"/>
  <c r="I22" i="11"/>
  <c r="I9" i="11"/>
  <c r="K22" i="11"/>
  <c r="K9" i="11"/>
  <c r="M22" i="11"/>
  <c r="M9" i="11"/>
  <c r="O22" i="11"/>
  <c r="O9" i="11"/>
  <c r="Q22" i="11"/>
  <c r="Q9" i="11"/>
  <c r="S22" i="11"/>
  <c r="S9" i="11"/>
  <c r="U22" i="11"/>
  <c r="U9" i="11"/>
  <c r="W22" i="11"/>
  <c r="W9" i="11"/>
  <c r="Y22" i="11"/>
  <c r="Y9" i="11"/>
  <c r="AA22" i="11"/>
  <c r="AA9" i="11"/>
  <c r="AC22" i="11"/>
  <c r="AC9" i="11"/>
  <c r="AE22" i="11"/>
  <c r="AE9" i="11"/>
  <c r="AG22" i="11"/>
  <c r="AG9" i="11"/>
  <c r="AI22" i="11"/>
  <c r="AI9" i="11"/>
  <c r="E22" i="12"/>
  <c r="E9" i="12"/>
  <c r="G22" i="12"/>
  <c r="G9" i="12"/>
  <c r="I22" i="12"/>
  <c r="I9" i="12"/>
  <c r="K22" i="12"/>
  <c r="K9" i="12"/>
  <c r="M22" i="12"/>
  <c r="M9" i="12"/>
  <c r="O22" i="12"/>
  <c r="O9" i="12"/>
  <c r="Q22" i="12"/>
  <c r="Q9" i="12"/>
  <c r="S22" i="12"/>
  <c r="S9" i="12"/>
  <c r="U22" i="12"/>
  <c r="U9" i="12"/>
  <c r="W22" i="12"/>
  <c r="W9" i="12"/>
  <c r="Y22" i="12"/>
  <c r="Y9" i="12"/>
  <c r="AA22" i="12"/>
  <c r="AA9" i="12"/>
  <c r="AC22" i="12"/>
  <c r="AC9" i="12"/>
  <c r="AE22" i="12"/>
  <c r="AE9" i="12"/>
  <c r="AG22" i="12"/>
  <c r="AG9" i="12"/>
  <c r="E22" i="13"/>
  <c r="E9" i="13"/>
  <c r="G9" i="13"/>
  <c r="G22" i="13"/>
  <c r="I9" i="13"/>
  <c r="I22" i="13"/>
  <c r="K9" i="13"/>
  <c r="K22" i="13"/>
  <c r="M9" i="13"/>
  <c r="M22" i="13"/>
  <c r="O9" i="13"/>
  <c r="O22" i="13"/>
  <c r="Q9" i="13"/>
  <c r="Q22" i="13"/>
  <c r="S9" i="13"/>
  <c r="S22" i="13"/>
  <c r="U9" i="13"/>
  <c r="U22" i="13"/>
  <c r="W9" i="13"/>
  <c r="W22" i="13"/>
  <c r="Y9" i="13"/>
  <c r="Y22" i="13"/>
  <c r="AA9" i="13"/>
  <c r="AA22" i="13"/>
  <c r="AC9" i="13"/>
  <c r="AC22" i="13"/>
  <c r="AE9" i="13"/>
  <c r="AE22" i="13"/>
  <c r="AG9" i="13"/>
  <c r="AG22" i="13"/>
  <c r="AI9" i="13"/>
  <c r="AI22" i="13"/>
  <c r="G21" i="1"/>
  <c r="I21" i="1"/>
  <c r="K21" i="1"/>
  <c r="M21" i="1"/>
  <c r="O21" i="1"/>
  <c r="Q21" i="1"/>
  <c r="S21" i="1"/>
  <c r="U21" i="1"/>
  <c r="W21" i="1"/>
  <c r="Y21" i="1"/>
  <c r="AA21" i="1"/>
  <c r="AC21" i="1"/>
  <c r="AE21" i="1"/>
  <c r="AG21" i="1"/>
  <c r="AI21" i="1"/>
  <c r="AK21" i="1"/>
  <c r="G22" i="1"/>
  <c r="I22" i="1"/>
  <c r="K22" i="1"/>
  <c r="M22" i="1"/>
  <c r="O22" i="1"/>
  <c r="Q22" i="1"/>
  <c r="S22" i="1"/>
  <c r="U22" i="1"/>
  <c r="W22" i="1"/>
  <c r="Y22" i="1"/>
  <c r="AA22" i="1"/>
  <c r="AC22" i="1"/>
  <c r="AE22" i="1"/>
  <c r="AG22" i="1"/>
  <c r="AI22" i="1"/>
  <c r="G23" i="1"/>
  <c r="I23" i="1"/>
  <c r="K23" i="1"/>
  <c r="M23" i="1"/>
  <c r="O23" i="1"/>
  <c r="Q23" i="1"/>
  <c r="S23" i="1"/>
  <c r="U23" i="1"/>
  <c r="W23" i="1"/>
  <c r="Y23" i="1"/>
  <c r="AA23" i="1"/>
  <c r="AC23" i="1"/>
  <c r="AE23" i="1"/>
  <c r="AG23" i="1"/>
  <c r="AI23" i="1"/>
  <c r="AK23" i="1"/>
  <c r="G24" i="1"/>
  <c r="I24" i="1"/>
  <c r="K24" i="1"/>
  <c r="M24" i="1"/>
  <c r="O24" i="1"/>
  <c r="Q24" i="1"/>
  <c r="S24" i="1"/>
  <c r="U24" i="1"/>
  <c r="W24" i="1"/>
  <c r="Y24" i="1"/>
  <c r="AA24" i="1"/>
  <c r="AC24" i="1"/>
  <c r="AE24" i="1"/>
  <c r="AG24" i="1"/>
  <c r="AI24" i="1"/>
  <c r="G25" i="1"/>
  <c r="I25" i="1"/>
  <c r="K25" i="1"/>
  <c r="M25" i="1"/>
  <c r="O25" i="1"/>
  <c r="Q25" i="1"/>
  <c r="S25" i="1"/>
  <c r="U25" i="1"/>
  <c r="W25" i="1"/>
  <c r="Y25" i="1"/>
  <c r="AA25" i="1"/>
  <c r="AC25" i="1"/>
  <c r="AE25" i="1"/>
  <c r="AG25" i="1"/>
  <c r="AI25" i="1"/>
  <c r="AK25" i="1"/>
  <c r="G26" i="1"/>
  <c r="I26" i="1"/>
  <c r="K26" i="1"/>
  <c r="M26" i="1"/>
  <c r="O26" i="1"/>
  <c r="Q26" i="1"/>
  <c r="S26" i="1"/>
  <c r="U26" i="1"/>
  <c r="W26" i="1"/>
  <c r="Y26" i="1"/>
  <c r="AA26" i="1"/>
  <c r="AC26" i="1"/>
  <c r="AE26" i="1"/>
  <c r="AI26" i="1"/>
  <c r="I27" i="1"/>
  <c r="M27" i="1"/>
  <c r="Q27" i="1"/>
  <c r="U27" i="1"/>
  <c r="Y27" i="1"/>
  <c r="AC27" i="1"/>
  <c r="AG27" i="1"/>
  <c r="AK27" i="1"/>
  <c r="G28" i="1"/>
  <c r="K28" i="1"/>
  <c r="O28" i="1"/>
  <c r="S28" i="1"/>
  <c r="W28" i="1"/>
  <c r="AA28" i="1"/>
  <c r="AE28" i="1"/>
  <c r="AI28" i="1"/>
  <c r="I29" i="1"/>
  <c r="M29" i="1"/>
  <c r="Q29" i="1"/>
  <c r="U29" i="1"/>
  <c r="Y29" i="1"/>
  <c r="AC29" i="1"/>
  <c r="AG29" i="1"/>
  <c r="G30" i="1"/>
  <c r="K30" i="1"/>
  <c r="O30" i="1"/>
  <c r="S30" i="1"/>
  <c r="W30" i="1"/>
  <c r="AA30" i="1"/>
  <c r="AE30" i="1"/>
  <c r="AI30" i="1"/>
  <c r="I31" i="1"/>
  <c r="M31" i="1"/>
  <c r="Q31" i="1"/>
  <c r="U31" i="1"/>
  <c r="Y31" i="1"/>
  <c r="AC31" i="1"/>
  <c r="AG31" i="1"/>
  <c r="G32" i="1"/>
  <c r="K32" i="1"/>
  <c r="O32" i="1"/>
  <c r="S32" i="1"/>
  <c r="W32" i="1"/>
  <c r="AA32" i="1"/>
  <c r="AE32" i="1"/>
  <c r="AI32" i="1"/>
  <c r="AI17" i="2"/>
  <c r="AK26" i="4" l="1"/>
  <c r="AK17" i="4" s="1"/>
  <c r="B36" i="20"/>
  <c r="O26" i="20"/>
  <c r="M26" i="20"/>
  <c r="K26" i="20"/>
  <c r="I26" i="20"/>
  <c r="G26" i="20"/>
  <c r="E26" i="20"/>
  <c r="C26" i="20"/>
  <c r="P16" i="20"/>
  <c r="N16" i="20"/>
  <c r="L16" i="20"/>
  <c r="J16" i="20"/>
  <c r="H16" i="20"/>
  <c r="F16" i="20"/>
  <c r="D16" i="20"/>
  <c r="P25" i="20"/>
  <c r="N25" i="20"/>
  <c r="L25" i="20"/>
  <c r="J25" i="20"/>
  <c r="H25" i="20"/>
  <c r="F25" i="20"/>
  <c r="D25" i="20"/>
  <c r="B25" i="20"/>
  <c r="O15" i="20"/>
  <c r="M15" i="20"/>
  <c r="K15" i="20"/>
  <c r="I15" i="20"/>
  <c r="G15" i="20"/>
  <c r="E15" i="20"/>
  <c r="C15" i="20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G13" i="4"/>
  <c r="E13" i="4"/>
  <c r="P26" i="20"/>
  <c r="N26" i="20"/>
  <c r="L26" i="20"/>
  <c r="J26" i="20"/>
  <c r="H26" i="20"/>
  <c r="F26" i="20"/>
  <c r="D26" i="20"/>
  <c r="B26" i="20"/>
  <c r="O16" i="20"/>
  <c r="M16" i="20"/>
  <c r="K16" i="20"/>
  <c r="I16" i="20"/>
  <c r="G16" i="20"/>
  <c r="E16" i="20"/>
  <c r="C16" i="20"/>
  <c r="B35" i="20"/>
  <c r="O25" i="20"/>
  <c r="M25" i="20"/>
  <c r="K25" i="20"/>
  <c r="I25" i="20"/>
  <c r="G25" i="20"/>
  <c r="E25" i="20"/>
  <c r="C25" i="20"/>
  <c r="P15" i="20"/>
  <c r="N15" i="20"/>
  <c r="L15" i="20"/>
  <c r="J15" i="20"/>
  <c r="H15" i="20"/>
  <c r="F15" i="20"/>
  <c r="D15" i="20"/>
  <c r="AH13" i="4"/>
  <c r="AF13" i="4"/>
  <c r="AD13" i="4"/>
  <c r="AB13" i="4"/>
  <c r="Z13" i="4"/>
  <c r="X13" i="4"/>
  <c r="V13" i="4"/>
  <c r="T13" i="4"/>
  <c r="R13" i="4"/>
  <c r="P13" i="4"/>
  <c r="N13" i="4"/>
  <c r="L13" i="4"/>
  <c r="J13" i="4"/>
  <c r="H13" i="4"/>
  <c r="F13" i="4"/>
  <c r="O26" i="24"/>
  <c r="M26" i="24"/>
  <c r="K26" i="24"/>
  <c r="I26" i="24"/>
  <c r="G26" i="24"/>
  <c r="E26" i="24"/>
  <c r="C26" i="24"/>
  <c r="P16" i="24"/>
  <c r="N16" i="24"/>
  <c r="L16" i="24"/>
  <c r="J16" i="24"/>
  <c r="H16" i="24"/>
  <c r="F16" i="24"/>
  <c r="D16" i="24"/>
  <c r="O25" i="24"/>
  <c r="M25" i="24"/>
  <c r="K25" i="24"/>
  <c r="I25" i="24"/>
  <c r="G25" i="24"/>
  <c r="E25" i="24"/>
  <c r="C25" i="24"/>
  <c r="P15" i="24"/>
  <c r="N15" i="24"/>
  <c r="L15" i="24"/>
  <c r="J15" i="24"/>
  <c r="H15" i="24"/>
  <c r="F15" i="24"/>
  <c r="D15" i="24"/>
  <c r="AG13" i="12"/>
  <c r="AE13" i="12"/>
  <c r="AC13" i="12"/>
  <c r="AA13" i="12"/>
  <c r="Y13" i="12"/>
  <c r="W13" i="12"/>
  <c r="U13" i="12"/>
  <c r="S13" i="12"/>
  <c r="Q13" i="12"/>
  <c r="P26" i="24"/>
  <c r="N26" i="24"/>
  <c r="L26" i="24"/>
  <c r="J26" i="24"/>
  <c r="H26" i="24"/>
  <c r="F26" i="24"/>
  <c r="D26" i="24"/>
  <c r="B26" i="24"/>
  <c r="O16" i="24"/>
  <c r="M16" i="24"/>
  <c r="K16" i="24"/>
  <c r="I16" i="24"/>
  <c r="G16" i="24"/>
  <c r="E16" i="24"/>
  <c r="C16" i="24"/>
  <c r="P25" i="24"/>
  <c r="N25" i="24"/>
  <c r="L25" i="24"/>
  <c r="J25" i="24"/>
  <c r="H25" i="24"/>
  <c r="F25" i="24"/>
  <c r="D25" i="24"/>
  <c r="B25" i="24"/>
  <c r="O15" i="24"/>
  <c r="M15" i="24"/>
  <c r="K15" i="24"/>
  <c r="I15" i="24"/>
  <c r="G15" i="24"/>
  <c r="E15" i="24"/>
  <c r="C15" i="24"/>
  <c r="AH13" i="12"/>
  <c r="AF13" i="12"/>
  <c r="AD13" i="12"/>
  <c r="AB13" i="12"/>
  <c r="Z13" i="12"/>
  <c r="X13" i="12"/>
  <c r="V13" i="12"/>
  <c r="T13" i="12"/>
  <c r="R13" i="12"/>
  <c r="P13" i="12"/>
  <c r="N13" i="12"/>
  <c r="L13" i="12"/>
  <c r="J13" i="12"/>
  <c r="H13" i="12"/>
  <c r="F13" i="12"/>
  <c r="O13" i="12"/>
  <c r="K13" i="12"/>
  <c r="G13" i="12"/>
  <c r="M13" i="12"/>
  <c r="I13" i="12"/>
  <c r="E13" i="12"/>
  <c r="AJ26" i="12"/>
  <c r="AJ17" i="12" s="1"/>
  <c r="P26" i="16"/>
  <c r="N26" i="16"/>
  <c r="L26" i="16"/>
  <c r="J26" i="16"/>
  <c r="H26" i="16"/>
  <c r="F26" i="16"/>
  <c r="D26" i="16"/>
  <c r="B26" i="16"/>
  <c r="O16" i="16"/>
  <c r="M16" i="16"/>
  <c r="K16" i="16"/>
  <c r="I16" i="16"/>
  <c r="G16" i="16"/>
  <c r="E16" i="16"/>
  <c r="C16" i="16"/>
  <c r="B35" i="16"/>
  <c r="O25" i="16"/>
  <c r="M25" i="16"/>
  <c r="K25" i="16"/>
  <c r="I25" i="16"/>
  <c r="G25" i="16"/>
  <c r="E25" i="16"/>
  <c r="C25" i="16"/>
  <c r="P15" i="16"/>
  <c r="N15" i="16"/>
  <c r="L15" i="16"/>
  <c r="J15" i="16"/>
  <c r="H15" i="16"/>
  <c r="F15" i="16"/>
  <c r="D15" i="16"/>
  <c r="AH13" i="8"/>
  <c r="AF13" i="8"/>
  <c r="AD13" i="8"/>
  <c r="AB13" i="8"/>
  <c r="Z13" i="8"/>
  <c r="X13" i="8"/>
  <c r="V13" i="8"/>
  <c r="T13" i="8"/>
  <c r="R13" i="8"/>
  <c r="P13" i="8"/>
  <c r="N13" i="8"/>
  <c r="L13" i="8"/>
  <c r="J13" i="8"/>
  <c r="H13" i="8"/>
  <c r="F13" i="8"/>
  <c r="B36" i="16"/>
  <c r="O26" i="16"/>
  <c r="M26" i="16"/>
  <c r="K26" i="16"/>
  <c r="I26" i="16"/>
  <c r="G26" i="16"/>
  <c r="E26" i="16"/>
  <c r="C26" i="16"/>
  <c r="P16" i="16"/>
  <c r="N16" i="16"/>
  <c r="L16" i="16"/>
  <c r="J16" i="16"/>
  <c r="H16" i="16"/>
  <c r="F16" i="16"/>
  <c r="D16" i="16"/>
  <c r="P25" i="16"/>
  <c r="N25" i="16"/>
  <c r="L25" i="16"/>
  <c r="J25" i="16"/>
  <c r="H25" i="16"/>
  <c r="F25" i="16"/>
  <c r="D25" i="16"/>
  <c r="B25" i="16"/>
  <c r="O15" i="16"/>
  <c r="M15" i="16"/>
  <c r="K15" i="16"/>
  <c r="I15" i="16"/>
  <c r="G15" i="16"/>
  <c r="E15" i="16"/>
  <c r="C15" i="16"/>
  <c r="AI13" i="8"/>
  <c r="AG13" i="8"/>
  <c r="AE13" i="8"/>
  <c r="AC13" i="8"/>
  <c r="AA13" i="8"/>
  <c r="Y13" i="8"/>
  <c r="W13" i="8"/>
  <c r="U13" i="8"/>
  <c r="S13" i="8"/>
  <c r="Q13" i="8"/>
  <c r="O13" i="8"/>
  <c r="M13" i="8"/>
  <c r="K13" i="8"/>
  <c r="I13" i="8"/>
  <c r="G13" i="8"/>
  <c r="E13" i="8"/>
  <c r="AK26" i="8"/>
  <c r="AK17" i="8" s="1"/>
  <c r="B36" i="14"/>
  <c r="O26" i="14"/>
  <c r="M26" i="14"/>
  <c r="K26" i="14"/>
  <c r="I26" i="14"/>
  <c r="G26" i="14"/>
  <c r="E26" i="14"/>
  <c r="C26" i="14"/>
  <c r="P16" i="14"/>
  <c r="N16" i="14"/>
  <c r="L16" i="14"/>
  <c r="J16" i="14"/>
  <c r="H16" i="14"/>
  <c r="F16" i="14"/>
  <c r="D16" i="14"/>
  <c r="P25" i="14"/>
  <c r="N25" i="14"/>
  <c r="L25" i="14"/>
  <c r="J25" i="14"/>
  <c r="H25" i="14"/>
  <c r="F25" i="14"/>
  <c r="D25" i="14"/>
  <c r="B25" i="14"/>
  <c r="O15" i="14"/>
  <c r="M15" i="14"/>
  <c r="K15" i="14"/>
  <c r="I15" i="14"/>
  <c r="G15" i="14"/>
  <c r="E15" i="14"/>
  <c r="C15" i="14"/>
  <c r="E13" i="10"/>
  <c r="D15" i="14"/>
  <c r="P26" i="14"/>
  <c r="N26" i="14"/>
  <c r="L26" i="14"/>
  <c r="J26" i="14"/>
  <c r="H26" i="14"/>
  <c r="F26" i="14"/>
  <c r="D26" i="14"/>
  <c r="B26" i="14"/>
  <c r="O16" i="14"/>
  <c r="M16" i="14"/>
  <c r="K16" i="14"/>
  <c r="I16" i="14"/>
  <c r="G16" i="14"/>
  <c r="E16" i="14"/>
  <c r="C16" i="14"/>
  <c r="B35" i="14"/>
  <c r="O25" i="14"/>
  <c r="M25" i="14"/>
  <c r="K25" i="14"/>
  <c r="I25" i="14"/>
  <c r="G25" i="14"/>
  <c r="E25" i="14"/>
  <c r="C25" i="14"/>
  <c r="P15" i="14"/>
  <c r="N15" i="14"/>
  <c r="L15" i="14"/>
  <c r="J15" i="14"/>
  <c r="H15" i="14"/>
  <c r="F15" i="14"/>
  <c r="AK26" i="10"/>
  <c r="AK17" i="10" s="1"/>
  <c r="P26" i="17"/>
  <c r="N26" i="17"/>
  <c r="L26" i="17"/>
  <c r="J26" i="17"/>
  <c r="H26" i="17"/>
  <c r="F26" i="17"/>
  <c r="D26" i="17"/>
  <c r="B26" i="17"/>
  <c r="O16" i="17"/>
  <c r="M16" i="17"/>
  <c r="K16" i="17"/>
  <c r="I16" i="17"/>
  <c r="G16" i="17"/>
  <c r="E16" i="17"/>
  <c r="C16" i="17"/>
  <c r="P25" i="17"/>
  <c r="N25" i="17"/>
  <c r="L25" i="17"/>
  <c r="J25" i="17"/>
  <c r="H25" i="17"/>
  <c r="F25" i="17"/>
  <c r="D25" i="17"/>
  <c r="B25" i="17"/>
  <c r="O15" i="17"/>
  <c r="M15" i="17"/>
  <c r="K15" i="17"/>
  <c r="I15" i="17"/>
  <c r="G15" i="17"/>
  <c r="E15" i="17"/>
  <c r="C15" i="17"/>
  <c r="AH13" i="7"/>
  <c r="AF13" i="7"/>
  <c r="AD13" i="7"/>
  <c r="AB13" i="7"/>
  <c r="Z13" i="7"/>
  <c r="X13" i="7"/>
  <c r="V13" i="7"/>
  <c r="T13" i="7"/>
  <c r="R13" i="7"/>
  <c r="P13" i="7"/>
  <c r="N13" i="7"/>
  <c r="L13" i="7"/>
  <c r="J13" i="7"/>
  <c r="H13" i="7"/>
  <c r="F13" i="7"/>
  <c r="O26" i="17"/>
  <c r="M26" i="17"/>
  <c r="K26" i="17"/>
  <c r="I26" i="17"/>
  <c r="G26" i="17"/>
  <c r="E26" i="17"/>
  <c r="C26" i="17"/>
  <c r="P16" i="17"/>
  <c r="N16" i="17"/>
  <c r="L16" i="17"/>
  <c r="J16" i="17"/>
  <c r="F16" i="17"/>
  <c r="M25" i="17"/>
  <c r="I25" i="17"/>
  <c r="E25" i="17"/>
  <c r="P15" i="17"/>
  <c r="L15" i="17"/>
  <c r="H15" i="17"/>
  <c r="D15" i="17"/>
  <c r="AG13" i="7"/>
  <c r="AC13" i="7"/>
  <c r="Y13" i="7"/>
  <c r="U13" i="7"/>
  <c r="Q13" i="7"/>
  <c r="M13" i="7"/>
  <c r="I13" i="7"/>
  <c r="E13" i="7"/>
  <c r="H16" i="17"/>
  <c r="D16" i="17"/>
  <c r="O25" i="17"/>
  <c r="K25" i="17"/>
  <c r="G25" i="17"/>
  <c r="C25" i="17"/>
  <c r="N15" i="17"/>
  <c r="J15" i="17"/>
  <c r="F15" i="17"/>
  <c r="AE13" i="7"/>
  <c r="AA13" i="7"/>
  <c r="W13" i="7"/>
  <c r="S13" i="7"/>
  <c r="O13" i="7"/>
  <c r="K13" i="7"/>
  <c r="G13" i="7"/>
  <c r="AJ26" i="7"/>
  <c r="AJ17" i="7" s="1"/>
  <c r="AK26" i="3"/>
  <c r="AK17" i="3" s="1"/>
  <c r="P26" i="21"/>
  <c r="N26" i="21"/>
  <c r="L26" i="21"/>
  <c r="J26" i="21"/>
  <c r="H26" i="21"/>
  <c r="F26" i="21"/>
  <c r="D26" i="21"/>
  <c r="B26" i="21"/>
  <c r="O16" i="21"/>
  <c r="M16" i="21"/>
  <c r="K16" i="21"/>
  <c r="I16" i="21"/>
  <c r="G16" i="21"/>
  <c r="E16" i="21"/>
  <c r="C16" i="21"/>
  <c r="B35" i="21"/>
  <c r="O25" i="21"/>
  <c r="M25" i="21"/>
  <c r="K25" i="21"/>
  <c r="I25" i="21"/>
  <c r="G25" i="21"/>
  <c r="E25" i="21"/>
  <c r="C25" i="21"/>
  <c r="P15" i="21"/>
  <c r="N15" i="21"/>
  <c r="L15" i="21"/>
  <c r="J15" i="21"/>
  <c r="H15" i="21"/>
  <c r="F15" i="21"/>
  <c r="D15" i="21"/>
  <c r="AH13" i="3"/>
  <c r="AF13" i="3"/>
  <c r="AD13" i="3"/>
  <c r="AB13" i="3"/>
  <c r="Z13" i="3"/>
  <c r="X13" i="3"/>
  <c r="V13" i="3"/>
  <c r="T13" i="3"/>
  <c r="R13" i="3"/>
  <c r="P13" i="3"/>
  <c r="N13" i="3"/>
  <c r="L13" i="3"/>
  <c r="J13" i="3"/>
  <c r="H13" i="3"/>
  <c r="F13" i="3"/>
  <c r="B36" i="21"/>
  <c r="O26" i="21"/>
  <c r="M26" i="21"/>
  <c r="K26" i="21"/>
  <c r="I26" i="21"/>
  <c r="G26" i="21"/>
  <c r="E26" i="21"/>
  <c r="C26" i="21"/>
  <c r="P16" i="21"/>
  <c r="N16" i="21"/>
  <c r="L16" i="21"/>
  <c r="J16" i="21"/>
  <c r="H16" i="21"/>
  <c r="F16" i="21"/>
  <c r="D16" i="21"/>
  <c r="P25" i="21"/>
  <c r="N25" i="21"/>
  <c r="L25" i="21"/>
  <c r="J25" i="21"/>
  <c r="H25" i="21"/>
  <c r="F25" i="21"/>
  <c r="D25" i="21"/>
  <c r="B25" i="21"/>
  <c r="O15" i="21"/>
  <c r="M15" i="21"/>
  <c r="K15" i="21"/>
  <c r="I15" i="21"/>
  <c r="G15" i="21"/>
  <c r="E15" i="21"/>
  <c r="C15" i="21"/>
  <c r="AI13" i="3"/>
  <c r="AG13" i="3"/>
  <c r="AE13" i="3"/>
  <c r="AC13" i="3"/>
  <c r="AA13" i="3"/>
  <c r="Y13" i="3"/>
  <c r="W13" i="3"/>
  <c r="U13" i="3"/>
  <c r="S13" i="3"/>
  <c r="Q13" i="3"/>
  <c r="O13" i="3"/>
  <c r="M13" i="3"/>
  <c r="K13" i="3"/>
  <c r="I13" i="3"/>
  <c r="G13" i="3"/>
  <c r="E13" i="3"/>
  <c r="P26" i="25"/>
  <c r="N26" i="25"/>
  <c r="L26" i="25"/>
  <c r="J26" i="25"/>
  <c r="H26" i="25"/>
  <c r="F26" i="25"/>
  <c r="D26" i="25"/>
  <c r="B26" i="25"/>
  <c r="O16" i="25"/>
  <c r="M16" i="25"/>
  <c r="K16" i="25"/>
  <c r="I16" i="25"/>
  <c r="G16" i="25"/>
  <c r="E16" i="25"/>
  <c r="C16" i="25"/>
  <c r="B35" i="25"/>
  <c r="O25" i="25"/>
  <c r="M25" i="25"/>
  <c r="K25" i="25"/>
  <c r="I25" i="25"/>
  <c r="G25" i="25"/>
  <c r="E25" i="25"/>
  <c r="C25" i="25"/>
  <c r="P15" i="25"/>
  <c r="N15" i="25"/>
  <c r="L15" i="25"/>
  <c r="J15" i="25"/>
  <c r="H15" i="25"/>
  <c r="F15" i="25"/>
  <c r="D15" i="25"/>
  <c r="AH13" i="13"/>
  <c r="AF13" i="13"/>
  <c r="AD13" i="13"/>
  <c r="AB13" i="13"/>
  <c r="Z13" i="13"/>
  <c r="X13" i="13"/>
  <c r="V13" i="13"/>
  <c r="T13" i="13"/>
  <c r="R13" i="13"/>
  <c r="P13" i="13"/>
  <c r="N13" i="13"/>
  <c r="L13" i="13"/>
  <c r="J13" i="13"/>
  <c r="H13" i="13"/>
  <c r="F13" i="13"/>
  <c r="C15" i="25"/>
  <c r="AI13" i="13"/>
  <c r="AG13" i="13"/>
  <c r="AE13" i="13"/>
  <c r="AC13" i="13"/>
  <c r="AA13" i="13"/>
  <c r="Y13" i="13"/>
  <c r="W13" i="13"/>
  <c r="U13" i="13"/>
  <c r="S13" i="13"/>
  <c r="Q13" i="13"/>
  <c r="O13" i="13"/>
  <c r="M13" i="13"/>
  <c r="K13" i="13"/>
  <c r="I13" i="13"/>
  <c r="G13" i="13"/>
  <c r="E13" i="13"/>
  <c r="B36" i="25"/>
  <c r="O26" i="25"/>
  <c r="M26" i="25"/>
  <c r="K26" i="25"/>
  <c r="I26" i="25"/>
  <c r="G26" i="25"/>
  <c r="E26" i="25"/>
  <c r="C26" i="25"/>
  <c r="P16" i="25"/>
  <c r="N16" i="25"/>
  <c r="L16" i="25"/>
  <c r="J16" i="25"/>
  <c r="H16" i="25"/>
  <c r="F16" i="25"/>
  <c r="D16" i="25"/>
  <c r="P25" i="25"/>
  <c r="N25" i="25"/>
  <c r="L25" i="25"/>
  <c r="J25" i="25"/>
  <c r="H25" i="25"/>
  <c r="F25" i="25"/>
  <c r="D25" i="25"/>
  <c r="B25" i="25"/>
  <c r="O15" i="25"/>
  <c r="M15" i="25"/>
  <c r="K15" i="25"/>
  <c r="I15" i="25"/>
  <c r="G15" i="25"/>
  <c r="E15" i="25"/>
  <c r="AK26" i="13"/>
  <c r="AK17" i="13" s="1"/>
  <c r="B36" i="18"/>
  <c r="O26" i="18"/>
  <c r="M26" i="18"/>
  <c r="K26" i="18"/>
  <c r="I26" i="18"/>
  <c r="G26" i="18"/>
  <c r="E26" i="18"/>
  <c r="C26" i="18"/>
  <c r="P16" i="18"/>
  <c r="N16" i="18"/>
  <c r="L16" i="18"/>
  <c r="J16" i="18"/>
  <c r="H16" i="18"/>
  <c r="N26" i="18"/>
  <c r="J26" i="18"/>
  <c r="F26" i="18"/>
  <c r="B26" i="18"/>
  <c r="M16" i="18"/>
  <c r="I16" i="18"/>
  <c r="F16" i="18"/>
  <c r="D16" i="18"/>
  <c r="P25" i="18"/>
  <c r="N25" i="18"/>
  <c r="L25" i="18"/>
  <c r="J25" i="18"/>
  <c r="H25" i="18"/>
  <c r="F25" i="18"/>
  <c r="D25" i="18"/>
  <c r="B25" i="18"/>
  <c r="O15" i="18"/>
  <c r="M15" i="18"/>
  <c r="K15" i="18"/>
  <c r="I15" i="18"/>
  <c r="G15" i="18"/>
  <c r="E15" i="18"/>
  <c r="C15" i="18"/>
  <c r="AI13" i="6"/>
  <c r="AG13" i="6"/>
  <c r="AE13" i="6"/>
  <c r="AC13" i="6"/>
  <c r="AA13" i="6"/>
  <c r="Y13" i="6"/>
  <c r="W13" i="6"/>
  <c r="U13" i="6"/>
  <c r="S13" i="6"/>
  <c r="Q13" i="6"/>
  <c r="O13" i="6"/>
  <c r="M13" i="6"/>
  <c r="K13" i="6"/>
  <c r="I13" i="6"/>
  <c r="G13" i="6"/>
  <c r="E13" i="6"/>
  <c r="P26" i="18"/>
  <c r="L26" i="18"/>
  <c r="H26" i="18"/>
  <c r="D26" i="18"/>
  <c r="O16" i="18"/>
  <c r="K16" i="18"/>
  <c r="G16" i="18"/>
  <c r="E16" i="18"/>
  <c r="C16" i="18"/>
  <c r="B35" i="18"/>
  <c r="O25" i="18"/>
  <c r="M25" i="18"/>
  <c r="K25" i="18"/>
  <c r="I25" i="18"/>
  <c r="G25" i="18"/>
  <c r="E25" i="18"/>
  <c r="C25" i="18"/>
  <c r="P15" i="18"/>
  <c r="N15" i="18"/>
  <c r="L15" i="18"/>
  <c r="J15" i="18"/>
  <c r="H15" i="18"/>
  <c r="F15" i="18"/>
  <c r="D15" i="18"/>
  <c r="AH13" i="6"/>
  <c r="AF13" i="6"/>
  <c r="AD13" i="6"/>
  <c r="AB13" i="6"/>
  <c r="Z13" i="6"/>
  <c r="X13" i="6"/>
  <c r="V13" i="6"/>
  <c r="T13" i="6"/>
  <c r="R13" i="6"/>
  <c r="P13" i="6"/>
  <c r="N13" i="6"/>
  <c r="L13" i="6"/>
  <c r="J13" i="6"/>
  <c r="H13" i="6"/>
  <c r="F13" i="6"/>
  <c r="AK26" i="6"/>
  <c r="AK17" i="6" s="1"/>
  <c r="AJ26" i="2"/>
  <c r="AJ17" i="2" s="1"/>
  <c r="O26" i="22"/>
  <c r="M26" i="22"/>
  <c r="K26" i="22"/>
  <c r="I26" i="22"/>
  <c r="G26" i="22"/>
  <c r="E26" i="22"/>
  <c r="C26" i="22"/>
  <c r="P16" i="22"/>
  <c r="N16" i="22"/>
  <c r="L16" i="22"/>
  <c r="J16" i="22"/>
  <c r="H16" i="22"/>
  <c r="F16" i="22"/>
  <c r="D16" i="22"/>
  <c r="O25" i="22"/>
  <c r="M25" i="22"/>
  <c r="K25" i="22"/>
  <c r="I25" i="22"/>
  <c r="G25" i="22"/>
  <c r="E25" i="22"/>
  <c r="C25" i="22"/>
  <c r="P15" i="22"/>
  <c r="N15" i="22"/>
  <c r="L15" i="22"/>
  <c r="J15" i="22"/>
  <c r="H15" i="22"/>
  <c r="F15" i="22"/>
  <c r="D15" i="22"/>
  <c r="AG13" i="2"/>
  <c r="AE13" i="2"/>
  <c r="AC13" i="2"/>
  <c r="AA13" i="2"/>
  <c r="Y13" i="2"/>
  <c r="W13" i="2"/>
  <c r="U13" i="2"/>
  <c r="S13" i="2"/>
  <c r="Q13" i="2"/>
  <c r="O13" i="2"/>
  <c r="M13" i="2"/>
  <c r="K13" i="2"/>
  <c r="I13" i="2"/>
  <c r="G13" i="2"/>
  <c r="E13" i="2"/>
  <c r="P26" i="22"/>
  <c r="N26" i="22"/>
  <c r="L26" i="22"/>
  <c r="J26" i="22"/>
  <c r="H26" i="22"/>
  <c r="F26" i="22"/>
  <c r="D26" i="22"/>
  <c r="B26" i="22"/>
  <c r="O16" i="22"/>
  <c r="M16" i="22"/>
  <c r="K16" i="22"/>
  <c r="I16" i="22"/>
  <c r="G16" i="22"/>
  <c r="E16" i="22"/>
  <c r="C16" i="22"/>
  <c r="P25" i="22"/>
  <c r="N25" i="22"/>
  <c r="L25" i="22"/>
  <c r="J25" i="22"/>
  <c r="H25" i="22"/>
  <c r="F25" i="22"/>
  <c r="D25" i="22"/>
  <c r="B25" i="22"/>
  <c r="O15" i="22"/>
  <c r="M15" i="22"/>
  <c r="K15" i="22"/>
  <c r="I15" i="22"/>
  <c r="G15" i="22"/>
  <c r="E15" i="22"/>
  <c r="C15" i="22"/>
  <c r="AH13" i="2"/>
  <c r="AF13" i="2"/>
  <c r="AD13" i="2"/>
  <c r="AB13" i="2"/>
  <c r="Z13" i="2"/>
  <c r="X13" i="2"/>
  <c r="V13" i="2"/>
  <c r="T13" i="2"/>
  <c r="R13" i="2"/>
  <c r="P13" i="2"/>
  <c r="N13" i="2"/>
  <c r="L13" i="2"/>
  <c r="J13" i="2"/>
  <c r="H13" i="2"/>
  <c r="F13" i="2"/>
  <c r="O26" i="15"/>
  <c r="M26" i="15"/>
  <c r="K26" i="15"/>
  <c r="I26" i="15"/>
  <c r="G26" i="15"/>
  <c r="E26" i="15"/>
  <c r="C26" i="15"/>
  <c r="P16" i="15"/>
  <c r="N16" i="15"/>
  <c r="L16" i="15"/>
  <c r="J16" i="15"/>
  <c r="H16" i="15"/>
  <c r="F16" i="15"/>
  <c r="D16" i="15"/>
  <c r="N25" i="15"/>
  <c r="L25" i="15"/>
  <c r="J25" i="15"/>
  <c r="H25" i="15"/>
  <c r="F25" i="15"/>
  <c r="D25" i="15"/>
  <c r="B25" i="15"/>
  <c r="O15" i="15"/>
  <c r="M15" i="15"/>
  <c r="K15" i="15"/>
  <c r="I15" i="15"/>
  <c r="G15" i="15"/>
  <c r="E15" i="15"/>
  <c r="C15" i="15"/>
  <c r="AG13" i="9"/>
  <c r="AE13" i="9"/>
  <c r="AC13" i="9"/>
  <c r="AA13" i="9"/>
  <c r="Y13" i="9"/>
  <c r="W13" i="9"/>
  <c r="U13" i="9"/>
  <c r="S13" i="9"/>
  <c r="Q13" i="9"/>
  <c r="O13" i="9"/>
  <c r="M13" i="9"/>
  <c r="K13" i="9"/>
  <c r="I13" i="9"/>
  <c r="G13" i="9"/>
  <c r="E13" i="9"/>
  <c r="N26" i="15"/>
  <c r="L26" i="15"/>
  <c r="J26" i="15"/>
  <c r="H26" i="15"/>
  <c r="F26" i="15"/>
  <c r="D26" i="15"/>
  <c r="B26" i="15"/>
  <c r="O16" i="15"/>
  <c r="M16" i="15"/>
  <c r="K16" i="15"/>
  <c r="I16" i="15"/>
  <c r="G16" i="15"/>
  <c r="E16" i="15"/>
  <c r="C16" i="15"/>
  <c r="O25" i="15"/>
  <c r="M25" i="15"/>
  <c r="K25" i="15"/>
  <c r="I25" i="15"/>
  <c r="G25" i="15"/>
  <c r="E25" i="15"/>
  <c r="C25" i="15"/>
  <c r="P15" i="15"/>
  <c r="N15" i="15"/>
  <c r="L15" i="15"/>
  <c r="J15" i="15"/>
  <c r="H15" i="15"/>
  <c r="F15" i="15"/>
  <c r="D15" i="15"/>
  <c r="AF13" i="9"/>
  <c r="AD13" i="9"/>
  <c r="AB13" i="9"/>
  <c r="Z13" i="9"/>
  <c r="X13" i="9"/>
  <c r="V13" i="9"/>
  <c r="T13" i="9"/>
  <c r="R13" i="9"/>
  <c r="P13" i="9"/>
  <c r="N13" i="9"/>
  <c r="L13" i="9"/>
  <c r="J13" i="9"/>
  <c r="H13" i="9"/>
  <c r="F13" i="9"/>
  <c r="AI26" i="9"/>
  <c r="AI17" i="9" s="1"/>
  <c r="O26" i="19"/>
  <c r="M26" i="19"/>
  <c r="K26" i="19"/>
  <c r="I26" i="19"/>
  <c r="G26" i="19"/>
  <c r="E26" i="19"/>
  <c r="C26" i="19"/>
  <c r="P16" i="19"/>
  <c r="N16" i="19"/>
  <c r="L16" i="19"/>
  <c r="J16" i="19"/>
  <c r="H16" i="19"/>
  <c r="F16" i="19"/>
  <c r="D16" i="19"/>
  <c r="O25" i="19"/>
  <c r="M25" i="19"/>
  <c r="K25" i="19"/>
  <c r="I25" i="19"/>
  <c r="G25" i="19"/>
  <c r="E25" i="19"/>
  <c r="C25" i="19"/>
  <c r="P15" i="19"/>
  <c r="N15" i="19"/>
  <c r="L15" i="19"/>
  <c r="J15" i="19"/>
  <c r="H15" i="19"/>
  <c r="F15" i="19"/>
  <c r="D15" i="19"/>
  <c r="AG13" i="5"/>
  <c r="AE13" i="5"/>
  <c r="AC13" i="5"/>
  <c r="AA13" i="5"/>
  <c r="Y13" i="5"/>
  <c r="W13" i="5"/>
  <c r="U13" i="5"/>
  <c r="S13" i="5"/>
  <c r="Q13" i="5"/>
  <c r="O13" i="5"/>
  <c r="M13" i="5"/>
  <c r="K13" i="5"/>
  <c r="G13" i="5"/>
  <c r="E13" i="5"/>
  <c r="P26" i="19"/>
  <c r="N26" i="19"/>
  <c r="L26" i="19"/>
  <c r="J26" i="19"/>
  <c r="H26" i="19"/>
  <c r="F26" i="19"/>
  <c r="D26" i="19"/>
  <c r="B26" i="19"/>
  <c r="O16" i="19"/>
  <c r="M16" i="19"/>
  <c r="K16" i="19"/>
  <c r="I16" i="19"/>
  <c r="G16" i="19"/>
  <c r="E16" i="19"/>
  <c r="C16" i="19"/>
  <c r="P25" i="19"/>
  <c r="N25" i="19"/>
  <c r="L25" i="19"/>
  <c r="J25" i="19"/>
  <c r="H25" i="19"/>
  <c r="F25" i="19"/>
  <c r="D25" i="19"/>
  <c r="B25" i="19"/>
  <c r="O15" i="19"/>
  <c r="M15" i="19"/>
  <c r="K15" i="19"/>
  <c r="I15" i="19"/>
  <c r="G15" i="19"/>
  <c r="E15" i="19"/>
  <c r="C15" i="19"/>
  <c r="AH13" i="5"/>
  <c r="AF13" i="5"/>
  <c r="AD13" i="5"/>
  <c r="AB13" i="5"/>
  <c r="Z13" i="5"/>
  <c r="X13" i="5"/>
  <c r="V13" i="5"/>
  <c r="T13" i="5"/>
  <c r="R13" i="5"/>
  <c r="P13" i="5"/>
  <c r="N13" i="5"/>
  <c r="L13" i="5"/>
  <c r="J13" i="5"/>
  <c r="H13" i="5"/>
  <c r="F13" i="5"/>
  <c r="I13" i="5"/>
  <c r="AJ26" i="5"/>
  <c r="AJ17" i="5" s="1"/>
  <c r="B36" i="23"/>
  <c r="O26" i="23"/>
  <c r="M26" i="23"/>
  <c r="K26" i="23"/>
  <c r="I26" i="23"/>
  <c r="G26" i="23"/>
  <c r="E26" i="23"/>
  <c r="C26" i="23"/>
  <c r="P16" i="23"/>
  <c r="N16" i="23"/>
  <c r="L16" i="23"/>
  <c r="J16" i="23"/>
  <c r="H16" i="23"/>
  <c r="P26" i="23"/>
  <c r="L26" i="23"/>
  <c r="H26" i="23"/>
  <c r="D26" i="23"/>
  <c r="O16" i="23"/>
  <c r="K16" i="23"/>
  <c r="G16" i="23"/>
  <c r="E16" i="23"/>
  <c r="C16" i="23"/>
  <c r="B35" i="23"/>
  <c r="O25" i="23"/>
  <c r="M25" i="23"/>
  <c r="K25" i="23"/>
  <c r="I25" i="23"/>
  <c r="G25" i="23"/>
  <c r="E25" i="23"/>
  <c r="C25" i="23"/>
  <c r="P15" i="23"/>
  <c r="N15" i="23"/>
  <c r="L15" i="23"/>
  <c r="J15" i="23"/>
  <c r="H15" i="23"/>
  <c r="F15" i="23"/>
  <c r="D15" i="23"/>
  <c r="AH13" i="11"/>
  <c r="AF13" i="11"/>
  <c r="AD13" i="11"/>
  <c r="AB13" i="11"/>
  <c r="Z13" i="11"/>
  <c r="X13" i="11"/>
  <c r="V13" i="11"/>
  <c r="T13" i="11"/>
  <c r="R13" i="11"/>
  <c r="P13" i="11"/>
  <c r="N13" i="11"/>
  <c r="L13" i="11"/>
  <c r="J13" i="11"/>
  <c r="H13" i="11"/>
  <c r="F13" i="11"/>
  <c r="E13" i="11"/>
  <c r="N26" i="23"/>
  <c r="J26" i="23"/>
  <c r="F26" i="23"/>
  <c r="B26" i="23"/>
  <c r="M16" i="23"/>
  <c r="I16" i="23"/>
  <c r="F16" i="23"/>
  <c r="D16" i="23"/>
  <c r="P25" i="23"/>
  <c r="N25" i="23"/>
  <c r="L25" i="23"/>
  <c r="J25" i="23"/>
  <c r="H25" i="23"/>
  <c r="F25" i="23"/>
  <c r="D25" i="23"/>
  <c r="B25" i="23"/>
  <c r="O15" i="23"/>
  <c r="M15" i="23"/>
  <c r="K15" i="23"/>
  <c r="I15" i="23"/>
  <c r="G15" i="23"/>
  <c r="E15" i="23"/>
  <c r="C15" i="23"/>
  <c r="AI13" i="11"/>
  <c r="AG13" i="11"/>
  <c r="AE13" i="11"/>
  <c r="AC13" i="11"/>
  <c r="AA13" i="11"/>
  <c r="Y13" i="11"/>
  <c r="W13" i="11"/>
  <c r="U13" i="11"/>
  <c r="S13" i="11"/>
  <c r="Q13" i="11"/>
  <c r="O13" i="11"/>
  <c r="M13" i="11"/>
  <c r="K13" i="11"/>
  <c r="I13" i="11"/>
  <c r="G13" i="11"/>
  <c r="AK26" i="11"/>
  <c r="AK17" i="11" s="1"/>
  <c r="C14" i="15" l="1"/>
  <c r="F16" i="9"/>
  <c r="F17" i="9" s="1"/>
  <c r="G14" i="15"/>
  <c r="J16" i="9"/>
  <c r="J17" i="9" s="1"/>
  <c r="K14" i="15"/>
  <c r="N16" i="9"/>
  <c r="N17" i="9" s="1"/>
  <c r="O14" i="15"/>
  <c r="R16" i="9"/>
  <c r="R17" i="9" s="1"/>
  <c r="D24" i="15"/>
  <c r="V16" i="9"/>
  <c r="V17" i="9" s="1"/>
  <c r="H24" i="15"/>
  <c r="Z16" i="9"/>
  <c r="Z17" i="9" s="1"/>
  <c r="L24" i="15"/>
  <c r="AD16" i="9"/>
  <c r="AD17" i="9" s="1"/>
  <c r="B15" i="15"/>
  <c r="A15" i="15"/>
  <c r="A25" i="15" s="1"/>
  <c r="D14" i="15"/>
  <c r="G16" i="9"/>
  <c r="G17" i="9" s="1"/>
  <c r="H14" i="15"/>
  <c r="K16" i="9"/>
  <c r="K17" i="9" s="1"/>
  <c r="L14" i="15"/>
  <c r="O16" i="9"/>
  <c r="O17" i="9" s="1"/>
  <c r="P14" i="15"/>
  <c r="S16" i="9"/>
  <c r="S17" i="9" s="1"/>
  <c r="E24" i="15"/>
  <c r="W16" i="9"/>
  <c r="W17" i="9" s="1"/>
  <c r="I24" i="15"/>
  <c r="AA16" i="9"/>
  <c r="AA17" i="9" s="1"/>
  <c r="M24" i="15"/>
  <c r="AE16" i="9"/>
  <c r="AE17" i="9" s="1"/>
  <c r="B16" i="15"/>
  <c r="A16" i="15"/>
  <c r="A26" i="15" s="1"/>
  <c r="E14" i="22"/>
  <c r="H16" i="2"/>
  <c r="H17" i="2" s="1"/>
  <c r="I14" i="22"/>
  <c r="L16" i="2"/>
  <c r="L17" i="2" s="1"/>
  <c r="M14" i="22"/>
  <c r="P16" i="2"/>
  <c r="P17" i="2" s="1"/>
  <c r="B24" i="22"/>
  <c r="T16" i="2"/>
  <c r="T17" i="2" s="1"/>
  <c r="F24" i="22"/>
  <c r="X16" i="2"/>
  <c r="X17" i="2" s="1"/>
  <c r="J24" i="22"/>
  <c r="AB16" i="2"/>
  <c r="AB17" i="2" s="1"/>
  <c r="N24" i="22"/>
  <c r="AF16" i="2"/>
  <c r="AF17" i="2" s="1"/>
  <c r="B14" i="22"/>
  <c r="E16" i="2"/>
  <c r="A14" i="22"/>
  <c r="A24" i="22" s="1"/>
  <c r="I16" i="2"/>
  <c r="I17" i="2" s="1"/>
  <c r="F14" i="22"/>
  <c r="M16" i="2"/>
  <c r="M17" i="2" s="1"/>
  <c r="J14" i="22"/>
  <c r="Q16" i="2"/>
  <c r="Q17" i="2" s="1"/>
  <c r="N14" i="22"/>
  <c r="U16" i="2"/>
  <c r="U17" i="2" s="1"/>
  <c r="C24" i="22"/>
  <c r="Y16" i="2"/>
  <c r="Y17" i="2" s="1"/>
  <c r="G24" i="22"/>
  <c r="AC16" i="2"/>
  <c r="AC17" i="2" s="1"/>
  <c r="K24" i="22"/>
  <c r="AG16" i="2"/>
  <c r="AG17" i="2" s="1"/>
  <c r="O24" i="22"/>
  <c r="B16" i="22"/>
  <c r="A16" i="22"/>
  <c r="A26" i="22" s="1"/>
  <c r="H16" i="6"/>
  <c r="H17" i="6" s="1"/>
  <c r="E14" i="18"/>
  <c r="L16" i="6"/>
  <c r="L17" i="6" s="1"/>
  <c r="I14" i="18"/>
  <c r="P16" i="6"/>
  <c r="P17" i="6" s="1"/>
  <c r="M14" i="18"/>
  <c r="T16" i="6"/>
  <c r="T17" i="6" s="1"/>
  <c r="B24" i="18"/>
  <c r="X16" i="6"/>
  <c r="X17" i="6" s="1"/>
  <c r="F24" i="18"/>
  <c r="AB16" i="6"/>
  <c r="AB17" i="6" s="1"/>
  <c r="J24" i="18"/>
  <c r="AF16" i="6"/>
  <c r="AF17" i="6" s="1"/>
  <c r="N24" i="18"/>
  <c r="B15" i="18"/>
  <c r="A15" i="18"/>
  <c r="H16" i="3"/>
  <c r="H17" i="3" s="1"/>
  <c r="E14" i="21"/>
  <c r="L16" i="3"/>
  <c r="L17" i="3" s="1"/>
  <c r="I14" i="21"/>
  <c r="P16" i="3"/>
  <c r="P17" i="3" s="1"/>
  <c r="M14" i="21"/>
  <c r="T16" i="3"/>
  <c r="T17" i="3" s="1"/>
  <c r="B24" i="21"/>
  <c r="X16" i="3"/>
  <c r="X17" i="3" s="1"/>
  <c r="F24" i="21"/>
  <c r="AB16" i="3"/>
  <c r="AB17" i="3" s="1"/>
  <c r="J24" i="21"/>
  <c r="AF16" i="3"/>
  <c r="AF17" i="3" s="1"/>
  <c r="N24" i="21"/>
  <c r="A15" i="21"/>
  <c r="B15" i="21"/>
  <c r="H14" i="17"/>
  <c r="K16" i="7"/>
  <c r="K17" i="7" s="1"/>
  <c r="S16" i="7"/>
  <c r="S17" i="7" s="1"/>
  <c r="P14" i="17"/>
  <c r="I24" i="17"/>
  <c r="AA16" i="7"/>
  <c r="AA17" i="7" s="1"/>
  <c r="A15" i="17"/>
  <c r="A25" i="17" s="1"/>
  <c r="B15" i="17"/>
  <c r="E16" i="7"/>
  <c r="A14" i="17"/>
  <c r="A24" i="17" s="1"/>
  <c r="B14" i="17"/>
  <c r="J14" i="17"/>
  <c r="M16" i="7"/>
  <c r="M17" i="7" s="1"/>
  <c r="C24" i="17"/>
  <c r="U16" i="7"/>
  <c r="U17" i="7" s="1"/>
  <c r="K24" i="17"/>
  <c r="AC16" i="7"/>
  <c r="AC17" i="7" s="1"/>
  <c r="F16" i="7"/>
  <c r="F17" i="7" s="1"/>
  <c r="C14" i="17"/>
  <c r="J16" i="7"/>
  <c r="J17" i="7" s="1"/>
  <c r="G14" i="17"/>
  <c r="N16" i="7"/>
  <c r="N17" i="7" s="1"/>
  <c r="K14" i="17"/>
  <c r="R16" i="7"/>
  <c r="R17" i="7" s="1"/>
  <c r="O14" i="17"/>
  <c r="V16" i="7"/>
  <c r="V17" i="7" s="1"/>
  <c r="D24" i="17"/>
  <c r="Z16" i="7"/>
  <c r="Z17" i="7" s="1"/>
  <c r="H24" i="17"/>
  <c r="AD16" i="7"/>
  <c r="AD17" i="7" s="1"/>
  <c r="L24" i="17"/>
  <c r="AH16" i="7"/>
  <c r="AH17" i="7" s="1"/>
  <c r="P24" i="17"/>
  <c r="C14" i="14"/>
  <c r="F16" i="10"/>
  <c r="F17" i="10" s="1"/>
  <c r="F24" i="14"/>
  <c r="X16" i="10"/>
  <c r="X17" i="10" s="1"/>
  <c r="N24" i="14"/>
  <c r="AF16" i="10"/>
  <c r="AF17" i="10" s="1"/>
  <c r="G14" i="14"/>
  <c r="J16" i="10"/>
  <c r="J17" i="10" s="1"/>
  <c r="K14" i="14"/>
  <c r="N16" i="10"/>
  <c r="N17" i="10" s="1"/>
  <c r="O14" i="14"/>
  <c r="R16" i="10"/>
  <c r="R17" i="10" s="1"/>
  <c r="H24" i="14"/>
  <c r="Z16" i="10"/>
  <c r="Z17" i="10" s="1"/>
  <c r="P24" i="14"/>
  <c r="AH16" i="10"/>
  <c r="AH17" i="10" s="1"/>
  <c r="A14" i="14"/>
  <c r="E16" i="10"/>
  <c r="B14" i="14"/>
  <c r="F14" i="14"/>
  <c r="I16" i="10"/>
  <c r="I17" i="10" s="1"/>
  <c r="J14" i="14"/>
  <c r="M16" i="10"/>
  <c r="M17" i="10" s="1"/>
  <c r="N14" i="14"/>
  <c r="Q16" i="10"/>
  <c r="Q17" i="10" s="1"/>
  <c r="C24" i="14"/>
  <c r="U16" i="10"/>
  <c r="U17" i="10" s="1"/>
  <c r="G24" i="14"/>
  <c r="Y16" i="10"/>
  <c r="Y17" i="10" s="1"/>
  <c r="K24" i="14"/>
  <c r="AC16" i="10"/>
  <c r="AC17" i="10" s="1"/>
  <c r="O24" i="14"/>
  <c r="AG16" i="10"/>
  <c r="AG17" i="10" s="1"/>
  <c r="B14" i="16"/>
  <c r="E16" i="8"/>
  <c r="A14" i="16"/>
  <c r="I16" i="8"/>
  <c r="I17" i="8" s="1"/>
  <c r="F14" i="16"/>
  <c r="M16" i="8"/>
  <c r="M17" i="8" s="1"/>
  <c r="J14" i="16"/>
  <c r="Q16" i="8"/>
  <c r="Q17" i="8" s="1"/>
  <c r="N14" i="16"/>
  <c r="U16" i="8"/>
  <c r="U17" i="8" s="1"/>
  <c r="C24" i="16"/>
  <c r="Y16" i="8"/>
  <c r="Y17" i="8" s="1"/>
  <c r="G24" i="16"/>
  <c r="AC16" i="8"/>
  <c r="AC17" i="8" s="1"/>
  <c r="K24" i="16"/>
  <c r="AG16" i="8"/>
  <c r="AG17" i="8" s="1"/>
  <c r="O24" i="16"/>
  <c r="E14" i="16"/>
  <c r="H16" i="8"/>
  <c r="H17" i="8" s="1"/>
  <c r="I14" i="16"/>
  <c r="L16" i="8"/>
  <c r="L17" i="8" s="1"/>
  <c r="M14" i="16"/>
  <c r="P16" i="8"/>
  <c r="P17" i="8" s="1"/>
  <c r="B24" i="16"/>
  <c r="T16" i="8"/>
  <c r="T17" i="8" s="1"/>
  <c r="F24" i="16"/>
  <c r="X16" i="8"/>
  <c r="X17" i="8" s="1"/>
  <c r="J24" i="16"/>
  <c r="AB16" i="8"/>
  <c r="AB17" i="8" s="1"/>
  <c r="N24" i="16"/>
  <c r="AF16" i="8"/>
  <c r="AF17" i="8" s="1"/>
  <c r="A15" i="16"/>
  <c r="B15" i="16"/>
  <c r="E16" i="12"/>
  <c r="A14" i="24"/>
  <c r="A24" i="24" s="1"/>
  <c r="B14" i="24"/>
  <c r="J14" i="24"/>
  <c r="M16" i="12"/>
  <c r="M17" i="12" s="1"/>
  <c r="K16" i="12"/>
  <c r="K17" i="12" s="1"/>
  <c r="H14" i="24"/>
  <c r="C14" i="24"/>
  <c r="F16" i="12"/>
  <c r="F17" i="12" s="1"/>
  <c r="G14" i="24"/>
  <c r="J16" i="12"/>
  <c r="J17" i="12" s="1"/>
  <c r="K14" i="24"/>
  <c r="N16" i="12"/>
  <c r="N17" i="12" s="1"/>
  <c r="O14" i="24"/>
  <c r="R16" i="12"/>
  <c r="R17" i="12" s="1"/>
  <c r="D24" i="24"/>
  <c r="V16" i="12"/>
  <c r="V17" i="12" s="1"/>
  <c r="H24" i="24"/>
  <c r="Z16" i="12"/>
  <c r="Z17" i="12" s="1"/>
  <c r="L24" i="24"/>
  <c r="AD16" i="12"/>
  <c r="AD17" i="12" s="1"/>
  <c r="P24" i="24"/>
  <c r="AH16" i="12"/>
  <c r="AH17" i="12" s="1"/>
  <c r="S16" i="12"/>
  <c r="S17" i="12" s="1"/>
  <c r="P14" i="24"/>
  <c r="W16" i="12"/>
  <c r="W17" i="12" s="1"/>
  <c r="E24" i="24"/>
  <c r="I24" i="24"/>
  <c r="AA16" i="12"/>
  <c r="AA17" i="12" s="1"/>
  <c r="M24" i="24"/>
  <c r="AE16" i="12"/>
  <c r="AE17" i="12" s="1"/>
  <c r="B15" i="24"/>
  <c r="A15" i="24"/>
  <c r="A25" i="24" s="1"/>
  <c r="C14" i="20"/>
  <c r="F16" i="4"/>
  <c r="F17" i="4" s="1"/>
  <c r="G14" i="20"/>
  <c r="J16" i="4"/>
  <c r="J17" i="4" s="1"/>
  <c r="K14" i="20"/>
  <c r="N16" i="4"/>
  <c r="N17" i="4" s="1"/>
  <c r="O14" i="20"/>
  <c r="R16" i="4"/>
  <c r="R17" i="4" s="1"/>
  <c r="D24" i="20"/>
  <c r="V16" i="4"/>
  <c r="V17" i="4" s="1"/>
  <c r="H24" i="20"/>
  <c r="Z16" i="4"/>
  <c r="Z17" i="4" s="1"/>
  <c r="L24" i="20"/>
  <c r="AD16" i="4"/>
  <c r="AD17" i="4" s="1"/>
  <c r="P24" i="20"/>
  <c r="AH16" i="4"/>
  <c r="AH17" i="4" s="1"/>
  <c r="B14" i="20"/>
  <c r="E16" i="4"/>
  <c r="A14" i="20"/>
  <c r="I16" i="4"/>
  <c r="I17" i="4" s="1"/>
  <c r="F14" i="20"/>
  <c r="M16" i="4"/>
  <c r="M17" i="4" s="1"/>
  <c r="J14" i="20"/>
  <c r="Q16" i="4"/>
  <c r="Q17" i="4" s="1"/>
  <c r="N14" i="20"/>
  <c r="U16" i="4"/>
  <c r="U17" i="4" s="1"/>
  <c r="C24" i="20"/>
  <c r="Y16" i="4"/>
  <c r="Y17" i="4" s="1"/>
  <c r="G24" i="20"/>
  <c r="AC16" i="4"/>
  <c r="AC17" i="4" s="1"/>
  <c r="K24" i="20"/>
  <c r="AG16" i="4"/>
  <c r="AG17" i="4" s="1"/>
  <c r="O24" i="20"/>
  <c r="I16" i="11"/>
  <c r="I17" i="11" s="1"/>
  <c r="F14" i="23"/>
  <c r="M16" i="11"/>
  <c r="M17" i="11" s="1"/>
  <c r="J14" i="23"/>
  <c r="Q16" i="11"/>
  <c r="Q17" i="11" s="1"/>
  <c r="N14" i="23"/>
  <c r="U16" i="11"/>
  <c r="U17" i="11" s="1"/>
  <c r="C24" i="23"/>
  <c r="Y16" i="11"/>
  <c r="Y17" i="11" s="1"/>
  <c r="G24" i="23"/>
  <c r="AC16" i="11"/>
  <c r="AC17" i="11" s="1"/>
  <c r="K24" i="23"/>
  <c r="AG16" i="11"/>
  <c r="AG17" i="11" s="1"/>
  <c r="O24" i="23"/>
  <c r="B14" i="23"/>
  <c r="E16" i="11"/>
  <c r="A14" i="23"/>
  <c r="A24" i="23" s="1"/>
  <c r="A34" i="23" s="1"/>
  <c r="E14" i="23"/>
  <c r="H16" i="11"/>
  <c r="H17" i="11" s="1"/>
  <c r="I14" i="23"/>
  <c r="L16" i="11"/>
  <c r="L17" i="11" s="1"/>
  <c r="M14" i="23"/>
  <c r="P16" i="11"/>
  <c r="P17" i="11" s="1"/>
  <c r="B24" i="23"/>
  <c r="T16" i="11"/>
  <c r="T17" i="11" s="1"/>
  <c r="F24" i="23"/>
  <c r="X16" i="11"/>
  <c r="X17" i="11" s="1"/>
  <c r="J24" i="23"/>
  <c r="AB16" i="11"/>
  <c r="AB17" i="11" s="1"/>
  <c r="N24" i="23"/>
  <c r="AF16" i="11"/>
  <c r="AF17" i="11" s="1"/>
  <c r="A15" i="23"/>
  <c r="A25" i="23" s="1"/>
  <c r="A35" i="23" s="1"/>
  <c r="B15" i="23"/>
  <c r="F16" i="5"/>
  <c r="F17" i="5" s="1"/>
  <c r="C14" i="19"/>
  <c r="J16" i="5"/>
  <c r="J17" i="5" s="1"/>
  <c r="G14" i="19"/>
  <c r="N16" i="5"/>
  <c r="N17" i="5" s="1"/>
  <c r="K14" i="19"/>
  <c r="R16" i="5"/>
  <c r="R17" i="5" s="1"/>
  <c r="O14" i="19"/>
  <c r="V16" i="5"/>
  <c r="V17" i="5" s="1"/>
  <c r="D24" i="19"/>
  <c r="Z16" i="5"/>
  <c r="Z17" i="5" s="1"/>
  <c r="H24" i="19"/>
  <c r="AD16" i="5"/>
  <c r="AD17" i="5" s="1"/>
  <c r="L24" i="19"/>
  <c r="AH16" i="5"/>
  <c r="AH17" i="5" s="1"/>
  <c r="P24" i="19"/>
  <c r="G16" i="5"/>
  <c r="G17" i="5" s="1"/>
  <c r="D14" i="19"/>
  <c r="M16" i="5"/>
  <c r="M17" i="5" s="1"/>
  <c r="J14" i="19"/>
  <c r="Q16" i="5"/>
  <c r="Q17" i="5" s="1"/>
  <c r="N14" i="19"/>
  <c r="U16" i="5"/>
  <c r="U17" i="5" s="1"/>
  <c r="C24" i="19"/>
  <c r="Y16" i="5"/>
  <c r="Y17" i="5" s="1"/>
  <c r="G24" i="19"/>
  <c r="K24" i="19"/>
  <c r="AC16" i="5"/>
  <c r="AC17" i="5" s="1"/>
  <c r="O24" i="19"/>
  <c r="AG16" i="5"/>
  <c r="AG17" i="5" s="1"/>
  <c r="B16" i="19"/>
  <c r="A16" i="19"/>
  <c r="A26" i="19" s="1"/>
  <c r="D14" i="18"/>
  <c r="G16" i="6"/>
  <c r="G17" i="6" s="1"/>
  <c r="H14" i="18"/>
  <c r="K16" i="6"/>
  <c r="K17" i="6" s="1"/>
  <c r="L14" i="18"/>
  <c r="O16" i="6"/>
  <c r="O17" i="6" s="1"/>
  <c r="P14" i="18"/>
  <c r="S16" i="6"/>
  <c r="S17" i="6" s="1"/>
  <c r="E24" i="18"/>
  <c r="W16" i="6"/>
  <c r="W17" i="6" s="1"/>
  <c r="I24" i="18"/>
  <c r="AA16" i="6"/>
  <c r="AA17" i="6" s="1"/>
  <c r="M24" i="18"/>
  <c r="AE16" i="6"/>
  <c r="AE17" i="6" s="1"/>
  <c r="B34" i="18"/>
  <c r="AI16" i="6"/>
  <c r="AI17" i="6" s="1"/>
  <c r="B16" i="18"/>
  <c r="A16" i="18"/>
  <c r="D14" i="25"/>
  <c r="G16" i="13"/>
  <c r="G17" i="13" s="1"/>
  <c r="H14" i="25"/>
  <c r="K16" i="13"/>
  <c r="K17" i="13" s="1"/>
  <c r="L14" i="25"/>
  <c r="O16" i="13"/>
  <c r="O17" i="13" s="1"/>
  <c r="P14" i="25"/>
  <c r="S16" i="13"/>
  <c r="S17" i="13" s="1"/>
  <c r="E24" i="25"/>
  <c r="W16" i="13"/>
  <c r="W17" i="13" s="1"/>
  <c r="I24" i="25"/>
  <c r="AA16" i="13"/>
  <c r="AA17" i="13" s="1"/>
  <c r="M24" i="25"/>
  <c r="AE16" i="13"/>
  <c r="AE17" i="13" s="1"/>
  <c r="B34" i="25"/>
  <c r="AI16" i="13"/>
  <c r="AI17" i="13" s="1"/>
  <c r="C14" i="25"/>
  <c r="F16" i="13"/>
  <c r="F17" i="13" s="1"/>
  <c r="G14" i="25"/>
  <c r="J16" i="13"/>
  <c r="J17" i="13" s="1"/>
  <c r="K14" i="25"/>
  <c r="N16" i="13"/>
  <c r="N17" i="13" s="1"/>
  <c r="O14" i="25"/>
  <c r="R16" i="13"/>
  <c r="R17" i="13" s="1"/>
  <c r="D24" i="25"/>
  <c r="V16" i="13"/>
  <c r="V17" i="13" s="1"/>
  <c r="H24" i="25"/>
  <c r="Z16" i="13"/>
  <c r="Z17" i="13" s="1"/>
  <c r="L24" i="25"/>
  <c r="AD16" i="13"/>
  <c r="AD17" i="13" s="1"/>
  <c r="P24" i="25"/>
  <c r="AH16" i="13"/>
  <c r="AH17" i="13" s="1"/>
  <c r="B14" i="21"/>
  <c r="E16" i="3"/>
  <c r="A14" i="21"/>
  <c r="F14" i="21"/>
  <c r="I16" i="3"/>
  <c r="I17" i="3" s="1"/>
  <c r="J14" i="21"/>
  <c r="M16" i="3"/>
  <c r="M17" i="3" s="1"/>
  <c r="N14" i="21"/>
  <c r="Q16" i="3"/>
  <c r="Q17" i="3" s="1"/>
  <c r="C24" i="21"/>
  <c r="U16" i="3"/>
  <c r="U17" i="3" s="1"/>
  <c r="G24" i="21"/>
  <c r="Y16" i="3"/>
  <c r="Y17" i="3" s="1"/>
  <c r="K24" i="21"/>
  <c r="AC16" i="3"/>
  <c r="AC17" i="3" s="1"/>
  <c r="O24" i="21"/>
  <c r="AG16" i="3"/>
  <c r="AG17" i="3" s="1"/>
  <c r="G16" i="11"/>
  <c r="G17" i="11" s="1"/>
  <c r="D14" i="23"/>
  <c r="K16" i="11"/>
  <c r="K17" i="11" s="1"/>
  <c r="H14" i="23"/>
  <c r="O16" i="11"/>
  <c r="O17" i="11" s="1"/>
  <c r="L14" i="23"/>
  <c r="S16" i="11"/>
  <c r="S17" i="11" s="1"/>
  <c r="P14" i="23"/>
  <c r="W16" i="11"/>
  <c r="W17" i="11" s="1"/>
  <c r="E24" i="23"/>
  <c r="AA16" i="11"/>
  <c r="AA17" i="11" s="1"/>
  <c r="I24" i="23"/>
  <c r="AE16" i="11"/>
  <c r="AE17" i="11" s="1"/>
  <c r="M24" i="23"/>
  <c r="AI16" i="11"/>
  <c r="AI17" i="11" s="1"/>
  <c r="B34" i="23"/>
  <c r="B16" i="23"/>
  <c r="A16" i="23"/>
  <c r="A26" i="23" s="1"/>
  <c r="A36" i="23" s="1"/>
  <c r="C14" i="23"/>
  <c r="F16" i="11"/>
  <c r="F17" i="11" s="1"/>
  <c r="G14" i="23"/>
  <c r="J16" i="11"/>
  <c r="J17" i="11" s="1"/>
  <c r="K14" i="23"/>
  <c r="N16" i="11"/>
  <c r="N17" i="11" s="1"/>
  <c r="O14" i="23"/>
  <c r="R16" i="11"/>
  <c r="R17" i="11" s="1"/>
  <c r="D24" i="23"/>
  <c r="V16" i="11"/>
  <c r="V17" i="11" s="1"/>
  <c r="H24" i="23"/>
  <c r="Z16" i="11"/>
  <c r="Z17" i="11" s="1"/>
  <c r="L24" i="23"/>
  <c r="AD16" i="11"/>
  <c r="AD17" i="11" s="1"/>
  <c r="P24" i="23"/>
  <c r="AH16" i="11"/>
  <c r="AH17" i="11" s="1"/>
  <c r="I16" i="5"/>
  <c r="I17" i="5" s="1"/>
  <c r="F14" i="19"/>
  <c r="H16" i="5"/>
  <c r="H17" i="5" s="1"/>
  <c r="E14" i="19"/>
  <c r="L16" i="5"/>
  <c r="L17" i="5" s="1"/>
  <c r="I14" i="19"/>
  <c r="P16" i="5"/>
  <c r="P17" i="5" s="1"/>
  <c r="M14" i="19"/>
  <c r="T16" i="5"/>
  <c r="T17" i="5" s="1"/>
  <c r="B24" i="19"/>
  <c r="X16" i="5"/>
  <c r="X17" i="5" s="1"/>
  <c r="F24" i="19"/>
  <c r="AB16" i="5"/>
  <c r="AB17" i="5" s="1"/>
  <c r="J24" i="19"/>
  <c r="AF16" i="5"/>
  <c r="AF17" i="5" s="1"/>
  <c r="N24" i="19"/>
  <c r="B14" i="19"/>
  <c r="E16" i="5"/>
  <c r="A14" i="19"/>
  <c r="A24" i="19" s="1"/>
  <c r="K16" i="5"/>
  <c r="K17" i="5" s="1"/>
  <c r="H14" i="19"/>
  <c r="O16" i="5"/>
  <c r="O17" i="5" s="1"/>
  <c r="L14" i="19"/>
  <c r="S16" i="5"/>
  <c r="S17" i="5" s="1"/>
  <c r="P14" i="19"/>
  <c r="W16" i="5"/>
  <c r="W17" i="5" s="1"/>
  <c r="E24" i="19"/>
  <c r="I24" i="19"/>
  <c r="AA16" i="5"/>
  <c r="AA17" i="5" s="1"/>
  <c r="M24" i="19"/>
  <c r="AE16" i="5"/>
  <c r="AE17" i="5" s="1"/>
  <c r="B15" i="19"/>
  <c r="A15" i="19"/>
  <c r="A25" i="19" s="1"/>
  <c r="E14" i="15"/>
  <c r="H16" i="9"/>
  <c r="H17" i="9" s="1"/>
  <c r="I14" i="15"/>
  <c r="L16" i="9"/>
  <c r="L17" i="9" s="1"/>
  <c r="M14" i="15"/>
  <c r="P16" i="9"/>
  <c r="P17" i="9" s="1"/>
  <c r="B24" i="15"/>
  <c r="T16" i="9"/>
  <c r="T17" i="9" s="1"/>
  <c r="F24" i="15"/>
  <c r="X16" i="9"/>
  <c r="X17" i="9" s="1"/>
  <c r="J24" i="15"/>
  <c r="AB16" i="9"/>
  <c r="AB17" i="9" s="1"/>
  <c r="N24" i="15"/>
  <c r="AF16" i="9"/>
  <c r="AF17" i="9" s="1"/>
  <c r="B14" i="15"/>
  <c r="A14" i="15"/>
  <c r="A24" i="15" s="1"/>
  <c r="E16" i="9"/>
  <c r="F14" i="15"/>
  <c r="I16" i="9"/>
  <c r="I17" i="9" s="1"/>
  <c r="J14" i="15"/>
  <c r="M16" i="9"/>
  <c r="M17" i="9" s="1"/>
  <c r="N14" i="15"/>
  <c r="Q16" i="9"/>
  <c r="Q17" i="9" s="1"/>
  <c r="C24" i="15"/>
  <c r="U16" i="9"/>
  <c r="U17" i="9" s="1"/>
  <c r="G24" i="15"/>
  <c r="Y16" i="9"/>
  <c r="Y17" i="9" s="1"/>
  <c r="K24" i="15"/>
  <c r="AC16" i="9"/>
  <c r="AC17" i="9" s="1"/>
  <c r="O24" i="15"/>
  <c r="AG16" i="9"/>
  <c r="AG17" i="9" s="1"/>
  <c r="C14" i="22"/>
  <c r="F16" i="2"/>
  <c r="F17" i="2" s="1"/>
  <c r="G14" i="22"/>
  <c r="J16" i="2"/>
  <c r="J17" i="2" s="1"/>
  <c r="K14" i="22"/>
  <c r="N16" i="2"/>
  <c r="N17" i="2" s="1"/>
  <c r="O14" i="22"/>
  <c r="R16" i="2"/>
  <c r="R17" i="2" s="1"/>
  <c r="D24" i="22"/>
  <c r="V16" i="2"/>
  <c r="V17" i="2" s="1"/>
  <c r="H24" i="22"/>
  <c r="Z16" i="2"/>
  <c r="Z17" i="2" s="1"/>
  <c r="L24" i="22"/>
  <c r="AD16" i="2"/>
  <c r="AD17" i="2" s="1"/>
  <c r="P24" i="22"/>
  <c r="AH16" i="2"/>
  <c r="AH17" i="2" s="1"/>
  <c r="G16" i="2"/>
  <c r="G17" i="2" s="1"/>
  <c r="D14" i="22"/>
  <c r="K16" i="2"/>
  <c r="K17" i="2" s="1"/>
  <c r="H14" i="22"/>
  <c r="O16" i="2"/>
  <c r="O17" i="2" s="1"/>
  <c r="L14" i="22"/>
  <c r="S16" i="2"/>
  <c r="S17" i="2" s="1"/>
  <c r="P14" i="22"/>
  <c r="W16" i="2"/>
  <c r="W17" i="2" s="1"/>
  <c r="E24" i="22"/>
  <c r="AA16" i="2"/>
  <c r="AA17" i="2" s="1"/>
  <c r="I24" i="22"/>
  <c r="AE16" i="2"/>
  <c r="AE17" i="2" s="1"/>
  <c r="M24" i="22"/>
  <c r="B15" i="22"/>
  <c r="A15" i="22"/>
  <c r="A25" i="22" s="1"/>
  <c r="F16" i="6"/>
  <c r="F17" i="6" s="1"/>
  <c r="C14" i="18"/>
  <c r="J16" i="6"/>
  <c r="J17" i="6" s="1"/>
  <c r="G14" i="18"/>
  <c r="N16" i="6"/>
  <c r="N17" i="6" s="1"/>
  <c r="K14" i="18"/>
  <c r="R16" i="6"/>
  <c r="R17" i="6" s="1"/>
  <c r="O14" i="18"/>
  <c r="V16" i="6"/>
  <c r="V17" i="6" s="1"/>
  <c r="D24" i="18"/>
  <c r="Z16" i="6"/>
  <c r="Z17" i="6" s="1"/>
  <c r="H24" i="18"/>
  <c r="AD16" i="6"/>
  <c r="AD17" i="6" s="1"/>
  <c r="L24" i="18"/>
  <c r="AH16" i="6"/>
  <c r="AH17" i="6" s="1"/>
  <c r="P24" i="18"/>
  <c r="B14" i="18"/>
  <c r="E16" i="6"/>
  <c r="A14" i="18"/>
  <c r="F14" i="18"/>
  <c r="I16" i="6"/>
  <c r="I17" i="6" s="1"/>
  <c r="J14" i="18"/>
  <c r="M16" i="6"/>
  <c r="M17" i="6" s="1"/>
  <c r="N14" i="18"/>
  <c r="Q16" i="6"/>
  <c r="Q17" i="6" s="1"/>
  <c r="C24" i="18"/>
  <c r="U16" i="6"/>
  <c r="U17" i="6" s="1"/>
  <c r="G24" i="18"/>
  <c r="Y16" i="6"/>
  <c r="Y17" i="6" s="1"/>
  <c r="K24" i="18"/>
  <c r="AC16" i="6"/>
  <c r="AC17" i="6" s="1"/>
  <c r="O24" i="18"/>
  <c r="AG16" i="6"/>
  <c r="AG17" i="6" s="1"/>
  <c r="A16" i="25"/>
  <c r="B16" i="25"/>
  <c r="A14" i="25"/>
  <c r="B14" i="25"/>
  <c r="E16" i="13"/>
  <c r="F14" i="25"/>
  <c r="I16" i="13"/>
  <c r="I17" i="13" s="1"/>
  <c r="J14" i="25"/>
  <c r="M16" i="13"/>
  <c r="M17" i="13" s="1"/>
  <c r="N14" i="25"/>
  <c r="Q16" i="13"/>
  <c r="Q17" i="13" s="1"/>
  <c r="C24" i="25"/>
  <c r="U16" i="13"/>
  <c r="U17" i="13" s="1"/>
  <c r="G24" i="25"/>
  <c r="Y16" i="13"/>
  <c r="Y17" i="13" s="1"/>
  <c r="K24" i="25"/>
  <c r="AC16" i="13"/>
  <c r="AC17" i="13" s="1"/>
  <c r="O24" i="25"/>
  <c r="AG16" i="13"/>
  <c r="AG17" i="13" s="1"/>
  <c r="E14" i="25"/>
  <c r="H16" i="13"/>
  <c r="H17" i="13" s="1"/>
  <c r="I14" i="25"/>
  <c r="L16" i="13"/>
  <c r="L17" i="13" s="1"/>
  <c r="M14" i="25"/>
  <c r="P16" i="13"/>
  <c r="P17" i="13" s="1"/>
  <c r="B24" i="25"/>
  <c r="T16" i="13"/>
  <c r="T17" i="13" s="1"/>
  <c r="F24" i="25"/>
  <c r="X16" i="13"/>
  <c r="X17" i="13" s="1"/>
  <c r="J24" i="25"/>
  <c r="AB16" i="13"/>
  <c r="AB17" i="13" s="1"/>
  <c r="N24" i="25"/>
  <c r="AF16" i="13"/>
  <c r="AF17" i="13" s="1"/>
  <c r="A15" i="25"/>
  <c r="B15" i="25"/>
  <c r="D14" i="21"/>
  <c r="G16" i="3"/>
  <c r="G17" i="3" s="1"/>
  <c r="H14" i="21"/>
  <c r="K16" i="3"/>
  <c r="K17" i="3" s="1"/>
  <c r="L14" i="21"/>
  <c r="O16" i="3"/>
  <c r="O17" i="3" s="1"/>
  <c r="P14" i="21"/>
  <c r="S16" i="3"/>
  <c r="S17" i="3" s="1"/>
  <c r="E24" i="21"/>
  <c r="W16" i="3"/>
  <c r="W17" i="3" s="1"/>
  <c r="I24" i="21"/>
  <c r="AA16" i="3"/>
  <c r="AA17" i="3" s="1"/>
  <c r="M24" i="21"/>
  <c r="AE16" i="3"/>
  <c r="AE17" i="3" s="1"/>
  <c r="B34" i="21"/>
  <c r="AI16" i="3"/>
  <c r="AI17" i="3" s="1"/>
  <c r="B16" i="21"/>
  <c r="A16" i="21"/>
  <c r="F16" i="3"/>
  <c r="F17" i="3" s="1"/>
  <c r="C14" i="21"/>
  <c r="J16" i="3"/>
  <c r="J17" i="3" s="1"/>
  <c r="G14" i="21"/>
  <c r="N16" i="3"/>
  <c r="N17" i="3" s="1"/>
  <c r="K14" i="21"/>
  <c r="R16" i="3"/>
  <c r="R17" i="3" s="1"/>
  <c r="O14" i="21"/>
  <c r="V16" i="3"/>
  <c r="V17" i="3" s="1"/>
  <c r="D24" i="21"/>
  <c r="Z16" i="3"/>
  <c r="Z17" i="3" s="1"/>
  <c r="H24" i="21"/>
  <c r="AD16" i="3"/>
  <c r="AD17" i="3" s="1"/>
  <c r="L24" i="21"/>
  <c r="AH16" i="3"/>
  <c r="AH17" i="3" s="1"/>
  <c r="P24" i="21"/>
  <c r="D14" i="17"/>
  <c r="G16" i="7"/>
  <c r="G17" i="7" s="1"/>
  <c r="L14" i="17"/>
  <c r="O16" i="7"/>
  <c r="O17" i="7" s="1"/>
  <c r="E24" i="17"/>
  <c r="W16" i="7"/>
  <c r="W17" i="7" s="1"/>
  <c r="M24" i="17"/>
  <c r="AE16" i="7"/>
  <c r="AE17" i="7" s="1"/>
  <c r="F14" i="17"/>
  <c r="I16" i="7"/>
  <c r="I17" i="7" s="1"/>
  <c r="Q16" i="7"/>
  <c r="Q17" i="7" s="1"/>
  <c r="N14" i="17"/>
  <c r="G24" i="17"/>
  <c r="Y16" i="7"/>
  <c r="Y17" i="7" s="1"/>
  <c r="O24" i="17"/>
  <c r="AG16" i="7"/>
  <c r="AG17" i="7" s="1"/>
  <c r="A16" i="17"/>
  <c r="A26" i="17" s="1"/>
  <c r="B16" i="17"/>
  <c r="H16" i="7"/>
  <c r="H17" i="7" s="1"/>
  <c r="E14" i="17"/>
  <c r="L16" i="7"/>
  <c r="L17" i="7" s="1"/>
  <c r="I14" i="17"/>
  <c r="P16" i="7"/>
  <c r="P17" i="7" s="1"/>
  <c r="M14" i="17"/>
  <c r="T16" i="7"/>
  <c r="T17" i="7" s="1"/>
  <c r="B24" i="17"/>
  <c r="X16" i="7"/>
  <c r="X17" i="7" s="1"/>
  <c r="F24" i="17"/>
  <c r="AB16" i="7"/>
  <c r="AB17" i="7" s="1"/>
  <c r="J24" i="17"/>
  <c r="AF16" i="7"/>
  <c r="AF17" i="7" s="1"/>
  <c r="N24" i="17"/>
  <c r="B24" i="14"/>
  <c r="T16" i="10"/>
  <c r="T17" i="10" s="1"/>
  <c r="J24" i="14"/>
  <c r="AB16" i="10"/>
  <c r="AB17" i="10" s="1"/>
  <c r="A15" i="14"/>
  <c r="B15" i="14"/>
  <c r="E14" i="14"/>
  <c r="H16" i="10"/>
  <c r="H17" i="10" s="1"/>
  <c r="I14" i="14"/>
  <c r="L16" i="10"/>
  <c r="L17" i="10" s="1"/>
  <c r="M14" i="14"/>
  <c r="P16" i="10"/>
  <c r="P17" i="10" s="1"/>
  <c r="D24" i="14"/>
  <c r="V16" i="10"/>
  <c r="V17" i="10" s="1"/>
  <c r="L24" i="14"/>
  <c r="AD16" i="10"/>
  <c r="AD17" i="10" s="1"/>
  <c r="D14" i="14"/>
  <c r="G16" i="10"/>
  <c r="G17" i="10" s="1"/>
  <c r="H14" i="14"/>
  <c r="K16" i="10"/>
  <c r="K17" i="10" s="1"/>
  <c r="L14" i="14"/>
  <c r="O16" i="10"/>
  <c r="O17" i="10" s="1"/>
  <c r="P14" i="14"/>
  <c r="S16" i="10"/>
  <c r="S17" i="10" s="1"/>
  <c r="E24" i="14"/>
  <c r="W16" i="10"/>
  <c r="W17" i="10" s="1"/>
  <c r="I24" i="14"/>
  <c r="AA16" i="10"/>
  <c r="AA17" i="10" s="1"/>
  <c r="M24" i="14"/>
  <c r="AE16" i="10"/>
  <c r="AE17" i="10" s="1"/>
  <c r="B34" i="14"/>
  <c r="AI16" i="10"/>
  <c r="AI17" i="10" s="1"/>
  <c r="A16" i="14"/>
  <c r="B16" i="14"/>
  <c r="G16" i="8"/>
  <c r="G17" i="8" s="1"/>
  <c r="D14" i="16"/>
  <c r="K16" i="8"/>
  <c r="K17" i="8" s="1"/>
  <c r="H14" i="16"/>
  <c r="O16" i="8"/>
  <c r="O17" i="8" s="1"/>
  <c r="L14" i="16"/>
  <c r="S16" i="8"/>
  <c r="S17" i="8" s="1"/>
  <c r="P14" i="16"/>
  <c r="W16" i="8"/>
  <c r="W17" i="8" s="1"/>
  <c r="E24" i="16"/>
  <c r="AA16" i="8"/>
  <c r="AA17" i="8" s="1"/>
  <c r="I24" i="16"/>
  <c r="AE16" i="8"/>
  <c r="AE17" i="8" s="1"/>
  <c r="M24" i="16"/>
  <c r="AI16" i="8"/>
  <c r="AI17" i="8" s="1"/>
  <c r="B34" i="16"/>
  <c r="B16" i="16"/>
  <c r="A16" i="16"/>
  <c r="C14" i="16"/>
  <c r="F16" i="8"/>
  <c r="F17" i="8" s="1"/>
  <c r="G14" i="16"/>
  <c r="J16" i="8"/>
  <c r="J17" i="8" s="1"/>
  <c r="K14" i="16"/>
  <c r="N16" i="8"/>
  <c r="N17" i="8" s="1"/>
  <c r="O14" i="16"/>
  <c r="R16" i="8"/>
  <c r="R17" i="8" s="1"/>
  <c r="D24" i="16"/>
  <c r="V16" i="8"/>
  <c r="V17" i="8" s="1"/>
  <c r="H24" i="16"/>
  <c r="Z16" i="8"/>
  <c r="Z17" i="8" s="1"/>
  <c r="L24" i="16"/>
  <c r="AD16" i="8"/>
  <c r="AD17" i="8" s="1"/>
  <c r="P24" i="16"/>
  <c r="AH16" i="8"/>
  <c r="AH17" i="8" s="1"/>
  <c r="F14" i="24"/>
  <c r="I16" i="12"/>
  <c r="I17" i="12" s="1"/>
  <c r="G16" i="12"/>
  <c r="G17" i="12" s="1"/>
  <c r="D14" i="24"/>
  <c r="O16" i="12"/>
  <c r="O17" i="12" s="1"/>
  <c r="L14" i="24"/>
  <c r="E14" i="24"/>
  <c r="H16" i="12"/>
  <c r="H17" i="12" s="1"/>
  <c r="I14" i="24"/>
  <c r="L16" i="12"/>
  <c r="L17" i="12" s="1"/>
  <c r="M14" i="24"/>
  <c r="P16" i="12"/>
  <c r="P17" i="12" s="1"/>
  <c r="B24" i="24"/>
  <c r="T16" i="12"/>
  <c r="T17" i="12" s="1"/>
  <c r="F24" i="24"/>
  <c r="X16" i="12"/>
  <c r="X17" i="12" s="1"/>
  <c r="J24" i="24"/>
  <c r="AB16" i="12"/>
  <c r="AB17" i="12" s="1"/>
  <c r="N24" i="24"/>
  <c r="AF16" i="12"/>
  <c r="AF17" i="12" s="1"/>
  <c r="N14" i="24"/>
  <c r="Q16" i="12"/>
  <c r="Q17" i="12" s="1"/>
  <c r="C24" i="24"/>
  <c r="U16" i="12"/>
  <c r="U17" i="12" s="1"/>
  <c r="G24" i="24"/>
  <c r="Y16" i="12"/>
  <c r="Y17" i="12" s="1"/>
  <c r="K24" i="24"/>
  <c r="AC16" i="12"/>
  <c r="AC17" i="12" s="1"/>
  <c r="O24" i="24"/>
  <c r="AG16" i="12"/>
  <c r="AG17" i="12" s="1"/>
  <c r="A16" i="24"/>
  <c r="A26" i="24" s="1"/>
  <c r="B16" i="24"/>
  <c r="E14" i="20"/>
  <c r="H16" i="4"/>
  <c r="H17" i="4" s="1"/>
  <c r="I14" i="20"/>
  <c r="L16" i="4"/>
  <c r="L17" i="4" s="1"/>
  <c r="M14" i="20"/>
  <c r="P16" i="4"/>
  <c r="P17" i="4" s="1"/>
  <c r="B24" i="20"/>
  <c r="T16" i="4"/>
  <c r="T17" i="4" s="1"/>
  <c r="F24" i="20"/>
  <c r="X16" i="4"/>
  <c r="X17" i="4" s="1"/>
  <c r="J24" i="20"/>
  <c r="AB16" i="4"/>
  <c r="AB17" i="4" s="1"/>
  <c r="N24" i="20"/>
  <c r="AF16" i="4"/>
  <c r="AF17" i="4" s="1"/>
  <c r="A15" i="20"/>
  <c r="B15" i="20"/>
  <c r="D14" i="20"/>
  <c r="G16" i="4"/>
  <c r="G17" i="4" s="1"/>
  <c r="K16" i="4"/>
  <c r="K17" i="4" s="1"/>
  <c r="H14" i="20"/>
  <c r="O16" i="4"/>
  <c r="O17" i="4" s="1"/>
  <c r="L14" i="20"/>
  <c r="S16" i="4"/>
  <c r="S17" i="4" s="1"/>
  <c r="P14" i="20"/>
  <c r="W16" i="4"/>
  <c r="W17" i="4" s="1"/>
  <c r="E24" i="20"/>
  <c r="AA16" i="4"/>
  <c r="AA17" i="4" s="1"/>
  <c r="I24" i="20"/>
  <c r="AE16" i="4"/>
  <c r="AE17" i="4" s="1"/>
  <c r="M24" i="20"/>
  <c r="AI16" i="4"/>
  <c r="AI17" i="4" s="1"/>
  <c r="B34" i="20"/>
  <c r="B16" i="20"/>
  <c r="A16" i="20"/>
  <c r="A36" i="20" l="1"/>
  <c r="A26" i="20"/>
  <c r="A36" i="16"/>
  <c r="A26" i="16"/>
  <c r="A36" i="21"/>
  <c r="A26" i="21"/>
  <c r="E17" i="13"/>
  <c r="D17" i="13" s="1"/>
  <c r="C17" i="13" s="1"/>
  <c r="B16" i="13"/>
  <c r="B17" i="13"/>
  <c r="B13" i="13"/>
  <c r="B18" i="13"/>
  <c r="B14" i="13"/>
  <c r="B15" i="13"/>
  <c r="A34" i="25"/>
  <c r="A24" i="25"/>
  <c r="A26" i="25"/>
  <c r="A36" i="25"/>
  <c r="E17" i="6"/>
  <c r="D17" i="6" s="1"/>
  <c r="C17" i="6" s="1"/>
  <c r="B18" i="6"/>
  <c r="B14" i="6"/>
  <c r="B15" i="6"/>
  <c r="B16" i="6"/>
  <c r="B17" i="6"/>
  <c r="B13" i="6"/>
  <c r="E17" i="9"/>
  <c r="D17" i="9" s="1"/>
  <c r="C17" i="9" s="1"/>
  <c r="B15" i="9"/>
  <c r="B16" i="9"/>
  <c r="B13" i="9"/>
  <c r="B18" i="9"/>
  <c r="B17" i="9"/>
  <c r="B14" i="9"/>
  <c r="E17" i="5"/>
  <c r="D17" i="5" s="1"/>
  <c r="C17" i="5" s="1"/>
  <c r="B16" i="5"/>
  <c r="B13" i="5"/>
  <c r="B14" i="5"/>
  <c r="B18" i="5"/>
  <c r="B15" i="5"/>
  <c r="B17" i="5"/>
  <c r="A34" i="21"/>
  <c r="A24" i="21"/>
  <c r="E17" i="11"/>
  <c r="D17" i="11" s="1"/>
  <c r="C17" i="11" s="1"/>
  <c r="B16" i="11"/>
  <c r="B15" i="11"/>
  <c r="B13" i="11"/>
  <c r="B18" i="11"/>
  <c r="B14" i="11"/>
  <c r="B17" i="11"/>
  <c r="A34" i="20"/>
  <c r="A24" i="20"/>
  <c r="A34" i="16"/>
  <c r="A24" i="16"/>
  <c r="E17" i="10"/>
  <c r="D17" i="10" s="1"/>
  <c r="C17" i="10" s="1"/>
  <c r="B18" i="10"/>
  <c r="B15" i="10"/>
  <c r="B16" i="10"/>
  <c r="B17" i="10"/>
  <c r="B13" i="10"/>
  <c r="B14" i="10"/>
  <c r="E17" i="7"/>
  <c r="D17" i="7" s="1"/>
  <c r="C17" i="7" s="1"/>
  <c r="B18" i="7"/>
  <c r="B15" i="7"/>
  <c r="B16" i="7"/>
  <c r="B17" i="7"/>
  <c r="B13" i="7"/>
  <c r="B14" i="7"/>
  <c r="A25" i="21"/>
  <c r="A35" i="21"/>
  <c r="E17" i="2"/>
  <c r="D17" i="2" s="1"/>
  <c r="C17" i="2" s="1"/>
  <c r="B16" i="2"/>
  <c r="B15" i="2"/>
  <c r="B17" i="2"/>
  <c r="B18" i="2"/>
  <c r="B14" i="2"/>
  <c r="B13" i="2"/>
  <c r="A35" i="20"/>
  <c r="A25" i="20"/>
  <c r="A36" i="14"/>
  <c r="A26" i="14"/>
  <c r="A25" i="14"/>
  <c r="A35" i="14"/>
  <c r="A35" i="25"/>
  <c r="A25" i="25"/>
  <c r="A24" i="18"/>
  <c r="A34" i="18"/>
  <c r="E17" i="3"/>
  <c r="D17" i="3" s="1"/>
  <c r="C17" i="3" s="1"/>
  <c r="B18" i="3"/>
  <c r="B14" i="3"/>
  <c r="B15" i="3"/>
  <c r="B16" i="3"/>
  <c r="B17" i="3"/>
  <c r="B13" i="3"/>
  <c r="A36" i="18"/>
  <c r="A26" i="18"/>
  <c r="E17" i="4"/>
  <c r="D17" i="4" s="1"/>
  <c r="C17" i="4" s="1"/>
  <c r="B15" i="4"/>
  <c r="B13" i="4"/>
  <c r="B18" i="4"/>
  <c r="B16" i="4"/>
  <c r="B14" i="4"/>
  <c r="B17" i="4"/>
  <c r="E17" i="12"/>
  <c r="D17" i="12" s="1"/>
  <c r="C17" i="12" s="1"/>
  <c r="B18" i="12"/>
  <c r="B17" i="12"/>
  <c r="B16" i="12"/>
  <c r="B13" i="12"/>
  <c r="B15" i="12"/>
  <c r="B14" i="12"/>
  <c r="A25" i="16"/>
  <c r="A35" i="16"/>
  <c r="E17" i="8"/>
  <c r="D17" i="8" s="1"/>
  <c r="C17" i="8" s="1"/>
  <c r="B18" i="8"/>
  <c r="B17" i="8"/>
  <c r="B13" i="8"/>
  <c r="B16" i="8"/>
  <c r="B15" i="8"/>
  <c r="B14" i="8"/>
  <c r="A24" i="14"/>
  <c r="A34" i="14"/>
  <c r="A25" i="18"/>
  <c r="A35" i="18"/>
</calcChain>
</file>

<file path=xl/sharedStrings.xml><?xml version="1.0" encoding="utf-8"?>
<sst xmlns="http://schemas.openxmlformats.org/spreadsheetml/2006/main" count="1787" uniqueCount="142">
  <si>
    <t>Соц. Услуги</t>
  </si>
  <si>
    <t>01. Приготовление пищи</t>
  </si>
  <si>
    <t>02. Помощь при приготовлении пищи</t>
  </si>
  <si>
    <t>03. Подготовка и подача пищи</t>
  </si>
  <si>
    <t>04. Помощь при подготовке пищи к приему</t>
  </si>
  <si>
    <t>05. Кормление</t>
  </si>
  <si>
    <t>06. Помощь при приеме пищи</t>
  </si>
  <si>
    <t>07. Помощь в соблюдении питьевого режима.</t>
  </si>
  <si>
    <t>08. Умывание</t>
  </si>
  <si>
    <t>09. Помощь при умывании</t>
  </si>
  <si>
    <t>10. Купание в кровати, включая мытье головы</t>
  </si>
  <si>
    <t>11. Купание в приспособленном помещении (месте), включая мытье головы</t>
  </si>
  <si>
    <t>12. Помощь при купании в приспособленном помещении (месте), включая мытье головы</t>
  </si>
  <si>
    <t>13. Гигиеническое обтирание</t>
  </si>
  <si>
    <t>14. Мытье головы, в том числе в кровати</t>
  </si>
  <si>
    <t>15. Помощь при мытье головы</t>
  </si>
  <si>
    <t>16. Подмывание</t>
  </si>
  <si>
    <t>17. Гигиеническая обработка рук и ногтей (процесс обработки ногтей на руках с водой и гиг.ср-ми, включая стрижку или подпиливание ногтей)</t>
  </si>
  <si>
    <t>18. Помощь при гигиенической обработке рук и ногтей (сохранение навыков гиг.обработки ногтей на руках и (или) облегчение данного процесса)</t>
  </si>
  <si>
    <t>19. Мытье ног</t>
  </si>
  <si>
    <t>20. Помощь при мытье ног</t>
  </si>
  <si>
    <t xml:space="preserve">21. Гигиеническая обработка ног и ногтей (процесс обработки ногтей на ногах с водой  и гиг.ср-ми, включая стрижку или подпиливание ногтей) </t>
  </si>
  <si>
    <t>22. Помощь при гигиенической обработка ног и ногтей (сохранение навыков мытья ног и (или) облегчение данного процесса)</t>
  </si>
  <si>
    <t>23. Гигиенииеское бритье</t>
  </si>
  <si>
    <t>24. Гигиеническая стрижка</t>
  </si>
  <si>
    <t>25. Смена одежды (обуви)</t>
  </si>
  <si>
    <t>26. Помощь при смене одежды (обуви)</t>
  </si>
  <si>
    <t>27. Смена нательного белья</t>
  </si>
  <si>
    <t>28. Помощь при смене нательного белья</t>
  </si>
  <si>
    <t>29. Смена постельного белья</t>
  </si>
  <si>
    <t>30. Помощь при смене постельного белья</t>
  </si>
  <si>
    <t>31. Смена абсорбирующего белья, включая гигиеническую обработку</t>
  </si>
  <si>
    <t>32. Помощь при смене абсорбирующего белья (сохранение навыков снятия и надевания абс.белья и (или) облегчение данного процесса)</t>
  </si>
  <si>
    <t>33. Помощь при пользовании туалетом (иными приспособлениями), включая гигиеническую обработку (поддержание способности и сохранение навыков пользования туалетом и (или) иными приспособлениями и (или) облегчение данного процесса)</t>
  </si>
  <si>
    <t>34. Замена мочеприемника и (или) калоприемника, включая гигиеническую обработку</t>
  </si>
  <si>
    <t>35. Помощь при замене мочеприемника и (или) калоприемника</t>
  </si>
  <si>
    <t>36. Позиционирование</t>
  </si>
  <si>
    <t>37. Помощь при позиционировании</t>
  </si>
  <si>
    <t>38. Пересаживание</t>
  </si>
  <si>
    <t>39. Помощь при пересаживании.</t>
  </si>
  <si>
    <t>40. Помощь при передвижении по помещению, пересаживании (поддержание способности к передвижению)</t>
  </si>
  <si>
    <t>41. Измерение температуры тела, артериального давления, пульса, сатурации (в соответствии с медицинскими рекомендациями) (процесс наблюдения за состоянием здоровья)</t>
  </si>
  <si>
    <t>42. Помощь в соблюдении медицинских рекомендаций (поддержание способности следовать мед.назначениям и рекомендациям)</t>
  </si>
  <si>
    <t>43. Подготовка лекарственных препаратов к приему</t>
  </si>
  <si>
    <t>44. Помощь в соблюдении приема лекарственных препаратов (поддержание способности принимать лекарственные препараты)</t>
  </si>
  <si>
    <t>45. Помощь в использовании очков и (или) слуховых аппаратов</t>
  </si>
  <si>
    <t>46. Помощь в использовании протезов или ортезов</t>
  </si>
  <si>
    <t>47. Помощь в поддержании посильной социальной активности</t>
  </si>
  <si>
    <t>48. Помощь в поддержании  посильной физической активности, включая прогулки</t>
  </si>
  <si>
    <t>49. Помощь в поддержании посильной бытовой активности</t>
  </si>
  <si>
    <t>50. Помощь в поддержании когнитивных функций</t>
  </si>
  <si>
    <t>Кратко</t>
  </si>
  <si>
    <t>Наименование социальной услуги по уходу</t>
  </si>
  <si>
    <t>Объем и периодичность социальной услуги по уходу</t>
  </si>
  <si>
    <t>число месяца</t>
  </si>
  <si>
    <t>день недели (пн, вт, ср, чт, пт, сб, вс)</t>
  </si>
  <si>
    <t>1 нед.</t>
  </si>
  <si>
    <t>Объем</t>
  </si>
  <si>
    <t>Периодичность</t>
  </si>
  <si>
    <t>Услуга</t>
  </si>
  <si>
    <t>№</t>
  </si>
  <si>
    <t>посещения</t>
  </si>
  <si>
    <t>УСЛУГ</t>
  </si>
  <si>
    <t>МИНУТ</t>
  </si>
  <si>
    <t>ВСЕГО</t>
  </si>
  <si>
    <t>№ Посещения</t>
  </si>
  <si>
    <t>ПЛАН-ОТЧЕТ  ПРЕДОСТАВЛЕНИЯ СОЦИАЛЬНЫХ УСЛУГ ПО УХОДУ,</t>
  </si>
  <si>
    <t>ВКЛЮЧЕННЫХ В СОЦИАЛЬНЫЙ ПАКЕТ ДОЛГОВРЕМЕННОГО УХОДА</t>
  </si>
  <si>
    <t>Получатель:</t>
  </si>
  <si>
    <t>за</t>
  </si>
  <si>
    <t>сентябрь</t>
  </si>
  <si>
    <t>август</t>
  </si>
  <si>
    <t>июль</t>
  </si>
  <si>
    <t>за неделю</t>
  </si>
  <si>
    <t>периодичность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</si>
  <si>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</si>
  <si>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</si>
  <si>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</si>
  <si>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</si>
  <si>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</si>
  <si>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</si>
  <si>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</si>
  <si>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</si>
  <si>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</si>
  <si>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</si>
  <si>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</si>
  <si>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</si>
  <si>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</si>
  <si>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</si>
  <si>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</si>
  <si>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</si>
  <si>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</si>
  <si>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</si>
  <si>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</si>
  <si>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</si>
  <si>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</si>
  <si>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</si>
  <si>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</si>
  <si>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</si>
  <si>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</si>
  <si>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</si>
  <si>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</si>
  <si>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</si>
  <si>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</si>
  <si>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</si>
  <si>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всего минут</t>
  </si>
  <si>
    <t>Проверка</t>
  </si>
  <si>
    <t>Всего</t>
  </si>
  <si>
    <t>Сентябрь</t>
  </si>
  <si>
    <t>Месяц</t>
  </si>
  <si>
    <t>Октябрь</t>
  </si>
  <si>
    <t>Август</t>
  </si>
  <si>
    <t>Июль</t>
  </si>
  <si>
    <t>31</t>
  </si>
  <si>
    <t>Июнь</t>
  </si>
  <si>
    <t>Май</t>
  </si>
  <si>
    <t>Апрель</t>
  </si>
  <si>
    <t>Март</t>
  </si>
  <si>
    <t>Февраль</t>
  </si>
  <si>
    <t>Январь</t>
  </si>
  <si>
    <t>Ноябрь</t>
  </si>
  <si>
    <t>Декабрь</t>
  </si>
  <si>
    <t>Год</t>
  </si>
  <si>
    <t>июнь</t>
  </si>
  <si>
    <t>г.</t>
  </si>
  <si>
    <t>май</t>
  </si>
  <si>
    <t>март</t>
  </si>
  <si>
    <t>февраль</t>
  </si>
  <si>
    <t>январь</t>
  </si>
  <si>
    <t>октябрь</t>
  </si>
  <si>
    <t>ноябрь</t>
  </si>
  <si>
    <t>декабрь</t>
  </si>
  <si>
    <t>Получатель</t>
  </si>
  <si>
    <t>Соц. Работник</t>
  </si>
  <si>
    <t>Начало</t>
  </si>
  <si>
    <t>ГРАФИК РАБОТЫ ПОМОЩНИКОВ ПО УХОДУ</t>
  </si>
  <si>
    <t>Соц. Работник:</t>
  </si>
  <si>
    <t>апрель</t>
  </si>
  <si>
    <t>Посещение</t>
  </si>
  <si>
    <t>Список услуг получателя</t>
  </si>
  <si>
    <t>Кол-во симв.</t>
  </si>
  <si>
    <t>Фамилия И.О.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</si>
</sst>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ddd"/>
    <numFmt numFmtId="167" formatCode="0;[Red]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2"/>
      <color theme="1"/>
      <name val="Times New Roman"/>
    </font>
    <font>
      <b/>
      <sz val="12"/>
      <color theme="1"/>
      <name val="Times New Roman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1C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 wrapText="1" shrinkToFi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textRotation="90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 shrinkToFit="1"/>
    </xf>
    <xf numFmtId="166" fontId="2" fillId="0" borderId="1" xfId="0" applyNumberFormat="1" applyFont="1" applyBorder="1" applyAlignment="1">
      <alignment horizontal="center" vertical="center"/>
    </xf>
    <xf numFmtId="14" fontId="2" fillId="0" borderId="0" xfId="0" applyNumberFormat="1" applyFont="1"/>
    <xf numFmtId="167" fontId="2" fillId="0" borderId="0" xfId="0" applyNumberFormat="1" applyFont="1"/>
    <xf numFmtId="166" fontId="2" fillId="0" borderId="1" xfId="0" applyNumberFormat="1" applyFont="1" applyBorder="1" applyAlignment="1">
      <alignment horizontal="center" vertical="center" shrinkToFit="1"/>
    </xf>
    <xf numFmtId="166" fontId="2" fillId="0" borderId="10" xfId="0" applyNumberFormat="1" applyFont="1" applyBorder="1" applyAlignment="1">
      <alignment horizontal="center" vertical="center"/>
    </xf>
    <xf numFmtId="17" fontId="2" fillId="0" borderId="0" xfId="0" applyNumberFormat="1" applyFont="1"/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0" fontId="6" fillId="0" borderId="0" xfId="0" applyFont="1" applyBorder="1" applyAlignment="1">
      <alignment horizontal="center" vertical="center" wrapText="1" shrinkToFit="1"/>
    </xf>
    <xf numFmtId="0" fontId="5" fillId="0" borderId="5" xfId="0" applyFont="1" applyBorder="1" applyAlignment="1">
      <alignment horizontal="right" vertical="center" wrapText="1" shrinkToFit="1"/>
    </xf>
    <xf numFmtId="0" fontId="5" fillId="0" borderId="5" xfId="0" applyFont="1" applyBorder="1" applyAlignment="1">
      <alignment horizontal="left" vertical="center" wrapText="1" shrinkToFit="1"/>
    </xf>
    <xf numFmtId="0" fontId="2" fillId="0" borderId="0" xfId="0" applyFont="1" applyAlignment="1">
      <alignment wrapText="1" shrinkToFit="1"/>
    </xf>
    <xf numFmtId="166" fontId="2" fillId="0" borderId="1" xfId="0" applyNumberFormat="1" applyFont="1" applyFill="1" applyBorder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166" fontId="2" fillId="0" borderId="0" xfId="0" applyNumberFormat="1" applyFont="1" applyFill="1" applyBorder="1" applyAlignment="1">
      <alignment horizontal="center" vertical="center"/>
    </xf>
    <xf numFmtId="20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20" fontId="3" fillId="0" borderId="0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164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8" fillId="0" borderId="0" xfId="0" applyFont="1"/>
    <xf numFmtId="167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 wrapText="1" shrinkToFit="1"/>
    </xf>
    <xf numFmtId="49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 shrinkToFit="1"/>
    </xf>
    <xf numFmtId="0" fontId="3" fillId="0" borderId="4" xfId="0" applyFont="1" applyBorder="1" applyAlignment="1">
      <alignment horizontal="center" vertical="center" wrapText="1" shrinkToFit="1"/>
    </xf>
    <xf numFmtId="0" fontId="7" fillId="0" borderId="6" xfId="0" applyFont="1" applyBorder="1" applyAlignment="1">
      <alignment horizontal="center" vertical="center" wrapText="1" shrinkToFit="1"/>
    </xf>
    <xf numFmtId="0" fontId="7" fillId="0" borderId="11" xfId="0" applyFont="1" applyBorder="1" applyAlignment="1">
      <alignment horizontal="center" vertical="center" wrapText="1" shrinkToFit="1"/>
    </xf>
    <xf numFmtId="0" fontId="2" fillId="0" borderId="12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6" fillId="0" borderId="2" xfId="0" applyFont="1" applyBorder="1" applyAlignment="1">
      <alignment horizontal="center" vertical="center" wrapText="1" shrinkToFit="1"/>
    </xf>
    <xf numFmtId="0" fontId="6" fillId="0" borderId="13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0" fontId="6" fillId="0" borderId="14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 wrapText="1" shrinkToFit="1"/>
    </xf>
    <xf numFmtId="0" fontId="2" fillId="0" borderId="9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textRotation="90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6" fillId="0" borderId="15" xfId="0" applyFont="1" applyBorder="1" applyAlignment="1">
      <alignment horizontal="center" vertical="center" wrapText="1" shrinkToFit="1"/>
    </xf>
    <xf numFmtId="0" fontId="6" fillId="0" borderId="7" xfId="0" applyFont="1" applyBorder="1" applyAlignment="1">
      <alignment horizontal="center" vertical="center" wrapText="1" shrinkToFit="1"/>
    </xf>
    <xf numFmtId="0" fontId="6" fillId="0" borderId="3" xfId="0" applyFont="1" applyBorder="1" applyAlignment="1">
      <alignment horizontal="center" vertical="center" wrapText="1" shrinkToFit="1"/>
    </xf>
    <xf numFmtId="0" fontId="6" fillId="0" borderId="1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3" fillId="0" borderId="4" xfId="0" applyFont="1" applyBorder="1" applyAlignment="1">
      <alignment horizontal="center" vertical="center" textRotation="90" wrapText="1" shrinkToFit="1"/>
    </xf>
    <xf numFmtId="0" fontId="6" fillId="0" borderId="6" xfId="0" applyFont="1" applyBorder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right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8" xfId="0" applyFont="1" applyBorder="1" applyAlignment="1">
      <alignment horizontal="center" vertical="center" wrapText="1" shrinkToFit="1"/>
    </xf>
    <xf numFmtId="0" fontId="6" fillId="0" borderId="8" xfId="0" applyFont="1" applyBorder="1" applyAlignment="1">
      <alignment horizontal="center" vertical="center" wrapText="1" shrinkToFit="1"/>
    </xf>
    <xf numFmtId="0" fontId="3" fillId="0" borderId="6" xfId="0" applyFont="1" applyBorder="1" applyAlignment="1">
      <alignment horizontal="center" vertical="center" textRotation="90" wrapText="1" shrinkToFit="1"/>
    </xf>
    <xf numFmtId="0" fontId="3" fillId="0" borderId="11" xfId="0" applyFont="1" applyBorder="1" applyAlignment="1">
      <alignment horizontal="center" vertical="center" textRotation="90" wrapText="1" shrinkToFit="1"/>
    </xf>
    <xf numFmtId="0" fontId="0" fillId="0" borderId="5" xfId="0" applyBorder="1" applyAlignment="1">
      <alignment horizontal="center" vertical="center" wrapText="1" shrinkToFit="1"/>
    </xf>
    <xf numFmtId="0" fontId="0" fillId="0" borderId="2" xfId="0" applyBorder="1" applyAlignment="1">
      <alignment horizontal="center" vertical="center" wrapText="1" shrinkToFit="1"/>
    </xf>
    <xf numFmtId="0" fontId="0" fillId="0" borderId="15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3" xfId="0" applyBorder="1" applyAlignment="1">
      <alignment horizontal="center" vertical="center" wrapText="1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3" xfId="0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10" fillId="0" borderId="0" xfId="0" applyFont="1" applyAlignment="1">
      <alignment horizontal="center" vertical="center" wrapText="1" shrinkToFit="1"/>
    </xf>
    <xf numFmtId="0" fontId="2" fillId="0" borderId="0" xfId="0" applyFont="1" applyAlignment="1">
      <alignment horizontal="right" vertical="center" wrapText="1" shrinkToFit="1"/>
    </xf>
    <xf numFmtId="0" fontId="0" fillId="0" borderId="0" xfId="0" applyAlignment="1">
      <alignment horizontal="right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3" fillId="0" borderId="2" xfId="0" applyFont="1" applyBorder="1" applyAlignment="1">
      <alignment horizontal="center" vertical="center" wrapText="1" shrinkToFit="1"/>
    </xf>
    <xf numFmtId="0" fontId="0" fillId="0" borderId="14" xfId="0" applyBorder="1" applyAlignment="1">
      <alignment horizontal="center" vertical="center" wrapText="1" shrinkToFit="1"/>
    </xf>
    <xf numFmtId="0" fontId="6" fillId="0" borderId="5" xfId="0" applyFont="1" applyBorder="1" applyAlignment="1">
      <alignment horizontal="center" vertical="center" wrapText="1" shrinkToFit="1"/>
    </xf>
  </cellXfs>
  <cellStyles count="2">
    <cellStyle name="Обычный" xfId="0" builtinId="0"/>
    <cellStyle name="Обычный 2 2 2" xfId="1"/>
  </cellStyles>
  <dxfs count="14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Medium9"/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Услуги" displayName="Услуги" ref="A1:D51" headerRowDxfId="1402" dataDxfId="1401">
  <autoFilter ref="A1:D51">
    <filterColumn colId="0" hiddenButton="1"/>
    <filterColumn colId="1" hiddenButton="1"/>
    <filterColumn colId="2" hiddenButton="1"/>
    <filterColumn colId="3" hiddenButton="1"/>
  </autoFilter>
  <tableColumns count="4">
    <tableColumn id="1" name="Соц. Услуги" totalsRowLabel="Итог" dataDxfId="1400" totalsRowDxfId="1399"/>
    <tableColumn id="2" name="Кратко" dataDxfId="1398" totalsRowDxfId="1397">
      <calculatedColumnFormula>LEFT(Услуги[[#This Row],[Соц. Услуги]],Ограничение[Кол-во симв.])</calculatedColumnFormula>
    </tableColumn>
    <tableColumn id="3" name="Периодичность" totalsRowFunction="sum" dataDxfId="1396" totalsRowDxfId="1395"/>
    <tableColumn id="4" name="Объем" dataDxfId="1394" totalsRowDxfId="139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Посещения" displayName="Посещения" ref="H1:H4" totalsRowShown="0" headerRowDxfId="1392" dataDxfId="1391">
  <autoFilter ref="H1:H4">
    <filterColumn colId="0" hiddenButton="1"/>
  </autoFilter>
  <tableColumns count="1">
    <tableColumn id="1" name="№ Посещения" dataDxfId="13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1" name="Год" displayName="Год" ref="L1:L2" totalsRowShown="0" headerRowDxfId="1389" dataDxfId="1388">
  <autoFilter ref="L1:L2">
    <filterColumn colId="0" hiddenButton="1"/>
  </autoFilter>
  <tableColumns count="1">
    <tableColumn id="1" name="Год" dataDxfId="138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2" name="КалендарьПолн" displayName="КалендарьПолн" ref="F6:AK18" totalsRowShown="0" headerRowDxfId="1386" dataDxfId="1385">
  <autoFilter ref="F6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Месяц" dataDxfId="1384"/>
    <tableColumn id="2" name="1" dataDxfId="1383">
      <calculatedColumnFormula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calculatedColumnFormula>
    </tableColumn>
    <tableColumn id="3" name="2" dataDxfId="1382">
      <calculatedColumnFormula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calculatedColumnFormula>
    </tableColumn>
    <tableColumn id="4" name="3" dataDxfId="1381">
      <calculatedColumnFormula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calculatedColumnFormula>
    </tableColumn>
    <tableColumn id="5" name="4" dataDxfId="1380">
      <calculatedColumnFormula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calculatedColumnFormula>
    </tableColumn>
    <tableColumn id="6" name="5" dataDxfId="1379">
      <calculatedColumnFormula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calculatedColumnFormula>
    </tableColumn>
    <tableColumn id="7" name="6" dataDxfId="1378">
      <calculatedColumnFormula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calculatedColumnFormula>
    </tableColumn>
    <tableColumn id="8" name="7" dataDxfId="1377">
      <calculatedColumnFormula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calculatedColumnFormula>
    </tableColumn>
    <tableColumn id="9" name="8" dataDxfId="1376">
      <calculatedColumnFormula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calculatedColumnFormula>
    </tableColumn>
    <tableColumn id="10" name="9" dataDxfId="1375">
      <calculatedColumnFormula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calculatedColumnFormula>
    </tableColumn>
    <tableColumn id="11" name="10" dataDxfId="1374">
      <calculatedColumnFormula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calculatedColumnFormula>
    </tableColumn>
    <tableColumn id="12" name="11" dataDxfId="1373">
      <calculatedColumnFormula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calculatedColumnFormula>
    </tableColumn>
    <tableColumn id="13" name="12" dataDxfId="1372">
      <calculatedColumnFormula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calculatedColumnFormula>
    </tableColumn>
    <tableColumn id="14" name="13" dataDxfId="1371">
      <calculatedColumnFormula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calculatedColumnFormula>
    </tableColumn>
    <tableColumn id="15" name="14" dataDxfId="1370">
      <calculatedColumnFormula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calculatedColumnFormula>
    </tableColumn>
    <tableColumn id="16" name="15" dataDxfId="1369">
      <calculatedColumnFormula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calculatedColumnFormula>
    </tableColumn>
    <tableColumn id="17" name="16" dataDxfId="1368">
      <calculatedColumnFormula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calculatedColumnFormula>
    </tableColumn>
    <tableColumn id="18" name="17" dataDxfId="1367">
      <calculatedColumnFormula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calculatedColumnFormula>
    </tableColumn>
    <tableColumn id="19" name="18" dataDxfId="1366">
      <calculatedColumnFormula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calculatedColumnFormula>
    </tableColumn>
    <tableColumn id="20" name="19" dataDxfId="1365">
      <calculatedColumnFormula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calculatedColumnFormula>
    </tableColumn>
    <tableColumn id="21" name="20" dataDxfId="1364">
      <calculatedColumnFormula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calculatedColumnFormula>
    </tableColumn>
    <tableColumn id="22" name="21" dataDxfId="1363">
      <calculatedColumnFormula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calculatedColumnFormula>
    </tableColumn>
    <tableColumn id="23" name="22" dataDxfId="1362">
      <calculatedColumnFormula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calculatedColumnFormula>
    </tableColumn>
    <tableColumn id="24" name="23" dataDxfId="1361">
      <calculatedColumnFormula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calculatedColumnFormula>
    </tableColumn>
    <tableColumn id="25" name="24" dataDxfId="1360">
      <calculatedColumnFormula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calculatedColumnFormula>
    </tableColumn>
    <tableColumn id="26" name="25" dataDxfId="1359">
      <calculatedColumnFormula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calculatedColumnFormula>
    </tableColumn>
    <tableColumn id="27" name="26" dataDxfId="1358">
      <calculatedColumnFormula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calculatedColumnFormula>
    </tableColumn>
    <tableColumn id="28" name="27" dataDxfId="1357">
      <calculatedColumnFormula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calculatedColumnFormula>
    </tableColumn>
    <tableColumn id="29" name="28" dataDxfId="1356">
      <calculatedColumnFormula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calculatedColumnFormula>
    </tableColumn>
    <tableColumn id="30" name="29" dataDxfId="1355">
      <calculatedColumnFormula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calculatedColumnFormula>
    </tableColumn>
    <tableColumn id="31" name="30" dataDxfId="1354">
      <calculatedColumnFormula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calculatedColumnFormula>
    </tableColumn>
    <tableColumn id="32" name="31" dataDxfId="1353">
      <calculatedColumnFormula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23" name="КалендарьНН" displayName="КалендарьНН" ref="F20:AK32" totalsRowShown="0" headerRowDxfId="1352" dataDxfId="1351">
  <autoFilter ref="F20:AK3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Месяц" dataDxfId="1350"/>
    <tableColumn id="2" name="1" dataDxfId="1349">
      <calculatedColumnFormula>IF(G7="",0,ROUNDUP(DAY(G7)/7,0)+(WEEKDAY(G7-DAY(G7)+1,11)&gt;WEEKDAY(G7,11)))</calculatedColumnFormula>
    </tableColumn>
    <tableColumn id="3" name="2" dataDxfId="1348">
      <calculatedColumnFormula>IF(H7="",0,ROUNDUP(DAY(H7)/7,0)+(WEEKDAY(H7-DAY(H7)+1,11)&gt;WEEKDAY(H7,11)))</calculatedColumnFormula>
    </tableColumn>
    <tableColumn id="4" name="3" dataDxfId="1347">
      <calculatedColumnFormula>IF(I7="",0,ROUNDUP(DAY(I7)/7,0)+(WEEKDAY(I7-DAY(I7)+1,11)&gt;WEEKDAY(I7,11)))</calculatedColumnFormula>
    </tableColumn>
    <tableColumn id="5" name="4" dataDxfId="1346">
      <calculatedColumnFormula>IF(J7="",0,ROUNDUP(DAY(J7)/7,0)+(WEEKDAY(J7-DAY(J7)+1,11)&gt;WEEKDAY(J7,11)))</calculatedColumnFormula>
    </tableColumn>
    <tableColumn id="6" name="5" dataDxfId="1345">
      <calculatedColumnFormula>IF(K7="",0,ROUNDUP(DAY(K7)/7,0)+(WEEKDAY(K7-DAY(K7)+1,11)&gt;WEEKDAY(K7,11)))</calculatedColumnFormula>
    </tableColumn>
    <tableColumn id="7" name="6" dataDxfId="1344">
      <calculatedColumnFormula>IF(L7="",0,ROUNDUP(DAY(L7)/7,0)+(WEEKDAY(L7-DAY(L7)+1,11)&gt;WEEKDAY(L7,11)))</calculatedColumnFormula>
    </tableColumn>
    <tableColumn id="8" name="7" dataDxfId="1343">
      <calculatedColumnFormula>IF(M7="",0,ROUNDUP(DAY(M7)/7,0)+(WEEKDAY(M7-DAY(M7)+1,11)&gt;WEEKDAY(M7,11)))</calculatedColumnFormula>
    </tableColumn>
    <tableColumn id="9" name="8" dataDxfId="1342">
      <calculatedColumnFormula>IF(N7="",0,ROUNDUP(DAY(N7)/7,0)+(WEEKDAY(N7-DAY(N7)+1,11)&gt;WEEKDAY(N7,11)))</calculatedColumnFormula>
    </tableColumn>
    <tableColumn id="10" name="9" dataDxfId="1341">
      <calculatedColumnFormula>IF(O7="",0,ROUNDUP(DAY(O7)/7,0)+(WEEKDAY(O7-DAY(O7)+1,11)&gt;WEEKDAY(O7,11)))</calculatedColumnFormula>
    </tableColumn>
    <tableColumn id="11" name="10" dataDxfId="1340">
      <calculatedColumnFormula>IF(P7="",0,ROUNDUP(DAY(P7)/7,0)+(WEEKDAY(P7-DAY(P7)+1,11)&gt;WEEKDAY(P7,11)))</calculatedColumnFormula>
    </tableColumn>
    <tableColumn id="12" name="11" dataDxfId="1339">
      <calculatedColumnFormula>IF(Q7="",0,ROUNDUP(DAY(Q7)/7,0)+(WEEKDAY(Q7-DAY(Q7)+1,11)&gt;WEEKDAY(Q7,11)))</calculatedColumnFormula>
    </tableColumn>
    <tableColumn id="13" name="12" dataDxfId="1338">
      <calculatedColumnFormula>IF(R7="",0,ROUNDUP(DAY(R7)/7,0)+(WEEKDAY(R7-DAY(R7)+1,11)&gt;WEEKDAY(R7,11)))</calculatedColumnFormula>
    </tableColumn>
    <tableColumn id="14" name="13" dataDxfId="1337">
      <calculatedColumnFormula>IF(S7="",0,ROUNDUP(DAY(S7)/7,0)+(WEEKDAY(S7-DAY(S7)+1,11)&gt;WEEKDAY(S7,11)))</calculatedColumnFormula>
    </tableColumn>
    <tableColumn id="15" name="14" dataDxfId="1336">
      <calculatedColumnFormula>IF(T7="",0,ROUNDUP(DAY(T7)/7,0)+(WEEKDAY(T7-DAY(T7)+1,11)&gt;WEEKDAY(T7,11)))</calculatedColumnFormula>
    </tableColumn>
    <tableColumn id="16" name="15" dataDxfId="1335">
      <calculatedColumnFormula>IF(U7="",0,ROUNDUP(DAY(U7)/7,0)+(WEEKDAY(U7-DAY(U7)+1,11)&gt;WEEKDAY(U7,11)))</calculatedColumnFormula>
    </tableColumn>
    <tableColumn id="17" name="16" dataDxfId="1334">
      <calculatedColumnFormula>IF(V7="",0,ROUNDUP(DAY(V7)/7,0)+(WEEKDAY(V7-DAY(V7)+1,11)&gt;WEEKDAY(V7,11)))</calculatedColumnFormula>
    </tableColumn>
    <tableColumn id="18" name="17" dataDxfId="1333">
      <calculatedColumnFormula>IF(W7="",0,ROUNDUP(DAY(W7)/7,0)+(WEEKDAY(W7-DAY(W7)+1,11)&gt;WEEKDAY(W7,11)))</calculatedColumnFormula>
    </tableColumn>
    <tableColumn id="19" name="18" dataDxfId="1332">
      <calculatedColumnFormula>IF(X7="",0,ROUNDUP(DAY(X7)/7,0)+(WEEKDAY(X7-DAY(X7)+1,11)&gt;WEEKDAY(X7,11)))</calculatedColumnFormula>
    </tableColumn>
    <tableColumn id="20" name="19" dataDxfId="1331">
      <calculatedColumnFormula>IF(Y7="",0,ROUNDUP(DAY(Y7)/7,0)+(WEEKDAY(Y7-DAY(Y7)+1,11)&gt;WEEKDAY(Y7,11)))</calculatedColumnFormula>
    </tableColumn>
    <tableColumn id="21" name="20" dataDxfId="1330">
      <calculatedColumnFormula>IF(Z7="",0,ROUNDUP(DAY(Z7)/7,0)+(WEEKDAY(Z7-DAY(Z7)+1,11)&gt;WEEKDAY(Z7,11)))</calculatedColumnFormula>
    </tableColumn>
    <tableColumn id="22" name="21" dataDxfId="1329">
      <calculatedColumnFormula>IF(AA7="",0,ROUNDUP(DAY(AA7)/7,0)+(WEEKDAY(AA7-DAY(AA7)+1,11)&gt;WEEKDAY(AA7,11)))</calculatedColumnFormula>
    </tableColumn>
    <tableColumn id="23" name="22" dataDxfId="1328">
      <calculatedColumnFormula>IF(AB7="",0,ROUNDUP(DAY(AB7)/7,0)+(WEEKDAY(AB7-DAY(AB7)+1,11)&gt;WEEKDAY(AB7,11)))</calculatedColumnFormula>
    </tableColumn>
    <tableColumn id="24" name="23" dataDxfId="1327">
      <calculatedColumnFormula>IF(AC7="",0,ROUNDUP(DAY(AC7)/7,0)+(WEEKDAY(AC7-DAY(AC7)+1,11)&gt;WEEKDAY(AC7,11)))</calculatedColumnFormula>
    </tableColumn>
    <tableColumn id="25" name="24" dataDxfId="1326">
      <calculatedColumnFormula>IF(AD7="",0,ROUNDUP(DAY(AD7)/7,0)+(WEEKDAY(AD7-DAY(AD7)+1,11)&gt;WEEKDAY(AD7,11)))</calculatedColumnFormula>
    </tableColumn>
    <tableColumn id="26" name="25" dataDxfId="1325">
      <calculatedColumnFormula>IF(AE7="",0,ROUNDUP(DAY(AE7)/7,0)+(WEEKDAY(AE7-DAY(AE7)+1,11)&gt;WEEKDAY(AE7,11)))</calculatedColumnFormula>
    </tableColumn>
    <tableColumn id="27" name="26" dataDxfId="1324">
      <calculatedColumnFormula>IF(AF7="",0,ROUNDUP(DAY(AF7)/7,0)+(WEEKDAY(AF7-DAY(AF7)+1,11)&gt;WEEKDAY(AF7,11)))</calculatedColumnFormula>
    </tableColumn>
    <tableColumn id="28" name="27" dataDxfId="1323">
      <calculatedColumnFormula>IF(AG7="",0,ROUNDUP(DAY(AG7)/7,0)+(WEEKDAY(AG7-DAY(AG7)+1,11)&gt;WEEKDAY(AG7,11)))</calculatedColumnFormula>
    </tableColumn>
    <tableColumn id="29" name="28" dataDxfId="1322">
      <calculatedColumnFormula>IF(AH7="",0,ROUNDUP(DAY(AH7)/7,0)+(WEEKDAY(AH7-DAY(AH7)+1,11)&gt;WEEKDAY(AH7,11)))</calculatedColumnFormula>
    </tableColumn>
    <tableColumn id="30" name="29" dataDxfId="1321">
      <calculatedColumnFormula>IF(AI7="",0,ROUNDUP(DAY(AI7)/7,0)+(WEEKDAY(AI7-DAY(AI7)+1,11)&gt;WEEKDAY(AI7,11)))</calculatedColumnFormula>
    </tableColumn>
    <tableColumn id="31" name="30" dataDxfId="1320">
      <calculatedColumnFormula>IF(AJ7="",0,ROUNDUP(DAY(AJ7)/7,0)+(WEEKDAY(AJ7-DAY(AJ7)+1,11)&gt;WEEKDAY(AJ7,11)))</calculatedColumnFormula>
    </tableColumn>
    <tableColumn id="32" name="31" dataDxfId="1319">
      <calculatedColumnFormula>IF(AK7="",0,ROUNDUP(DAY(AK7)/7,0)+(WEEKDAY(AK7-DAY(AK7)+1,11)&gt;WEEKDAY(AK7,11)))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30" name="Получатель" displayName="Получатель" ref="N1:N2" totalsRowShown="0" headerRowDxfId="1318" dataDxfId="1317">
  <autoFilter ref="N1:N2">
    <filterColumn colId="0" hiddenButton="1"/>
  </autoFilter>
  <tableColumns count="1">
    <tableColumn id="1" name="Получатель" dataDxfId="131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1" name="СоцРаботник" displayName="СоцРаботник" ref="P1:P2" totalsRowShown="0" headerRowDxfId="1315" dataDxfId="1314">
  <autoFilter ref="P1:P2">
    <filterColumn colId="0" hiddenButton="1"/>
  </autoFilter>
  <tableColumns count="1">
    <tableColumn id="1" name="Соц. Работник" dataDxfId="13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3" name="ВремяНачала" displayName="ВремяНачала" ref="J1:J4" totalsRowShown="0" headerRowDxfId="1312" dataDxfId="1311">
  <autoFilter ref="J1:J4">
    <filterColumn colId="0" hiddenButton="1"/>
  </autoFilter>
  <tableColumns count="1">
    <tableColumn id="1" name="Начало" dataDxfId="13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6" name="Ограничение" displayName="Ограничение" ref="F1:F2" totalsRowShown="0" headerRowDxfId="1309" dataDxfId="1308">
  <autoFilter ref="F1:F2">
    <filterColumn colId="0" hiddenButton="1"/>
  </autoFilter>
  <tableColumns count="1">
    <tableColumn id="1" name="Кол-во симв." dataDxfId="130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65" name="СписокУслуг" displayName="СписокУслуг" ref="A1:A2" totalsRowShown="0">
  <autoFilter ref="A1:A2"/>
  <sortState ref="A2:A51">
    <sortCondition ref="A2:A3"/>
  </sortState>
  <tableColumns count="1">
    <tableColumn id="1" name="Список услуг получателя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9" name="Январь" displayName="Январь" ref="A25:AK28" headerRowDxfId="1304" dataDxfId="1303" totalsRowDxfId="1302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1301"/>
    <tableColumn id="2" name="Объем" dataDxfId="1300" totalsRowDxfId="1299">
      <calculatedColumnFormula>IF(Январь[[#This Row],[№]]=1,INDEX(Услуги[],MATCH(Январь[[#This Row],[Услуга]],Услуги[Кратко],0),4),"")</calculatedColumnFormula>
    </tableColumn>
    <tableColumn id="3" name="Периодичность" dataDxfId="1298" totalsRowDxfId="1297">
      <calculatedColumnFormula>IF(Январь[[#This Row],[№]]=1,INDEX(Услуги[],MATCH(Январь[[#This Row],[Услуга]],Услуги[Кратко],0),3),"")</calculatedColumnFormula>
    </tableColumn>
    <tableColumn id="4" name="№" dataDxfId="1296" totalsRowDxfId="1295"/>
    <tableColumn id="7" name="1"/>
    <tableColumn id="8" name="2"/>
    <tableColumn id="9" name="3"/>
    <tableColumn id="10" name="4" totalsRowDxfId="1294"/>
    <tableColumn id="11" name="5" totalsRowDxfId="1293"/>
    <tableColumn id="12" name="6" totalsRowDxfId="1292"/>
    <tableColumn id="13" name="7"/>
    <tableColumn id="14" name="8"/>
    <tableColumn id="15" name="9"/>
    <tableColumn id="16" name="10"/>
    <tableColumn id="17" name="11" totalsRowDxfId="1291"/>
    <tableColumn id="18" name="12" totalsRowDxfId="1290"/>
    <tableColumn id="19" name="13" totalsRowDxfId="1289"/>
    <tableColumn id="20" name="14"/>
    <tableColumn id="21" name="15"/>
    <tableColumn id="22" name="16"/>
    <tableColumn id="23" name="17"/>
    <tableColumn id="24" name="18" totalsRowDxfId="1288"/>
    <tableColumn id="25" name="19" totalsRowDxfId="1287"/>
    <tableColumn id="26" name="20" totalsRowDxfId="1286"/>
    <tableColumn id="27" name="21"/>
    <tableColumn id="28" name="22"/>
    <tableColumn id="29" name="23"/>
    <tableColumn id="30" name="24"/>
    <tableColumn id="31" name="25" totalsRowDxfId="1285"/>
    <tableColumn id="32" name="26" totalsRowDxfId="1284"/>
    <tableColumn id="33" name="27" totalsRowDxfId="1283"/>
    <tableColumn id="34" name="28"/>
    <tableColumn id="35" name="29"/>
    <tableColumn id="36" name="30"/>
    <tableColumn id="5" name="31"/>
    <tableColumn id="38" name="УСЛУГ" totalsRowFunction="sum" dataDxfId="1282" totalsRowDxfId="1281">
      <calculatedColumnFormula>IF(Январь[[#This Row],[№]]=1,SUM(Январь[[#This Row],[1]:[31]])+SUM(OFFSET(Январь[[#This Row],[1]:[31]],1,0))+SUM(OFFSET(Январь[[#This Row],[1]:[31]],2,0)),"")</calculatedColumnFormula>
    </tableColumn>
    <tableColumn id="39" name="МИНУТ" totalsRowFunction="sum" dataDxfId="1280" totalsRowDxfId="1279">
      <calculatedColumnFormula>IF(Январь[[#This Row],[УСЛУГ]]&lt;&gt;"",Январь[[#This Row],[УСЛУГ]]*Январь[[#This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id="20" name="ЯнварьИтоги" displayName="ЯнварьИтоги" ref="A12:AK18" totalsRowShown="0" headerRowDxfId="1278" dataDxfId="1277" tableBorderDxfId="1276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1275"/>
    <tableColumn id="2" name="за неделю" dataDxfId="1274">
      <calculatedColumnFormula>SUMPRODUCT((#REF!=1)*E16:AI16)</calculatedColumnFormula>
    </tableColumn>
    <tableColumn id="3" name="всего минут" dataDxfId="1273">
      <calculatedColumnFormula>ЯнварьИтоги[[#This Row],[№]]*60</calculatedColumnFormula>
    </tableColumn>
    <tableColumn id="4" name="№" dataDxfId="1272"/>
    <tableColumn id="5" name="1" dataDxfId="1271">
      <calculatedColumnFormula>SUM(E10:E15)</calculatedColumnFormula>
    </tableColumn>
    <tableColumn id="6" name="2" dataDxfId="1270"/>
    <tableColumn id="7" name="3" dataDxfId="1269"/>
    <tableColumn id="8" name="4" dataDxfId="1268"/>
    <tableColumn id="9" name="5" dataDxfId="1267"/>
    <tableColumn id="10" name="6" dataDxfId="1266"/>
    <tableColumn id="11" name="7" dataDxfId="1265"/>
    <tableColumn id="12" name="8" dataDxfId="1264"/>
    <tableColumn id="13" name="9" dataDxfId="1263"/>
    <tableColumn id="14" name="10" dataDxfId="1262"/>
    <tableColumn id="15" name="11" dataDxfId="1261"/>
    <tableColumn id="16" name="12" dataDxfId="1260"/>
    <tableColumn id="17" name="13" dataDxfId="1259"/>
    <tableColumn id="18" name="14" dataDxfId="1258"/>
    <tableColumn id="19" name="15" dataDxfId="1257"/>
    <tableColumn id="20" name="16" dataDxfId="1256"/>
    <tableColumn id="21" name="17" dataDxfId="1255"/>
    <tableColumn id="22" name="18" dataDxfId="1254"/>
    <tableColumn id="23" name="19" dataDxfId="1253"/>
    <tableColumn id="24" name="20" dataDxfId="1252"/>
    <tableColumn id="25" name="21" dataDxfId="1251"/>
    <tableColumn id="26" name="22" dataDxfId="1250"/>
    <tableColumn id="27" name="23" dataDxfId="1249"/>
    <tableColumn id="28" name="24" dataDxfId="1248"/>
    <tableColumn id="29" name="25" dataDxfId="1247"/>
    <tableColumn id="30" name="26" dataDxfId="1246"/>
    <tableColumn id="31" name="27" dataDxfId="1245"/>
    <tableColumn id="32" name="28" dataDxfId="1244"/>
    <tableColumn id="33" name="29" dataDxfId="1243"/>
    <tableColumn id="34" name="30" dataDxfId="1242"/>
    <tableColumn id="37" name="31" dataDxfId="1241">
      <calculatedColumnFormula>SUMPRODUCT((Август[№]=1)*Август[31],Август[Периодичность])</calculatedColumnFormula>
    </tableColumn>
    <tableColumn id="35" name="УСЛУГ" dataDxfId="1240">
      <calculatedColumnFormula>SUM(Сентябрь[УСЛУГ])</calculatedColumnFormula>
    </tableColumn>
    <tableColumn id="36" name="МИНУТ" dataDxfId="1239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32" name="ЯнвГраф1" displayName="ЯнвГраф1" ref="A13:P16" totalsRowShown="0" headerRowDxfId="1235" dataDxfId="1234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233">
      <calculatedColumnFormula>IF(Настройки!J2&lt;&gt;"",TEXT(Настройки!J2,"ч:мм")&amp;"-"&amp;TEXT(Настройки!J2+TIME(0,MAX(Январь!E13:AI13),0),"ч:мм"),"")</calculatedColumnFormula>
    </tableColumn>
    <tableColumn id="2" name="1" dataDxfId="1232">
      <calculatedColumnFormula>IF(TEXT(Настройки!$J2+TIME(0,Январь!E13,0),"ч::мм")=TEXT(Настройки!$J2,"ч:мм"),"",TEXT(Настройки!$J2,"ч:мм")&amp;"-"&amp;TEXT(Настройки!$J2+TIME(0,Январь!E13,0),"ч::мм"))</calculatedColumnFormula>
    </tableColumn>
    <tableColumn id="3" name="2" dataDxfId="1231">
      <calculatedColumnFormula>IF(TEXT(Настройки!$J2+TIME(0,Январь!F13,0),"ч::мм")=TEXT(Настройки!$J2,"ч:мм"),"",TEXT(Настройки!$J2,"ч:мм")&amp;"-"&amp;TEXT(Настройки!$J2+TIME(0,Январь!F13,0),"ч::мм"))</calculatedColumnFormula>
    </tableColumn>
    <tableColumn id="4" name="3" dataDxfId="1230">
      <calculatedColumnFormula>IF(TEXT(Настройки!$J2+TIME(0,Январь!G13,0),"ч::мм")=TEXT(Настройки!$J2,"ч:мм"),"",TEXT(Настройки!$J2,"ч:мм")&amp;"-"&amp;TEXT(Настройки!$J2+TIME(0,Январь!G13,0),"ч::мм"))</calculatedColumnFormula>
    </tableColumn>
    <tableColumn id="5" name="4" dataDxfId="1229">
      <calculatedColumnFormula>IF(TEXT(Настройки!$J2+TIME(0,Январь!H13,0),"ч::мм")=TEXT(Настройки!$J2,"ч:мм"),"",TEXT(Настройки!$J2,"ч:мм")&amp;"-"&amp;TEXT(Настройки!$J2+TIME(0,Январь!H13,0),"ч::мм"))</calculatedColumnFormula>
    </tableColumn>
    <tableColumn id="6" name="5" dataDxfId="1228">
      <calculatedColumnFormula>IF(TEXT(Настройки!$J2+TIME(0,Январь!I13,0),"ч::мм")=TEXT(Настройки!$J2,"ч:мм"),"",TEXT(Настройки!$J2,"ч:мм")&amp;"-"&amp;TEXT(Настройки!$J2+TIME(0,Январь!I13,0),"ч::мм"))</calculatedColumnFormula>
    </tableColumn>
    <tableColumn id="7" name="6" dataDxfId="1227">
      <calculatedColumnFormula>IF(TEXT(Настройки!$J2+TIME(0,Январь!J13,0),"ч::мм")=TEXT(Настройки!$J2,"ч:мм"),"",TEXT(Настройки!$J2,"ч:мм")&amp;"-"&amp;TEXT(Настройки!$J2+TIME(0,Январь!J13,0),"ч::мм"))</calculatedColumnFormula>
    </tableColumn>
    <tableColumn id="8" name="7" dataDxfId="1226">
      <calculatedColumnFormula>IF(TEXT(Настройки!$J2+TIME(0,Январь!K13,0),"ч::мм")=TEXT(Настройки!$J2,"ч:мм"),"",TEXT(Настройки!$J2,"ч:мм")&amp;"-"&amp;TEXT(Настройки!$J2+TIME(0,Январь!K13,0),"ч::мм"))</calculatedColumnFormula>
    </tableColumn>
    <tableColumn id="9" name="8" dataDxfId="1225">
      <calculatedColumnFormula>IF(TEXT(Настройки!$J2+TIME(0,Январь!L13,0),"ч::мм")=TEXT(Настройки!$J2,"ч:мм"),"",TEXT(Настройки!$J2,"ч:мм")&amp;"-"&amp;TEXT(Настройки!$J2+TIME(0,Январь!L13,0),"ч::мм"))</calculatedColumnFormula>
    </tableColumn>
    <tableColumn id="10" name="9" dataDxfId="1224">
      <calculatedColumnFormula>IF(TEXT(Настройки!$J2+TIME(0,Январь!M13,0),"ч::мм")=TEXT(Настройки!$J2,"ч:мм"),"",TEXT(Настройки!$J2,"ч:мм")&amp;"-"&amp;TEXT(Настройки!$J2+TIME(0,Январь!M13,0),"ч::мм"))</calculatedColumnFormula>
    </tableColumn>
    <tableColumn id="11" name="10" dataDxfId="1223">
      <calculatedColumnFormula>IF(TEXT(Настройки!$J2+TIME(0,Январь!N13,0),"ч::мм")=TEXT(Настройки!$J2,"ч:мм"),"",TEXT(Настройки!$J2,"ч:мм")&amp;"-"&amp;TEXT(Настройки!$J2+TIME(0,Январь!N13,0),"ч::мм"))</calculatedColumnFormula>
    </tableColumn>
    <tableColumn id="12" name="11" dataDxfId="1222">
      <calculatedColumnFormula>IF(TEXT(Настройки!$J2+TIME(0,Январь!O13,0),"ч::мм")=TEXT(Настройки!$J2,"ч:мм"),"",TEXT(Настройки!$J2,"ч:мм")&amp;"-"&amp;TEXT(Настройки!$J2+TIME(0,Январь!O13,0),"ч::мм"))</calculatedColumnFormula>
    </tableColumn>
    <tableColumn id="13" name="12" dataDxfId="1221">
      <calculatedColumnFormula>IF(TEXT(Настройки!$J2+TIME(0,Январь!P13,0),"ч::мм")=TEXT(Настройки!$J2,"ч:мм"),"",TEXT(Настройки!$J2,"ч:мм")&amp;"-"&amp;TEXT(Настройки!$J2+TIME(0,Январь!P13,0),"ч::мм"))</calculatedColumnFormula>
    </tableColumn>
    <tableColumn id="14" name="13" dataDxfId="1220">
      <calculatedColumnFormula>IF(TEXT(Настройки!$J2+TIME(0,Январь!Q13,0),"ч::мм")=TEXT(Настройки!$J2,"ч:мм"),"",TEXT(Настройки!$J2,"ч:мм")&amp;"-"&amp;TEXT(Настройки!$J2+TIME(0,Январь!Q13,0),"ч::мм"))</calculatedColumnFormula>
    </tableColumn>
    <tableColumn id="15" name="14" dataDxfId="1219">
      <calculatedColumnFormula>IF(TEXT(Настройки!$J2+TIME(0,Январь!R13,0),"ч::мм")=TEXT(Настройки!$J2,"ч:мм"),"",TEXT(Настройки!$J2,"ч:мм")&amp;"-"&amp;TEXT(Настройки!$J2+TIME(0,Январь!R13,0),"ч::мм"))</calculatedColumnFormula>
    </tableColumn>
    <tableColumn id="16" name="15" dataDxfId="1218">
      <calculatedColumnFormula>IF(TEXT(Настройки!$J2+TIME(0,Январь!S13,0),"ч::мм")=TEXT(Настройки!$J2,"ч:мм"),"",TEXT(Настройки!$J2,"ч:мм")&amp;"-"&amp;TEXT(Настройки!$J2+TIME(0,Январь!S13,0),"ч::мм"))</calculatedColumnFormula>
    </tableColumn>
  </tableColumns>
  <tableStyleInfo name="TableStyleLight15" showFirstColumn="0" showLastColumn="0" showRowStripes="0" showColumnStripes="1"/>
</table>
</file>

<file path=xl/tables/table14.xml><?xml version="1.0" encoding="utf-8"?>
<table xmlns="http://schemas.openxmlformats.org/spreadsheetml/2006/main" id="34" name="ЯнвГраф2" displayName="ЯнвГраф2" ref="A23:P26" totalsRowShown="0" headerRowDxfId="1217" dataDxfId="1216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215">
      <calculatedColumnFormula>A14</calculatedColumnFormula>
    </tableColumn>
    <tableColumn id="2" name="16" dataDxfId="1214">
      <calculatedColumnFormula>IF(TEXT(Настройки!$J2+TIME(0,Январь!T13,0),"ч::мм")=TEXT(Настройки!$J2,"ч:мм"),"",TEXT(Настройки!$J2,"ч:мм")&amp;"-"&amp;TEXT(Настройки!$J2+TIME(0,Январь!T13,0),"ч::мм"))</calculatedColumnFormula>
    </tableColumn>
    <tableColumn id="3" name="17" dataDxfId="1213">
      <calculatedColumnFormula>IF(TEXT(Настройки!$J2+TIME(0,Январь!U13,0),"ч::мм")=TEXT(Настройки!$J2,"ч:мм"),"",TEXT(Настройки!$J2,"ч:мм")&amp;"-"&amp;TEXT(Настройки!$J2+TIME(0,Январь!U13,0),"ч::мм"))</calculatedColumnFormula>
    </tableColumn>
    <tableColumn id="4" name="18" dataDxfId="1212">
      <calculatedColumnFormula>IF(TEXT(Настройки!$J2+TIME(0,Январь!V13,0),"ч::мм")=TEXT(Настройки!$J2,"ч:мм"),"",TEXT(Настройки!$J2,"ч:мм")&amp;"-"&amp;TEXT(Настройки!$J2+TIME(0,Январь!V13,0),"ч::мм"))</calculatedColumnFormula>
    </tableColumn>
    <tableColumn id="5" name="19" dataDxfId="1211">
      <calculatedColumnFormula>IF(TEXT(Настройки!$J2+TIME(0,Январь!W13,0),"ч::мм")=TEXT(Настройки!$J2,"ч:мм"),"",TEXT(Настройки!$J2,"ч:мм")&amp;"-"&amp;TEXT(Настройки!$J2+TIME(0,Январь!W13,0),"ч::мм"))</calculatedColumnFormula>
    </tableColumn>
    <tableColumn id="6" name="20" dataDxfId="1210">
      <calculatedColumnFormula>IF(TEXT(Настройки!$J2+TIME(0,Январь!X13,0),"ч::мм")=TEXT(Настройки!$J2,"ч:мм"),"",TEXT(Настройки!$J2,"ч:мм")&amp;"-"&amp;TEXT(Настройки!$J2+TIME(0,Январь!X13,0),"ч::мм"))</calculatedColumnFormula>
    </tableColumn>
    <tableColumn id="7" name="21" dataDxfId="1209">
      <calculatedColumnFormula>IF(TEXT(Настройки!$J2+TIME(0,Январь!Y13,0),"ч::мм")=TEXT(Настройки!$J2,"ч:мм"),"",TEXT(Настройки!$J2,"ч:мм")&amp;"-"&amp;TEXT(Настройки!$J2+TIME(0,Январь!Y13,0),"ч::мм"))</calculatedColumnFormula>
    </tableColumn>
    <tableColumn id="8" name="22" dataDxfId="1208">
      <calculatedColumnFormula>IF(TEXT(Настройки!$J2+TIME(0,Январь!Z13,0),"ч::мм")=TEXT(Настройки!$J2,"ч:мм"),"",TEXT(Настройки!$J2,"ч:мм")&amp;"-"&amp;TEXT(Настройки!$J2+TIME(0,Январь!Z13,0),"ч::мм"))</calculatedColumnFormula>
    </tableColumn>
    <tableColumn id="9" name="23" dataDxfId="1207">
      <calculatedColumnFormula>IF(TEXT(Настройки!$J2+TIME(0,Январь!AA13,0),"ч::мм")=TEXT(Настройки!$J2,"ч:мм"),"",TEXT(Настройки!$J2,"ч:мм")&amp;"-"&amp;TEXT(Настройки!$J2+TIME(0,Январь!AA13,0),"ч::мм"))</calculatedColumnFormula>
    </tableColumn>
    <tableColumn id="10" name="24" dataDxfId="1206">
      <calculatedColumnFormula>IF(TEXT(Настройки!$J2+TIME(0,Январь!AB13,0),"ч::мм")=TEXT(Настройки!$J2,"ч:мм"),"",TEXT(Настройки!$J2,"ч:мм")&amp;"-"&amp;TEXT(Настройки!$J2+TIME(0,Январь!AB13,0),"ч::мм"))</calculatedColumnFormula>
    </tableColumn>
    <tableColumn id="11" name="25" dataDxfId="1205">
      <calculatedColumnFormula>IF(TEXT(Настройки!$J2+TIME(0,Январь!AC13,0),"ч::мм")=TEXT(Настройки!$J2,"ч:мм"),"",TEXT(Настройки!$J2,"ч:мм")&amp;"-"&amp;TEXT(Настройки!$J2+TIME(0,Январь!AC13,0),"ч::мм"))</calculatedColumnFormula>
    </tableColumn>
    <tableColumn id="12" name="26" dataDxfId="1204">
      <calculatedColumnFormula>IF(TEXT(Настройки!$J2+TIME(0,Январь!AD13,0),"ч::мм")=TEXT(Настройки!$J2,"ч:мм"),"",TEXT(Настройки!$J2,"ч:мм")&amp;"-"&amp;TEXT(Настройки!$J2+TIME(0,Январь!AD13,0),"ч::мм"))</calculatedColumnFormula>
    </tableColumn>
    <tableColumn id="13" name="27" dataDxfId="1203">
      <calculatedColumnFormula>IF(TEXT(Настройки!$J2+TIME(0,Январь!AE13,0),"ч::мм")=TEXT(Настройки!$J2,"ч:мм"),"",TEXT(Настройки!$J2,"ч:мм")&amp;"-"&amp;TEXT(Настройки!$J2+TIME(0,Январь!AE13,0),"ч::мм"))</calculatedColumnFormula>
    </tableColumn>
    <tableColumn id="14" name="28" dataDxfId="1202">
      <calculatedColumnFormula>IF(TEXT(Настройки!$J2+TIME(0,Январь!AF13,0),"ч::мм")=TEXT(Настройки!$J2,"ч:мм"),"",TEXT(Настройки!$J2,"ч:мм")&amp;"-"&amp;TEXT(Настройки!$J2+TIME(0,Январь!AF13,0),"ч::мм"))</calculatedColumnFormula>
    </tableColumn>
    <tableColumn id="15" name="29" dataDxfId="1201">
      <calculatedColumnFormula>IF(TEXT(Настройки!$J2+TIME(0,Январь!AG13,0),"ч::мм")=TEXT(Настройки!$J2,"ч:мм"),"",TEXT(Настройки!$J2,"ч:мм")&amp;"-"&amp;TEXT(Настройки!$J2+TIME(0,Январь!AG13,0),"ч::мм"))</calculatedColumnFormula>
    </tableColumn>
    <tableColumn id="16" name="30" dataDxfId="1200">
      <calculatedColumnFormula>IF(TEXT(Настройки!$J2+TIME(0,Январь!AH13,0),"ч::мм")=TEXT(Настройки!$J2,"ч:мм"),"",TEXT(Настройки!$J2,"ч:мм")&amp;"-"&amp;TEXT(Настройки!$J2+TIME(0,Январь!AH13,0),"ч::мм"))</calculatedColumnFormula>
    </tableColumn>
  </tableColumns>
  <tableStyleInfo name="TableStyleLight15" showFirstColumn="0" showLastColumn="0" showRowStripes="0" showColumnStripes="1"/>
</table>
</file>

<file path=xl/tables/table15.xml><?xml version="1.0" encoding="utf-8"?>
<table xmlns="http://schemas.openxmlformats.org/spreadsheetml/2006/main" id="35" name="ЯнвГраф3" displayName="ЯнвГраф3" ref="A33:B36" totalsRowShown="0" headerRowDxfId="1199" dataDxfId="1198" tableBorderDxfId="1197">
  <autoFilter ref="A33:B36">
    <filterColumn colId="0" hiddenButton="1"/>
    <filterColumn colId="1" hiddenButton="1"/>
  </autoFilter>
  <tableColumns count="2">
    <tableColumn id="1" name="Посещение" dataDxfId="1196">
      <calculatedColumnFormula>A14</calculatedColumnFormula>
    </tableColumn>
    <tableColumn id="2" name="31" dataDxfId="1195">
      <calculatedColumnFormula>IF(TEXT(Настройки!$J2+TIME(0,Январь!AI13,0),"ч::мм")=TEXT(Настройки!$J2,"ч:мм"),"",TEXT(Настройки!$J2,"ч:мм")&amp;"-"&amp;TEXT(Настройки!$J2+TIME(0,Январь!AI13,0),"ч::мм"))</calculatedColumnFormula>
    </tableColumn>
  </tableColumns>
  <tableStyleInfo name="TableStyleLight15" showFirstColumn="0" showLastColumn="0" showRowStripes="0" showColumnStripes="1"/>
</table>
</file>

<file path=xl/tables/table16.xml><?xml version="1.0" encoding="utf-8"?>
<table xmlns="http://schemas.openxmlformats.org/spreadsheetml/2006/main" id="17" name="Февраль" displayName="Февраль" ref="A25:AI28" headerRowDxfId="1192" dataDxfId="1191" totalsRowDxfId="1190">
  <autoFilter ref="A25:AI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</autoFilter>
  <tableColumns count="35">
    <tableColumn id="1" name="Услуга" totalsRowLabel="Итог" dataDxfId="1189"/>
    <tableColumn id="2" name="Объем" dataDxfId="1188" totalsRowDxfId="1187">
      <calculatedColumnFormula>IF(Январь[[#This Row],[Объем]]&lt;&gt;"",Январь[[#This Row],[Объем]],"")</calculatedColumnFormula>
    </tableColumn>
    <tableColumn id="3" name="Периодичность" dataDxfId="1186" totalsRowDxfId="1185">
      <calculatedColumnFormula>IF(Январь[[#This Row],[Периодичность]]&lt;&gt;"",Январь[[#This Row],[Периодичность]],"")</calculatedColumnFormula>
    </tableColumn>
    <tableColumn id="4" name="№" dataDxfId="1184" totalsRowDxfId="1183"/>
    <tableColumn id="7" name="1"/>
    <tableColumn id="8" name="2"/>
    <tableColumn id="9" name="3"/>
    <tableColumn id="10" name="4" totalsRowDxfId="1182"/>
    <tableColumn id="11" name="5" totalsRowDxfId="1181"/>
    <tableColumn id="12" name="6" totalsRowDxfId="1180"/>
    <tableColumn id="13" name="7"/>
    <tableColumn id="14" name="8"/>
    <tableColumn id="15" name="9"/>
    <tableColumn id="16" name="10"/>
    <tableColumn id="17" name="11" totalsRowDxfId="1179"/>
    <tableColumn id="18" name="12" totalsRowDxfId="1178"/>
    <tableColumn id="19" name="13" totalsRowDxfId="1177"/>
    <tableColumn id="20" name="14"/>
    <tableColumn id="21" name="15"/>
    <tableColumn id="22" name="16"/>
    <tableColumn id="23" name="17"/>
    <tableColumn id="24" name="18" totalsRowDxfId="1176"/>
    <tableColumn id="25" name="19" totalsRowDxfId="1175"/>
    <tableColumn id="26" name="20" totalsRowDxfId="1174"/>
    <tableColumn id="27" name="21"/>
    <tableColumn id="28" name="22"/>
    <tableColumn id="29" name="23"/>
    <tableColumn id="30" name="24"/>
    <tableColumn id="31" name="25" totalsRowDxfId="1173"/>
    <tableColumn id="32" name="26" totalsRowDxfId="1172"/>
    <tableColumn id="33" name="27" totalsRowDxfId="1171"/>
    <tableColumn id="34" name="28"/>
    <tableColumn id="35" name="29"/>
    <tableColumn id="38" name="УСЛУГ" totalsRowFunction="sum" dataDxfId="1170" totalsRowDxfId="1169">
      <calculatedColumnFormula>IF(Февраль[[#This Row],[№]]=1,SUM(Февраль[[#This Row],[1]:[29]])+SUM(OFFSET(Февраль[[#This Row],[1]:[29]],1,0))+SUM(OFFSET(Февраль[[#This Row],[1]:[29]],2,0)),"")</calculatedColumnFormula>
    </tableColumn>
    <tableColumn id="39" name="МИНУТ" totalsRowFunction="sum" dataDxfId="1168" totalsRowDxfId="1167">
      <calculatedColumnFormula>IF(Февраль[[#This Row],[УСЛУГ]]&lt;&gt;"",Февраль[[#This Row],[УСЛУГ]]*Февраль[[#This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id="18" name="ФевральИтоги" displayName="ФевральИтоги" ref="A12:AI18" totalsRowShown="0" headerRowDxfId="1166" dataDxfId="1165" tableBorderDxfId="1164">
  <autoFilter ref="A12:AI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</autoFilter>
  <tableColumns count="35">
    <tableColumn id="1" name="периодичность" dataDxfId="1163"/>
    <tableColumn id="2" name="за неделю" dataDxfId="1162">
      <calculatedColumnFormula>SUM(H24:L24)</calculatedColumnFormula>
    </tableColumn>
    <tableColumn id="3" name="всего минут" dataDxfId="1161">
      <calculatedColumnFormula>ФевральИтоги[[#This Row],[№]]*60</calculatedColumnFormula>
    </tableColumn>
    <tableColumn id="4" name="№" dataDxfId="1160"/>
    <tableColumn id="5" name="1" dataDxfId="1159">
      <calculatedColumnFormula>SUM(E10:E20)</calculatedColumnFormula>
    </tableColumn>
    <tableColumn id="6" name="2" dataDxfId="1158"/>
    <tableColumn id="7" name="3" dataDxfId="1157"/>
    <tableColumn id="8" name="4" dataDxfId="1156"/>
    <tableColumn id="9" name="5" dataDxfId="1155"/>
    <tableColumn id="10" name="6" dataDxfId="1154"/>
    <tableColumn id="11" name="7" dataDxfId="1153"/>
    <tableColumn id="12" name="8" dataDxfId="1152"/>
    <tableColumn id="13" name="9" dataDxfId="1151"/>
    <tableColumn id="14" name="10" dataDxfId="1150"/>
    <tableColumn id="15" name="11" dataDxfId="1149"/>
    <tableColumn id="16" name="12" dataDxfId="1148"/>
    <tableColumn id="17" name="13" dataDxfId="1147"/>
    <tableColumn id="18" name="14" dataDxfId="1146"/>
    <tableColumn id="19" name="15" dataDxfId="1145"/>
    <tableColumn id="20" name="16" dataDxfId="1144"/>
    <tableColumn id="21" name="17" dataDxfId="1143"/>
    <tableColumn id="22" name="18" dataDxfId="1142"/>
    <tableColumn id="23" name="19" dataDxfId="1141"/>
    <tableColumn id="24" name="20" dataDxfId="1140"/>
    <tableColumn id="25" name="21" dataDxfId="1139"/>
    <tableColumn id="26" name="22" dataDxfId="1138"/>
    <tableColumn id="27" name="23" dataDxfId="1137"/>
    <tableColumn id="28" name="24" dataDxfId="1136"/>
    <tableColumn id="29" name="25" dataDxfId="1135"/>
    <tableColumn id="30" name="26" dataDxfId="1134"/>
    <tableColumn id="31" name="27" dataDxfId="1133"/>
    <tableColumn id="32" name="28" dataDxfId="1132"/>
    <tableColumn id="33" name="29" dataDxfId="1131"/>
    <tableColumn id="35" name="УСЛУГ" dataDxfId="1130">
      <calculatedColumnFormula>SUM(Сентябрь[УСЛУГ])</calculatedColumnFormula>
    </tableColumn>
    <tableColumn id="36" name="МИНУТ" dataDxfId="1129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id="36" name="ФевГраф1" displayName="ФевГраф1" ref="A13:P16" totalsRowShown="0" headerRowDxfId="1126" dataDxfId="1125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124">
      <calculatedColumnFormula>IF(Настройки!J2&lt;&gt;"",TEXT(Настройки!J2,"ч:мм")&amp;"-"&amp;TEXT(Настройки!J2+TIME(0,MAX(Февраль!E13:AG13),0),"ч:мм"),"")</calculatedColumnFormula>
    </tableColumn>
    <tableColumn id="2" name="1" dataDxfId="1123">
      <calculatedColumnFormula>IF(TEXT(Настройки!$J2+TIME(0,Февраль!E13,0),"ч::мм")=TEXT(Настройки!$J2,"ч:мм"),"",TEXT(Настройки!$J2,"ч:мм")&amp;"-"&amp;TEXT(Настройки!$J2+TIME(0,Февраль!E13,0),"ч::мм"))</calculatedColumnFormula>
    </tableColumn>
    <tableColumn id="3" name="2" dataDxfId="1122">
      <calculatedColumnFormula>IF(TEXT(Настройки!$J2+TIME(0,Февраль!F13,0),"ч::мм")=TEXT(Настройки!$J2,"ч:мм"),"",TEXT(Настройки!$J2,"ч:мм")&amp;"-"&amp;TEXT(Настройки!$J2+TIME(0,Февраль!F13,0),"ч::мм"))</calculatedColumnFormula>
    </tableColumn>
    <tableColumn id="4" name="3" dataDxfId="1121">
      <calculatedColumnFormula>IF(TEXT(Настройки!$J2+TIME(0,Февраль!G13,0),"ч::мм")=TEXT(Настройки!$J2,"ч:мм"),"",TEXT(Настройки!$J2,"ч:мм")&amp;"-"&amp;TEXT(Настройки!$J2+TIME(0,Февраль!G13,0),"ч::мм"))</calculatedColumnFormula>
    </tableColumn>
    <tableColumn id="5" name="4" dataDxfId="1120">
      <calculatedColumnFormula>IF(TEXT(Настройки!$J2+TIME(0,Февраль!H13,0),"ч::мм")=TEXT(Настройки!$J2,"ч:мм"),"",TEXT(Настройки!$J2,"ч:мм")&amp;"-"&amp;TEXT(Настройки!$J2+TIME(0,Февраль!H13,0),"ч::мм"))</calculatedColumnFormula>
    </tableColumn>
    <tableColumn id="6" name="5" dataDxfId="1119">
      <calculatedColumnFormula>IF(TEXT(Настройки!$J2+TIME(0,Февраль!I13,0),"ч::мм")=TEXT(Настройки!$J2,"ч:мм"),"",TEXT(Настройки!$J2,"ч:мм")&amp;"-"&amp;TEXT(Настройки!$J2+TIME(0,Февраль!I13,0),"ч::мм"))</calculatedColumnFormula>
    </tableColumn>
    <tableColumn id="7" name="6" dataDxfId="1118">
      <calculatedColumnFormula>IF(TEXT(Настройки!$J2+TIME(0,Февраль!J13,0),"ч::мм")=TEXT(Настройки!$J2,"ч:мм"),"",TEXT(Настройки!$J2,"ч:мм")&amp;"-"&amp;TEXT(Настройки!$J2+TIME(0,Февраль!J13,0),"ч::мм"))</calculatedColumnFormula>
    </tableColumn>
    <tableColumn id="8" name="7" dataDxfId="1117">
      <calculatedColumnFormula>IF(TEXT(Настройки!$J2+TIME(0,Февраль!K13,0),"ч::мм")=TEXT(Настройки!$J2,"ч:мм"),"",TEXT(Настройки!$J2,"ч:мм")&amp;"-"&amp;TEXT(Настройки!$J2+TIME(0,Февраль!K13,0),"ч::мм"))</calculatedColumnFormula>
    </tableColumn>
    <tableColumn id="9" name="8" dataDxfId="1116">
      <calculatedColumnFormula>IF(TEXT(Настройки!$J2+TIME(0,Февраль!L13,0),"ч::мм")=TEXT(Настройки!$J2,"ч:мм"),"",TEXT(Настройки!$J2,"ч:мм")&amp;"-"&amp;TEXT(Настройки!$J2+TIME(0,Февраль!L13,0),"ч::мм"))</calculatedColumnFormula>
    </tableColumn>
    <tableColumn id="10" name="9" dataDxfId="1115">
      <calculatedColumnFormula>IF(TEXT(Настройки!$J2+TIME(0,Февраль!M13,0),"ч::мм")=TEXT(Настройки!$J2,"ч:мм"),"",TEXT(Настройки!$J2,"ч:мм")&amp;"-"&amp;TEXT(Настройки!$J2+TIME(0,Февраль!M13,0),"ч::мм"))</calculatedColumnFormula>
    </tableColumn>
    <tableColumn id="11" name="10" dataDxfId="1114">
      <calculatedColumnFormula>IF(TEXT(Настройки!$J2+TIME(0,Февраль!N13,0),"ч::мм")=TEXT(Настройки!$J2,"ч:мм"),"",TEXT(Настройки!$J2,"ч:мм")&amp;"-"&amp;TEXT(Настройки!$J2+TIME(0,Февраль!N13,0),"ч::мм"))</calculatedColumnFormula>
    </tableColumn>
    <tableColumn id="12" name="11" dataDxfId="1113">
      <calculatedColumnFormula>IF(TEXT(Настройки!$J2+TIME(0,Февраль!O13,0),"ч::мм")=TEXT(Настройки!$J2,"ч:мм"),"",TEXT(Настройки!$J2,"ч:мм")&amp;"-"&amp;TEXT(Настройки!$J2+TIME(0,Февраль!O13,0),"ч::мм"))</calculatedColumnFormula>
    </tableColumn>
    <tableColumn id="13" name="12" dataDxfId="1112">
      <calculatedColumnFormula>IF(TEXT(Настройки!$J2+TIME(0,Февраль!P13,0),"ч::мм")=TEXT(Настройки!$J2,"ч:мм"),"",TEXT(Настройки!$J2,"ч:мм")&amp;"-"&amp;TEXT(Настройки!$J2+TIME(0,Февраль!P13,0),"ч::мм"))</calculatedColumnFormula>
    </tableColumn>
    <tableColumn id="14" name="13" dataDxfId="1111">
      <calculatedColumnFormula>IF(TEXT(Настройки!$J2+TIME(0,Февраль!Q13,0),"ч::мм")=TEXT(Настройки!$J2,"ч:мм"),"",TEXT(Настройки!$J2,"ч:мм")&amp;"-"&amp;TEXT(Настройки!$J2+TIME(0,Февраль!Q13,0),"ч::мм"))</calculatedColumnFormula>
    </tableColumn>
    <tableColumn id="15" name="14" dataDxfId="1110">
      <calculatedColumnFormula>IF(TEXT(Настройки!$J2+TIME(0,Февраль!R13,0),"ч::мм")=TEXT(Настройки!$J2,"ч:мм"),"",TEXT(Настройки!$J2,"ч:мм")&amp;"-"&amp;TEXT(Настройки!$J2+TIME(0,Февраль!R13,0),"ч::мм"))</calculatedColumnFormula>
    </tableColumn>
    <tableColumn id="16" name="15" dataDxfId="1109">
      <calculatedColumnFormula>IF(TEXT(Настройки!$J2+TIME(0,Февраль!S13,0),"ч::мм")=TEXT(Настройки!$J2,"ч:мм"),"",TEXT(Настройки!$J2,"ч:мм")&amp;"-"&amp;TEXT(Настройки!$J2+TIME(0,Февраль!S13,0),"ч::мм"))</calculatedColumnFormula>
    </tableColumn>
  </tableColumns>
  <tableStyleInfo name="TableStyleLight15" showFirstColumn="0" showLastColumn="0" showRowStripes="0" showColumnStripes="1"/>
</table>
</file>

<file path=xl/tables/table19.xml><?xml version="1.0" encoding="utf-8"?>
<table xmlns="http://schemas.openxmlformats.org/spreadsheetml/2006/main" id="37" name="ФевГраф2" displayName="ФевГраф2" ref="A23:O26" totalsRowShown="0" headerRowDxfId="1108" dataDxfId="1107">
  <autoFilter ref="A23:O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Посещение" dataDxfId="1106">
      <calculatedColumnFormula>A14</calculatedColumnFormula>
    </tableColumn>
    <tableColumn id="2" name="16" dataDxfId="1105">
      <calculatedColumnFormula>IF(TEXT(Настройки!$J2+TIME(0,Февраль!T13,0),"ч::мм")=TEXT(Настройки!$J2,"ч:мм"),"",TEXT(Настройки!$J2,"ч:мм")&amp;"-"&amp;TEXT(Настройки!$J2+TIME(0,Февраль!T13,0),"ч::мм"))</calculatedColumnFormula>
    </tableColumn>
    <tableColumn id="3" name="17" dataDxfId="1104">
      <calculatedColumnFormula>IF(TEXT(Настройки!$J2+TIME(0,Февраль!U13,0),"ч::мм")=TEXT(Настройки!$J2,"ч:мм"),"",TEXT(Настройки!$J2,"ч:мм")&amp;"-"&amp;TEXT(Настройки!$J2+TIME(0,Февраль!U13,0),"ч::мм"))</calculatedColumnFormula>
    </tableColumn>
    <tableColumn id="4" name="18" dataDxfId="1103">
      <calculatedColumnFormula>IF(TEXT(Настройки!$J2+TIME(0,Февраль!V13,0),"ч::мм")=TEXT(Настройки!$J2,"ч:мм"),"",TEXT(Настройки!$J2,"ч:мм")&amp;"-"&amp;TEXT(Настройки!$J2+TIME(0,Февраль!V13,0),"ч::мм"))</calculatedColumnFormula>
    </tableColumn>
    <tableColumn id="5" name="19" dataDxfId="1102">
      <calculatedColumnFormula>IF(TEXT(Настройки!$J2+TIME(0,Февраль!W13,0),"ч::мм")=TEXT(Настройки!$J2,"ч:мм"),"",TEXT(Настройки!$J2,"ч:мм")&amp;"-"&amp;TEXT(Настройки!$J2+TIME(0,Февраль!W13,0),"ч::мм"))</calculatedColumnFormula>
    </tableColumn>
    <tableColumn id="6" name="20" dataDxfId="1101">
      <calculatedColumnFormula>IF(TEXT(Настройки!$J2+TIME(0,Февраль!X13,0),"ч::мм")=TEXT(Настройки!$J2,"ч:мм"),"",TEXT(Настройки!$J2,"ч:мм")&amp;"-"&amp;TEXT(Настройки!$J2+TIME(0,Февраль!X13,0),"ч::мм"))</calculatedColumnFormula>
    </tableColumn>
    <tableColumn id="7" name="21" dataDxfId="1100">
      <calculatedColumnFormula>IF(TEXT(Настройки!$J2+TIME(0,Февраль!Y13,0),"ч::мм")=TEXT(Настройки!$J2,"ч:мм"),"",TEXT(Настройки!$J2,"ч:мм")&amp;"-"&amp;TEXT(Настройки!$J2+TIME(0,Февраль!Y13,0),"ч::мм"))</calculatedColumnFormula>
    </tableColumn>
    <tableColumn id="8" name="22" dataDxfId="1099">
      <calculatedColumnFormula>IF(TEXT(Настройки!$J2+TIME(0,Февраль!Z13,0),"ч::мм")=TEXT(Настройки!$J2,"ч:мм"),"",TEXT(Настройки!$J2,"ч:мм")&amp;"-"&amp;TEXT(Настройки!$J2+TIME(0,Февраль!Z13,0),"ч::мм"))</calculatedColumnFormula>
    </tableColumn>
    <tableColumn id="9" name="23" dataDxfId="1098">
      <calculatedColumnFormula>IF(TEXT(Настройки!$J2+TIME(0,Февраль!AA13,0),"ч::мм")=TEXT(Настройки!$J2,"ч:мм"),"",TEXT(Настройки!$J2,"ч:мм")&amp;"-"&amp;TEXT(Настройки!$J2+TIME(0,Февраль!AA13,0),"ч::мм"))</calculatedColumnFormula>
    </tableColumn>
    <tableColumn id="10" name="24" dataDxfId="1097">
      <calculatedColumnFormula>IF(TEXT(Настройки!$J2+TIME(0,Февраль!AB13,0),"ч::мм")=TEXT(Настройки!$J2,"ч:мм"),"",TEXT(Настройки!$J2,"ч:мм")&amp;"-"&amp;TEXT(Настройки!$J2+TIME(0,Февраль!AB13,0),"ч::мм"))</calculatedColumnFormula>
    </tableColumn>
    <tableColumn id="11" name="25" dataDxfId="1096">
      <calculatedColumnFormula>IF(TEXT(Настройки!$J2+TIME(0,Февраль!AC13,0),"ч::мм")=TEXT(Настройки!$J2,"ч:мм"),"",TEXT(Настройки!$J2,"ч:мм")&amp;"-"&amp;TEXT(Настройки!$J2+TIME(0,Февраль!AC13,0),"ч::мм"))</calculatedColumnFormula>
    </tableColumn>
    <tableColumn id="12" name="26" dataDxfId="1095">
      <calculatedColumnFormula>IF(TEXT(Настройки!$J2+TIME(0,Февраль!AD13,0),"ч::мм")=TEXT(Настройки!$J2,"ч:мм"),"",TEXT(Настройки!$J2,"ч:мм")&amp;"-"&amp;TEXT(Настройки!$J2+TIME(0,Февраль!AD13,0),"ч::мм"))</calculatedColumnFormula>
    </tableColumn>
    <tableColumn id="13" name="27" dataDxfId="1094">
      <calculatedColumnFormula>IF(TEXT(Настройки!$J2+TIME(0,Февраль!AE13,0),"ч::мм")=TEXT(Настройки!$J2,"ч:мм"),"",TEXT(Настройки!$J2,"ч:мм")&amp;"-"&amp;TEXT(Настройки!$J2+TIME(0,Февраль!AE13,0),"ч::мм"))</calculatedColumnFormula>
    </tableColumn>
    <tableColumn id="14" name="28" dataDxfId="1093">
      <calculatedColumnFormula>IF(TEXT(Настройки!$J2+TIME(0,Февраль!AF13,0),"ч::мм")=TEXT(Настройки!$J2,"ч:мм"),"",TEXT(Настройки!$J2,"ч:мм")&amp;"-"&amp;TEXT(Настройки!$J2+TIME(0,Февраль!AF13,0),"ч::мм"))</calculatedColumnFormula>
    </tableColumn>
    <tableColumn id="15" name="29" dataDxfId="1092">
      <calculatedColumnFormula>IF(TEXT(Настройки!$J2+TIME(0,Февраль!AG13,0),"ч::мм")=TEXT(Настройки!$J2,"ч:мм"),"",TEXT(Настройки!$J2,"ч:мм")&amp;"-"&amp;TEXT(Настройки!$J2+TIME(0,Февраль!AG13,0),"ч::мм"))</calculatedColumnFormula>
    </tableColumn>
  </tableColumns>
  <tableStyleInfo name="TableStyleLight15" showFirstColumn="0" showLastColumn="0" showRowStripes="0" showColumnStripes="1"/>
</table>
</file>

<file path=xl/tables/table20.xml><?xml version="1.0" encoding="utf-8"?>
<table xmlns="http://schemas.openxmlformats.org/spreadsheetml/2006/main" id="15" name="Март" displayName="Март" ref="A25:AK28" headerRowDxfId="1089" dataDxfId="1088" totalsRowDxfId="1087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1086"/>
    <tableColumn id="2" name="Объем" dataDxfId="1085" totalsRowDxfId="1084">
      <calculatedColumnFormula>IF(Январь[[#This Row],[Объем]]&lt;&gt;"",Январь[[#This Row],[Объем]],"")</calculatedColumnFormula>
    </tableColumn>
    <tableColumn id="3" name="Периодичность" dataDxfId="1083" totalsRowDxfId="1082">
      <calculatedColumnFormula>IF(Январь[[#This Row],[Периодичность]]&lt;&gt;"",Январь[[#This Row],[Периодичность]],"")</calculatedColumnFormula>
    </tableColumn>
    <tableColumn id="4" name="№" dataDxfId="1081" totalsRowDxfId="1080"/>
    <tableColumn id="7" name="1"/>
    <tableColumn id="8" name="2"/>
    <tableColumn id="9" name="3"/>
    <tableColumn id="10" name="4" totalsRowDxfId="1079"/>
    <tableColumn id="11" name="5" totalsRowDxfId="1078"/>
    <tableColumn id="12" name="6" totalsRowDxfId="1077"/>
    <tableColumn id="13" name="7"/>
    <tableColumn id="14" name="8"/>
    <tableColumn id="15" name="9"/>
    <tableColumn id="16" name="10"/>
    <tableColumn id="17" name="11" totalsRowDxfId="1076"/>
    <tableColumn id="18" name="12" totalsRowDxfId="1075"/>
    <tableColumn id="19" name="13" totalsRowDxfId="1074"/>
    <tableColumn id="20" name="14"/>
    <tableColumn id="21" name="15"/>
    <tableColumn id="22" name="16"/>
    <tableColumn id="23" name="17"/>
    <tableColumn id="24" name="18" totalsRowDxfId="1073"/>
    <tableColumn id="25" name="19" totalsRowDxfId="1072"/>
    <tableColumn id="26" name="20" totalsRowDxfId="1071"/>
    <tableColumn id="27" name="21"/>
    <tableColumn id="28" name="22"/>
    <tableColumn id="29" name="23"/>
    <tableColumn id="30" name="24"/>
    <tableColumn id="31" name="25" totalsRowDxfId="1070"/>
    <tableColumn id="32" name="26" totalsRowDxfId="1069"/>
    <tableColumn id="33" name="27" totalsRowDxfId="1068"/>
    <tableColumn id="34" name="28"/>
    <tableColumn id="35" name="29"/>
    <tableColumn id="36" name="30"/>
    <tableColumn id="5" name="31"/>
    <tableColumn id="38" name="УСЛУГ" totalsRowFunction="sum" dataDxfId="1067" totalsRowDxfId="1066">
      <calculatedColumnFormula>IF(Март[[#This Row],[№]]=1,SUM(Март[[#This Row],[1]:[31]])+SUM(OFFSET(Март[[#This Row],[1]:[31]],1,0))+SUM(OFFSET(Март[[#This Row],[1]:[31]],2,0)),"")</calculatedColumnFormula>
    </tableColumn>
    <tableColumn id="39" name="МИНУТ" totalsRowFunction="sum" dataDxfId="1065" totalsRowDxfId="1064">
      <calculatedColumnFormula>IF(Март[[#This Row],[УСЛУГ]]&lt;&gt;"",Март[[#This Row],[УСЛУГ]]*Март[[#This Row],[Периодичность]],"")</calculatedColumnFormula>
    </tableColumn>
  </tableColumns>
  <tableStyleInfo name="TableStyleLight15" showFirstColumn="0" showLastColumn="0" showRowStripes="1" showColumnStripes="0"/>
</table>
</file>

<file path=xl/tables/table21.xml><?xml version="1.0" encoding="utf-8"?>
<table xmlns="http://schemas.openxmlformats.org/spreadsheetml/2006/main" id="16" name="МартИтоги" displayName="МартИтоги" ref="A12:AK18" totalsRowShown="0" headerRowDxfId="1063" dataDxfId="1062" tableBorderDxfId="1061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1060"/>
    <tableColumn id="2" name="за неделю" dataDxfId="1059">
      <calculatedColumnFormula>SUMPRODUCT((#REF!=1)*E16:AI16)</calculatedColumnFormula>
    </tableColumn>
    <tableColumn id="3" name="всего минут" dataDxfId="1058">
      <calculatedColumnFormula>МартИтоги[[#This Row],[№]]*60</calculatedColumnFormula>
    </tableColumn>
    <tableColumn id="4" name="№" dataDxfId="1057"/>
    <tableColumn id="5" name="1" dataDxfId="1056">
      <calculatedColumnFormula>SUM(E10:E15)</calculatedColumnFormula>
    </tableColumn>
    <tableColumn id="6" name="2" dataDxfId="1055"/>
    <tableColumn id="7" name="3" dataDxfId="1054"/>
    <tableColumn id="8" name="4" dataDxfId="1053"/>
    <tableColumn id="9" name="5" dataDxfId="1052"/>
    <tableColumn id="10" name="6" dataDxfId="1051"/>
    <tableColumn id="11" name="7" dataDxfId="1050"/>
    <tableColumn id="12" name="8" dataDxfId="1049"/>
    <tableColumn id="13" name="9" dataDxfId="1048"/>
    <tableColumn id="14" name="10" dataDxfId="1047"/>
    <tableColumn id="15" name="11" dataDxfId="1046"/>
    <tableColumn id="16" name="12" dataDxfId="1045"/>
    <tableColumn id="17" name="13" dataDxfId="1044"/>
    <tableColumn id="18" name="14" dataDxfId="1043"/>
    <tableColumn id="19" name="15" dataDxfId="1042"/>
    <tableColumn id="20" name="16" dataDxfId="1041"/>
    <tableColumn id="21" name="17" dataDxfId="1040"/>
    <tableColumn id="22" name="18" dataDxfId="1039"/>
    <tableColumn id="23" name="19" dataDxfId="1038"/>
    <tableColumn id="24" name="20" dataDxfId="1037"/>
    <tableColumn id="25" name="21" dataDxfId="1036"/>
    <tableColumn id="26" name="22" dataDxfId="1035"/>
    <tableColumn id="27" name="23" dataDxfId="1034"/>
    <tableColumn id="28" name="24" dataDxfId="1033"/>
    <tableColumn id="29" name="25" dataDxfId="1032"/>
    <tableColumn id="30" name="26" dataDxfId="1031"/>
    <tableColumn id="31" name="27" dataDxfId="1030"/>
    <tableColumn id="32" name="28" dataDxfId="1029"/>
    <tableColumn id="33" name="29" dataDxfId="1028"/>
    <tableColumn id="34" name="30" dataDxfId="1027"/>
    <tableColumn id="37" name="31" dataDxfId="1026">
      <calculatedColumnFormula>SUMPRODUCT((Август[№]=1)*Август[31],Август[Периодичность])</calculatedColumnFormula>
    </tableColumn>
    <tableColumn id="35" name="УСЛУГ" dataDxfId="1025">
      <calculatedColumnFormula>SUM(Сентябрь[УСЛУГ])</calculatedColumnFormula>
    </tableColumn>
    <tableColumn id="36" name="МИНУТ" dataDxfId="1024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22.xml><?xml version="1.0" encoding="utf-8"?>
<table xmlns="http://schemas.openxmlformats.org/spreadsheetml/2006/main" id="38" name="МартГраф1" displayName="МартГраф1" ref="A13:P16" totalsRowShown="0" headerRowDxfId="1020" dataDxfId="1019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018">
      <calculatedColumnFormula>IF(Настройки!J2&lt;&gt;"",TEXT(Настройки!J2,"ч:мм")&amp;"-"&amp;TEXT(Настройки!J2+TIME(0,MAX(Март!E13:AI13),0),"ч:мм"),"")</calculatedColumnFormula>
    </tableColumn>
    <tableColumn id="2" name="1" dataDxfId="1017">
      <calculatedColumnFormula>IF(TEXT(Настройки!$J2+TIME(0,Март!E13,0),"ч::мм")=TEXT(Настройки!$J2,"ч:мм"),"",TEXT(Настройки!$J2,"ч:мм")&amp;"-"&amp;TEXT(Настройки!$J2+TIME(0,Март!E13,0),"ч::мм"))</calculatedColumnFormula>
    </tableColumn>
    <tableColumn id="3" name="2" dataDxfId="1016">
      <calculatedColumnFormula>IF(TEXT(Настройки!$J2+TIME(0,Март!F13,0),"ч::мм")=TEXT(Настройки!$J2,"ч:мм"),"",TEXT(Настройки!$J2,"ч:мм")&amp;"-"&amp;TEXT(Настройки!$J2+TIME(0,Март!F13,0),"ч::мм"))</calculatedColumnFormula>
    </tableColumn>
    <tableColumn id="4" name="3" dataDxfId="1015">
      <calculatedColumnFormula>IF(TEXT(Настройки!$J2+TIME(0,Март!G13,0),"ч::мм")=TEXT(Настройки!$J2,"ч:мм"),"",TEXT(Настройки!$J2,"ч:мм")&amp;"-"&amp;TEXT(Настройки!$J2+TIME(0,Март!G13,0),"ч::мм"))</calculatedColumnFormula>
    </tableColumn>
    <tableColumn id="5" name="4" dataDxfId="1014">
      <calculatedColumnFormula>IF(TEXT(Настройки!$J2+TIME(0,Март!H13,0),"ч::мм")=TEXT(Настройки!$J2,"ч:мм"),"",TEXT(Настройки!$J2,"ч:мм")&amp;"-"&amp;TEXT(Настройки!$J2+TIME(0,Март!H13,0),"ч::мм"))</calculatedColumnFormula>
    </tableColumn>
    <tableColumn id="6" name="5" dataDxfId="1013">
      <calculatedColumnFormula>IF(TEXT(Настройки!$J2+TIME(0,Март!I13,0),"ч::мм")=TEXT(Настройки!$J2,"ч:мм"),"",TEXT(Настройки!$J2,"ч:мм")&amp;"-"&amp;TEXT(Настройки!$J2+TIME(0,Март!I13,0),"ч::мм"))</calculatedColumnFormula>
    </tableColumn>
    <tableColumn id="7" name="6" dataDxfId="1012">
      <calculatedColumnFormula>IF(TEXT(Настройки!$J2+TIME(0,Март!J13,0),"ч::мм")=TEXT(Настройки!$J2,"ч:мм"),"",TEXT(Настройки!$J2,"ч:мм")&amp;"-"&amp;TEXT(Настройки!$J2+TIME(0,Март!J13,0),"ч::мм"))</calculatedColumnFormula>
    </tableColumn>
    <tableColumn id="8" name="7" dataDxfId="1011">
      <calculatedColumnFormula>IF(TEXT(Настройки!$J2+TIME(0,Март!K13,0),"ч::мм")=TEXT(Настройки!$J2,"ч:мм"),"",TEXT(Настройки!$J2,"ч:мм")&amp;"-"&amp;TEXT(Настройки!$J2+TIME(0,Март!K13,0),"ч::мм"))</calculatedColumnFormula>
    </tableColumn>
    <tableColumn id="9" name="8" dataDxfId="1010">
      <calculatedColumnFormula>IF(TEXT(Настройки!$J2+TIME(0,Март!L13,0),"ч::мм")=TEXT(Настройки!$J2,"ч:мм"),"",TEXT(Настройки!$J2,"ч:мм")&amp;"-"&amp;TEXT(Настройки!$J2+TIME(0,Март!L13,0),"ч::мм"))</calculatedColumnFormula>
    </tableColumn>
    <tableColumn id="10" name="9" dataDxfId="1009">
      <calculatedColumnFormula>IF(TEXT(Настройки!$J2+TIME(0,Март!M13,0),"ч::мм")=TEXT(Настройки!$J2,"ч:мм"),"",TEXT(Настройки!$J2,"ч:мм")&amp;"-"&amp;TEXT(Настройки!$J2+TIME(0,Март!M13,0),"ч::мм"))</calculatedColumnFormula>
    </tableColumn>
    <tableColumn id="11" name="10" dataDxfId="1008">
      <calculatedColumnFormula>IF(TEXT(Настройки!$J2+TIME(0,Март!N13,0),"ч::мм")=TEXT(Настройки!$J2,"ч:мм"),"",TEXT(Настройки!$J2,"ч:мм")&amp;"-"&amp;TEXT(Настройки!$J2+TIME(0,Март!N13,0),"ч::мм"))</calculatedColumnFormula>
    </tableColumn>
    <tableColumn id="12" name="11" dataDxfId="1007">
      <calculatedColumnFormula>IF(TEXT(Настройки!$J2+TIME(0,Март!O13,0),"ч::мм")=TEXT(Настройки!$J2,"ч:мм"),"",TEXT(Настройки!$J2,"ч:мм")&amp;"-"&amp;TEXT(Настройки!$J2+TIME(0,Март!O13,0),"ч::мм"))</calculatedColumnFormula>
    </tableColumn>
    <tableColumn id="13" name="12" dataDxfId="1006">
      <calculatedColumnFormula>IF(TEXT(Настройки!$J2+TIME(0,Март!P13,0),"ч::мм")=TEXT(Настройки!$J2,"ч:мм"),"",TEXT(Настройки!$J2,"ч:мм")&amp;"-"&amp;TEXT(Настройки!$J2+TIME(0,Март!P13,0),"ч::мм"))</calculatedColumnFormula>
    </tableColumn>
    <tableColumn id="14" name="13" dataDxfId="1005">
      <calculatedColumnFormula>IF(TEXT(Настройки!$J2+TIME(0,Март!Q13,0),"ч::мм")=TEXT(Настройки!$J2,"ч:мм"),"",TEXT(Настройки!$J2,"ч:мм")&amp;"-"&amp;TEXT(Настройки!$J2+TIME(0,Март!Q13,0),"ч::мм"))</calculatedColumnFormula>
    </tableColumn>
    <tableColumn id="15" name="14" dataDxfId="1004">
      <calculatedColumnFormula>IF(TEXT(Настройки!$J2+TIME(0,Март!R13,0),"ч::мм")=TEXT(Настройки!$J2,"ч:мм"),"",TEXT(Настройки!$J2,"ч:мм")&amp;"-"&amp;TEXT(Настройки!$J2+TIME(0,Март!R13,0),"ч::мм"))</calculatedColumnFormula>
    </tableColumn>
    <tableColumn id="16" name="15" dataDxfId="1003">
      <calculatedColumnFormula>IF(TEXT(Настройки!$J2+TIME(0,Март!S13,0),"ч::мм")=TEXT(Настройки!$J2,"ч:мм"),"",TEXT(Настройки!$J2,"ч:мм")&amp;"-"&amp;TEXT(Настройки!$J2+TIME(0,Март!S13,0),"ч::мм"))</calculatedColumnFormula>
    </tableColumn>
  </tableColumns>
  <tableStyleInfo name="TableStyleLight15" showFirstColumn="0" showLastColumn="0" showRowStripes="0" showColumnStripes="1"/>
</table>
</file>

<file path=xl/tables/table23.xml><?xml version="1.0" encoding="utf-8"?>
<table xmlns="http://schemas.openxmlformats.org/spreadsheetml/2006/main" id="39" name="МартГраф2" displayName="МартГраф2" ref="A23:P26" totalsRowShown="0" headerRowDxfId="1002" dataDxfId="1001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000">
      <calculatedColumnFormula>A14</calculatedColumnFormula>
    </tableColumn>
    <tableColumn id="2" name="16" dataDxfId="999">
      <calculatedColumnFormula>IF(TEXT(Настройки!$J2+TIME(0,Март!T13,0),"ч::мм")=TEXT(Настройки!$J2,"ч:мм"),"",TEXT(Настройки!$J2,"ч:мм")&amp;"-"&amp;TEXT(Настройки!$J2+TIME(0,Март!T13,0),"ч::мм"))</calculatedColumnFormula>
    </tableColumn>
    <tableColumn id="3" name="17" dataDxfId="998">
      <calculatedColumnFormula>IF(TEXT(Настройки!$J2+TIME(0,Март!U13,0),"ч::мм")=TEXT(Настройки!$J2,"ч:мм"),"",TEXT(Настройки!$J2,"ч:мм")&amp;"-"&amp;TEXT(Настройки!$J2+TIME(0,Март!U13,0),"ч::мм"))</calculatedColumnFormula>
    </tableColumn>
    <tableColumn id="4" name="18" dataDxfId="997">
      <calculatedColumnFormula>IF(TEXT(Настройки!$J2+TIME(0,Март!V13,0),"ч::мм")=TEXT(Настройки!$J2,"ч:мм"),"",TEXT(Настройки!$J2,"ч:мм")&amp;"-"&amp;TEXT(Настройки!$J2+TIME(0,Март!V13,0),"ч::мм"))</calculatedColumnFormula>
    </tableColumn>
    <tableColumn id="5" name="19" dataDxfId="996">
      <calculatedColumnFormula>IF(TEXT(Настройки!$J2+TIME(0,Март!W13,0),"ч::мм")=TEXT(Настройки!$J2,"ч:мм"),"",TEXT(Настройки!$J2,"ч:мм")&amp;"-"&amp;TEXT(Настройки!$J2+TIME(0,Март!W13,0),"ч::мм"))</calculatedColumnFormula>
    </tableColumn>
    <tableColumn id="6" name="20" dataDxfId="995">
      <calculatedColumnFormula>IF(TEXT(Настройки!$J2+TIME(0,Март!X13,0),"ч::мм")=TEXT(Настройки!$J2,"ч:мм"),"",TEXT(Настройки!$J2,"ч:мм")&amp;"-"&amp;TEXT(Настройки!$J2+TIME(0,Март!X13,0),"ч::мм"))</calculatedColumnFormula>
    </tableColumn>
    <tableColumn id="7" name="21" dataDxfId="994">
      <calculatedColumnFormula>IF(TEXT(Настройки!$J2+TIME(0,Март!Y13,0),"ч::мм")=TEXT(Настройки!$J2,"ч:мм"),"",TEXT(Настройки!$J2,"ч:мм")&amp;"-"&amp;TEXT(Настройки!$J2+TIME(0,Март!Y13,0),"ч::мм"))</calculatedColumnFormula>
    </tableColumn>
    <tableColumn id="8" name="22" dataDxfId="993">
      <calculatedColumnFormula>IF(TEXT(Настройки!$J2+TIME(0,Март!Z13,0),"ч::мм")=TEXT(Настройки!$J2,"ч:мм"),"",TEXT(Настройки!$J2,"ч:мм")&amp;"-"&amp;TEXT(Настройки!$J2+TIME(0,Март!Z13,0),"ч::мм"))</calculatedColumnFormula>
    </tableColumn>
    <tableColumn id="9" name="23" dataDxfId="992">
      <calculatedColumnFormula>IF(TEXT(Настройки!$J2+TIME(0,Март!AA13,0),"ч::мм")=TEXT(Настройки!$J2,"ч:мм"),"",TEXT(Настройки!$J2,"ч:мм")&amp;"-"&amp;TEXT(Настройки!$J2+TIME(0,Март!AA13,0),"ч::мм"))</calculatedColumnFormula>
    </tableColumn>
    <tableColumn id="10" name="24" dataDxfId="991">
      <calculatedColumnFormula>IF(TEXT(Настройки!$J2+TIME(0,Март!AB13,0),"ч::мм")=TEXT(Настройки!$J2,"ч:мм"),"",TEXT(Настройки!$J2,"ч:мм")&amp;"-"&amp;TEXT(Настройки!$J2+TIME(0,Март!AB13,0),"ч::мм"))</calculatedColumnFormula>
    </tableColumn>
    <tableColumn id="11" name="25" dataDxfId="990">
      <calculatedColumnFormula>IF(TEXT(Настройки!$J2+TIME(0,Март!AC13,0),"ч::мм")=TEXT(Настройки!$J2,"ч:мм"),"",TEXT(Настройки!$J2,"ч:мм")&amp;"-"&amp;TEXT(Настройки!$J2+TIME(0,Март!AC13,0),"ч::мм"))</calculatedColumnFormula>
    </tableColumn>
    <tableColumn id="12" name="26" dataDxfId="989">
      <calculatedColumnFormula>IF(TEXT(Настройки!$J2+TIME(0,Март!AD13,0),"ч::мм")=TEXT(Настройки!$J2,"ч:мм"),"",TEXT(Настройки!$J2,"ч:мм")&amp;"-"&amp;TEXT(Настройки!$J2+TIME(0,Март!AD13,0),"ч::мм"))</calculatedColumnFormula>
    </tableColumn>
    <tableColumn id="13" name="27" dataDxfId="988">
      <calculatedColumnFormula>IF(TEXT(Настройки!$J2+TIME(0,Март!AE13,0),"ч::мм")=TEXT(Настройки!$J2,"ч:мм"),"",TEXT(Настройки!$J2,"ч:мм")&amp;"-"&amp;TEXT(Настройки!$J2+TIME(0,Март!AE13,0),"ч::мм"))</calculatedColumnFormula>
    </tableColumn>
    <tableColumn id="14" name="28" dataDxfId="987">
      <calculatedColumnFormula>IF(TEXT(Настройки!$J2+TIME(0,Март!AF13,0),"ч::мм")=TEXT(Настройки!$J2,"ч:мм"),"",TEXT(Настройки!$J2,"ч:мм")&amp;"-"&amp;TEXT(Настройки!$J2+TIME(0,Март!AF13,0),"ч::мм"))</calculatedColumnFormula>
    </tableColumn>
    <tableColumn id="15" name="29" dataDxfId="986">
      <calculatedColumnFormula>IF(TEXT(Настройки!$J2+TIME(0,Март!AG13,0),"ч::мм")=TEXT(Настройки!$J2,"ч:мм"),"",TEXT(Настройки!$J2,"ч:мм")&amp;"-"&amp;TEXT(Настройки!$J2+TIME(0,Март!AG13,0),"ч::мм"))</calculatedColumnFormula>
    </tableColumn>
    <tableColumn id="16" name="30" dataDxfId="985">
      <calculatedColumnFormula>IF(TEXT(Настройки!$J2+TIME(0,Март!AH13,0),"ч::мм")=TEXT(Настройки!$J2,"ч:мм"),"",TEXT(Настройки!$J2,"ч:мм")&amp;"-"&amp;TEXT(Настройки!$J2+TIME(0,Март!AH13,0),"ч::мм"))</calculatedColumnFormula>
    </tableColumn>
  </tableColumns>
  <tableStyleInfo name="TableStyleLight15" showFirstColumn="0" showLastColumn="0" showRowStripes="0" showColumnStripes="1"/>
</table>
</file>

<file path=xl/tables/table24.xml><?xml version="1.0" encoding="utf-8"?>
<table xmlns="http://schemas.openxmlformats.org/spreadsheetml/2006/main" id="40" name="МартГраф3" displayName="МартГраф3" ref="A33:B36" totalsRowShown="0" headerRowDxfId="984" dataDxfId="983" tableBorderDxfId="982">
  <autoFilter ref="A33:B36">
    <filterColumn colId="0" hiddenButton="1"/>
    <filterColumn colId="1" hiddenButton="1"/>
  </autoFilter>
  <tableColumns count="2">
    <tableColumn id="1" name="Посещение" dataDxfId="981">
      <calculatedColumnFormula>A14</calculatedColumnFormula>
    </tableColumn>
    <tableColumn id="2" name="31" dataDxfId="980">
      <calculatedColumnFormula>IF(TEXT(Настройки!$J2+TIME(0,Март!AI13,0),"ч::мм")=TEXT(Настройки!$J2,"ч:мм"),"",TEXT(Настройки!$J2,"ч:мм")&amp;"-"&amp;TEXT(Настройки!$J2+TIME(0,Март!AI13,0),"ч::мм"))</calculatedColumnFormula>
    </tableColumn>
  </tableColumns>
  <tableStyleInfo name="TableStyleLight15" showFirstColumn="0" showLastColumn="0" showRowStripes="0" showColumnStripes="1"/>
</table>
</file>

<file path=xl/tables/table25.xml><?xml version="1.0" encoding="utf-8"?>
<table xmlns="http://schemas.openxmlformats.org/spreadsheetml/2006/main" id="13" name="Апрель" displayName="Апрель" ref="A25:AJ28" headerRowDxfId="977" dataDxfId="976" totalsRowDxfId="975">
  <autoFilter ref="A25:AJ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Услуга" totalsRowLabel="Итог" dataDxfId="974"/>
    <tableColumn id="2" name="Объем" dataDxfId="973" totalsRowDxfId="972">
      <calculatedColumnFormula>IF(Январь[[#This Row],[Объем]]&lt;&gt;"",Январь[[#This Row],[Объем]],"")</calculatedColumnFormula>
    </tableColumn>
    <tableColumn id="3" name="Периодичность" dataDxfId="971" totalsRowDxfId="970">
      <calculatedColumnFormula>IF(Январь[[#This Row],[Периодичность]]&lt;&gt;"",Январь[[#This Row],[Периодичность]],"")</calculatedColumnFormula>
    </tableColumn>
    <tableColumn id="4" name="№" dataDxfId="969" totalsRowDxfId="968"/>
    <tableColumn id="7" name="1"/>
    <tableColumn id="8" name="2"/>
    <tableColumn id="9" name="3"/>
    <tableColumn id="10" name="4" totalsRowDxfId="967"/>
    <tableColumn id="11" name="5" totalsRowDxfId="966"/>
    <tableColumn id="12" name="6" totalsRowDxfId="965"/>
    <tableColumn id="13" name="7"/>
    <tableColumn id="14" name="8"/>
    <tableColumn id="15" name="9"/>
    <tableColumn id="16" name="10"/>
    <tableColumn id="17" name="11" totalsRowDxfId="964"/>
    <tableColumn id="18" name="12" totalsRowDxfId="963"/>
    <tableColumn id="19" name="13" totalsRowDxfId="962"/>
    <tableColumn id="20" name="14"/>
    <tableColumn id="21" name="15"/>
    <tableColumn id="22" name="16"/>
    <tableColumn id="23" name="17"/>
    <tableColumn id="24" name="18" totalsRowDxfId="961"/>
    <tableColumn id="25" name="19" totalsRowDxfId="960"/>
    <tableColumn id="26" name="20" totalsRowDxfId="959"/>
    <tableColumn id="27" name="21"/>
    <tableColumn id="28" name="22"/>
    <tableColumn id="29" name="23"/>
    <tableColumn id="30" name="24"/>
    <tableColumn id="31" name="25" totalsRowDxfId="958"/>
    <tableColumn id="32" name="26" totalsRowDxfId="957"/>
    <tableColumn id="33" name="27" totalsRowDxfId="956"/>
    <tableColumn id="34" name="28"/>
    <tableColumn id="35" name="29"/>
    <tableColumn id="36" name="30"/>
    <tableColumn id="38" name="УСЛУГ" totalsRowFunction="sum" dataDxfId="955" totalsRowDxfId="954">
      <calculatedColumnFormula>IF(Апрель[[#This Row],[№]]=1,SUM(Апрель[[#This Row],[1]:[30]])+SUM(OFFSET(Апрель[[#This Row],[1]:[30]],1,0))+SUM(OFFSET(Апрель[[#This Row],[1]:[30]],2,0)),"")</calculatedColumnFormula>
    </tableColumn>
    <tableColumn id="39" name="МИНУТ" totalsRowFunction="sum" dataDxfId="953" totalsRowDxfId="952">
      <calculatedColumnFormula>IF(Апрель[[#This Row],[УСЛУГ]]&lt;&gt;"",Апрель[[#This Row],[УСЛУГ]]*Апрель[[#This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26.xml><?xml version="1.0" encoding="utf-8"?>
<table xmlns="http://schemas.openxmlformats.org/spreadsheetml/2006/main" id="14" name="АпрельИтоги" displayName="АпрельИтоги" ref="A12:AJ18" totalsRowShown="0" headerRowDxfId="951" dataDxfId="950" tableBorderDxfId="949">
  <autoFilter ref="A12:AJ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периодичность" dataDxfId="948"/>
    <tableColumn id="2" name="за неделю" dataDxfId="947">
      <calculatedColumnFormula>SUM(H24:L24)</calculatedColumnFormula>
    </tableColumn>
    <tableColumn id="3" name="всего минут" dataDxfId="946">
      <calculatedColumnFormula>АпрельИтоги[[#This Row],[№]]*60</calculatedColumnFormula>
    </tableColumn>
    <tableColumn id="4" name="№" dataDxfId="945"/>
    <tableColumn id="5" name="1" dataDxfId="944">
      <calculatedColumnFormula>SUM(E10:E20)</calculatedColumnFormula>
    </tableColumn>
    <tableColumn id="6" name="2" dataDxfId="943"/>
    <tableColumn id="7" name="3" dataDxfId="942"/>
    <tableColumn id="8" name="4" dataDxfId="941"/>
    <tableColumn id="9" name="5" dataDxfId="940"/>
    <tableColumn id="10" name="6" dataDxfId="939"/>
    <tableColumn id="11" name="7" dataDxfId="938"/>
    <tableColumn id="12" name="8" dataDxfId="937"/>
    <tableColumn id="13" name="9" dataDxfId="936"/>
    <tableColumn id="14" name="10" dataDxfId="935"/>
    <tableColumn id="15" name="11" dataDxfId="934"/>
    <tableColumn id="16" name="12" dataDxfId="933"/>
    <tableColumn id="17" name="13" dataDxfId="932"/>
    <tableColumn id="18" name="14" dataDxfId="931"/>
    <tableColumn id="19" name="15" dataDxfId="930"/>
    <tableColumn id="20" name="16" dataDxfId="929"/>
    <tableColumn id="21" name="17" dataDxfId="928"/>
    <tableColumn id="22" name="18" dataDxfId="927"/>
    <tableColumn id="23" name="19" dataDxfId="926"/>
    <tableColumn id="24" name="20" dataDxfId="925"/>
    <tableColumn id="25" name="21" dataDxfId="924"/>
    <tableColumn id="26" name="22" dataDxfId="923"/>
    <tableColumn id="27" name="23" dataDxfId="922"/>
    <tableColumn id="28" name="24" dataDxfId="921"/>
    <tableColumn id="29" name="25" dataDxfId="920"/>
    <tableColumn id="30" name="26" dataDxfId="919"/>
    <tableColumn id="31" name="27" dataDxfId="918"/>
    <tableColumn id="32" name="28" dataDxfId="917"/>
    <tableColumn id="33" name="29" dataDxfId="916"/>
    <tableColumn id="34" name="30" dataDxfId="915"/>
    <tableColumn id="35" name="УСЛУГ" dataDxfId="914">
      <calculatedColumnFormula>SUM(Сентябрь[УСЛУГ])</calculatedColumnFormula>
    </tableColumn>
    <tableColumn id="36" name="МИНУТ" dataDxfId="913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27.xml><?xml version="1.0" encoding="utf-8"?>
<table xmlns="http://schemas.openxmlformats.org/spreadsheetml/2006/main" id="41" name="АпрельГраф1" displayName="АпрельГраф1" ref="A13:P16" totalsRowShown="0" headerRowDxfId="910" dataDxfId="909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908">
      <calculatedColumnFormula>IF(Настройки!J2&lt;&gt;"",TEXT(Настройки!J2,"ч:мм")&amp;"-"&amp;TEXT(Настройки!J2+TIME(0,MAX(Апрель!E13:AH13),0),"ч:мм"),"")</calculatedColumnFormula>
    </tableColumn>
    <tableColumn id="2" name="1" dataDxfId="907">
      <calculatedColumnFormula>IF(TEXT(Настройки!$J2+TIME(0,Апрель!E13,0),"ч::мм")=TEXT(Настройки!$J2,"ч:мм"),"",TEXT(Настройки!$J2,"ч:мм")&amp;"-"&amp;TEXT(Настройки!$J2+TIME(0,Апрель!E13,0),"ч::мм"))</calculatedColumnFormula>
    </tableColumn>
    <tableColumn id="3" name="2" dataDxfId="906">
      <calculatedColumnFormula>IF(TEXT(Настройки!$J2+TIME(0,Апрель!F13,0),"ч::мм")=TEXT(Настройки!$J2,"ч:мм"),"",TEXT(Настройки!$J2,"ч:мм")&amp;"-"&amp;TEXT(Настройки!$J2+TIME(0,Апрель!F13,0),"ч::мм"))</calculatedColumnFormula>
    </tableColumn>
    <tableColumn id="4" name="3" dataDxfId="905">
      <calculatedColumnFormula>IF(TEXT(Настройки!$J2+TIME(0,Апрель!G13,0),"ч::мм")=TEXT(Настройки!$J2,"ч:мм"),"",TEXT(Настройки!$J2,"ч:мм")&amp;"-"&amp;TEXT(Настройки!$J2+TIME(0,Апрель!G13,0),"ч::мм"))</calculatedColumnFormula>
    </tableColumn>
    <tableColumn id="5" name="4" dataDxfId="904">
      <calculatedColumnFormula>IF(TEXT(Настройки!$J2+TIME(0,Апрель!H13,0),"ч::мм")=TEXT(Настройки!$J2,"ч:мм"),"",TEXT(Настройки!$J2,"ч:мм")&amp;"-"&amp;TEXT(Настройки!$J2+TIME(0,Апрель!H13,0),"ч::мм"))</calculatedColumnFormula>
    </tableColumn>
    <tableColumn id="6" name="5" dataDxfId="903">
      <calculatedColumnFormula>IF(TEXT(Настройки!$J2+TIME(0,Апрель!I13,0),"ч::мм")=TEXT(Настройки!$J2,"ч:мм"),"",TEXT(Настройки!$J2,"ч:мм")&amp;"-"&amp;TEXT(Настройки!$J2+TIME(0,Апрель!I13,0),"ч::мм"))</calculatedColumnFormula>
    </tableColumn>
    <tableColumn id="7" name="6" dataDxfId="902">
      <calculatedColumnFormula>IF(TEXT(Настройки!$J2+TIME(0,Апрель!J13,0),"ч::мм")=TEXT(Настройки!$J2,"ч:мм"),"",TEXT(Настройки!$J2,"ч:мм")&amp;"-"&amp;TEXT(Настройки!$J2+TIME(0,Апрель!J13,0),"ч::мм"))</calculatedColumnFormula>
    </tableColumn>
    <tableColumn id="8" name="7" dataDxfId="901">
      <calculatedColumnFormula>IF(TEXT(Настройки!$J2+TIME(0,Апрель!K13,0),"ч::мм")=TEXT(Настройки!$J2,"ч:мм"),"",TEXT(Настройки!$J2,"ч:мм")&amp;"-"&amp;TEXT(Настройки!$J2+TIME(0,Апрель!K13,0),"ч::мм"))</calculatedColumnFormula>
    </tableColumn>
    <tableColumn id="9" name="8" dataDxfId="900">
      <calculatedColumnFormula>IF(TEXT(Настройки!$J2+TIME(0,Апрель!L13,0),"ч::мм")=TEXT(Настройки!$J2,"ч:мм"),"",TEXT(Настройки!$J2,"ч:мм")&amp;"-"&amp;TEXT(Настройки!$J2+TIME(0,Апрель!L13,0),"ч::мм"))</calculatedColumnFormula>
    </tableColumn>
    <tableColumn id="10" name="9" dataDxfId="899">
      <calculatedColumnFormula>IF(TEXT(Настройки!$J2+TIME(0,Апрель!M13,0),"ч::мм")=TEXT(Настройки!$J2,"ч:мм"),"",TEXT(Настройки!$J2,"ч:мм")&amp;"-"&amp;TEXT(Настройки!$J2+TIME(0,Апрель!M13,0),"ч::мм"))</calculatedColumnFormula>
    </tableColumn>
    <tableColumn id="11" name="10" dataDxfId="898">
      <calculatedColumnFormula>IF(TEXT(Настройки!$J2+TIME(0,Апрель!N13,0),"ч::мм")=TEXT(Настройки!$J2,"ч:мм"),"",TEXT(Настройки!$J2,"ч:мм")&amp;"-"&amp;TEXT(Настройки!$J2+TIME(0,Апрель!N13,0),"ч::мм"))</calculatedColumnFormula>
    </tableColumn>
    <tableColumn id="12" name="11" dataDxfId="897">
      <calculatedColumnFormula>IF(TEXT(Настройки!$J2+TIME(0,Апрель!O13,0),"ч::мм")=TEXT(Настройки!$J2,"ч:мм"),"",TEXT(Настройки!$J2,"ч:мм")&amp;"-"&amp;TEXT(Настройки!$J2+TIME(0,Апрель!O13,0),"ч::мм"))</calculatedColumnFormula>
    </tableColumn>
    <tableColumn id="13" name="12" dataDxfId="896">
      <calculatedColumnFormula>IF(TEXT(Настройки!$J2+TIME(0,Апрель!P13,0),"ч::мм")=TEXT(Настройки!$J2,"ч:мм"),"",TEXT(Настройки!$J2,"ч:мм")&amp;"-"&amp;TEXT(Настройки!$J2+TIME(0,Апрель!P13,0),"ч::мм"))</calculatedColumnFormula>
    </tableColumn>
    <tableColumn id="14" name="13" dataDxfId="895">
      <calculatedColumnFormula>IF(TEXT(Настройки!$J2+TIME(0,Апрель!Q13,0),"ч::мм")=TEXT(Настройки!$J2,"ч:мм"),"",TEXT(Настройки!$J2,"ч:мм")&amp;"-"&amp;TEXT(Настройки!$J2+TIME(0,Апрель!Q13,0),"ч::мм"))</calculatedColumnFormula>
    </tableColumn>
    <tableColumn id="15" name="14" dataDxfId="894">
      <calculatedColumnFormula>IF(TEXT(Настройки!$J2+TIME(0,Апрель!R13,0),"ч::мм")=TEXT(Настройки!$J2,"ч:мм"),"",TEXT(Настройки!$J2,"ч:мм")&amp;"-"&amp;TEXT(Настройки!$J2+TIME(0,Апрель!R13,0),"ч::мм"))</calculatedColumnFormula>
    </tableColumn>
    <tableColumn id="16" name="15" dataDxfId="893">
      <calculatedColumnFormula>IF(TEXT(Настройки!$J2+TIME(0,Апрель!S13,0),"ч::мм")=TEXT(Настройки!$J2,"ч:мм"),"",TEXT(Настройки!$J2,"ч:мм")&amp;"-"&amp;TEXT(Настройки!$J2+TIME(0,Апрель!S13,0),"ч::мм"))</calculatedColumnFormula>
    </tableColumn>
  </tableColumns>
  <tableStyleInfo name="TableStyleLight15" showFirstColumn="0" showLastColumn="0" showRowStripes="0" showColumnStripes="1"/>
</table>
</file>

<file path=xl/tables/table28.xml><?xml version="1.0" encoding="utf-8"?>
<table xmlns="http://schemas.openxmlformats.org/spreadsheetml/2006/main" id="42" name="АпрельГраф2" displayName="АпрельГраф2" ref="A23:P26" totalsRowShown="0" headerRowDxfId="892" dataDxfId="891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890">
      <calculatedColumnFormula>A14</calculatedColumnFormula>
    </tableColumn>
    <tableColumn id="2" name="16" dataDxfId="889">
      <calculatedColumnFormula>IF(TEXT(Настройки!$J2+TIME(0,Апрель!T13,0),"ч::мм")=TEXT(Настройки!$J2,"ч:мм"),"",TEXT(Настройки!$J2,"ч:мм")&amp;"-"&amp;TEXT(Настройки!$J2+TIME(0,Апрель!T13,0),"ч::мм"))</calculatedColumnFormula>
    </tableColumn>
    <tableColumn id="3" name="17" dataDxfId="888">
      <calculatedColumnFormula>IF(TEXT(Настройки!$J2+TIME(0,Апрель!U13,0),"ч::мм")=TEXT(Настройки!$J2,"ч:мм"),"",TEXT(Настройки!$J2,"ч:мм")&amp;"-"&amp;TEXT(Настройки!$J2+TIME(0,Апрель!U13,0),"ч::мм"))</calculatedColumnFormula>
    </tableColumn>
    <tableColumn id="4" name="18" dataDxfId="887">
      <calculatedColumnFormula>IF(TEXT(Настройки!$J2+TIME(0,Апрель!V13,0),"ч::мм")=TEXT(Настройки!$J2,"ч:мм"),"",TEXT(Настройки!$J2,"ч:мм")&amp;"-"&amp;TEXT(Настройки!$J2+TIME(0,Апрель!V13,0),"ч::мм"))</calculatedColumnFormula>
    </tableColumn>
    <tableColumn id="5" name="19" dataDxfId="886">
      <calculatedColumnFormula>IF(TEXT(Настройки!$J2+TIME(0,Апрель!W13,0),"ч::мм")=TEXT(Настройки!$J2,"ч:мм"),"",TEXT(Настройки!$J2,"ч:мм")&amp;"-"&amp;TEXT(Настройки!$J2+TIME(0,Апрель!W13,0),"ч::мм"))</calculatedColumnFormula>
    </tableColumn>
    <tableColumn id="6" name="20" dataDxfId="885">
      <calculatedColumnFormula>IF(TEXT(Настройки!$J2+TIME(0,Апрель!X13,0),"ч::мм")=TEXT(Настройки!$J2,"ч:мм"),"",TEXT(Настройки!$J2,"ч:мм")&amp;"-"&amp;TEXT(Настройки!$J2+TIME(0,Апрель!X13,0),"ч::мм"))</calculatedColumnFormula>
    </tableColumn>
    <tableColumn id="7" name="21" dataDxfId="884">
      <calculatedColumnFormula>IF(TEXT(Настройки!$J2+TIME(0,Апрель!Y13,0),"ч::мм")=TEXT(Настройки!$J2,"ч:мм"),"",TEXT(Настройки!$J2,"ч:мм")&amp;"-"&amp;TEXT(Настройки!$J2+TIME(0,Апрель!Y13,0),"ч::мм"))</calculatedColumnFormula>
    </tableColumn>
    <tableColumn id="8" name="22" dataDxfId="883">
      <calculatedColumnFormula>IF(TEXT(Настройки!$J2+TIME(0,Апрель!Z13,0),"ч::мм")=TEXT(Настройки!$J2,"ч:мм"),"",TEXT(Настройки!$J2,"ч:мм")&amp;"-"&amp;TEXT(Настройки!$J2+TIME(0,Апрель!Z13,0),"ч::мм"))</calculatedColumnFormula>
    </tableColumn>
    <tableColumn id="9" name="23" dataDxfId="882">
      <calculatedColumnFormula>IF(TEXT(Настройки!$J2+TIME(0,Апрель!AA13,0),"ч::мм")=TEXT(Настройки!$J2,"ч:мм"),"",TEXT(Настройки!$J2,"ч:мм")&amp;"-"&amp;TEXT(Настройки!$J2+TIME(0,Апрель!AA13,0),"ч::мм"))</calculatedColumnFormula>
    </tableColumn>
    <tableColumn id="10" name="24" dataDxfId="881">
      <calculatedColumnFormula>IF(TEXT(Настройки!$J2+TIME(0,Апрель!AB13,0),"ч::мм")=TEXT(Настройки!$J2,"ч:мм"),"",TEXT(Настройки!$J2,"ч:мм")&amp;"-"&amp;TEXT(Настройки!$J2+TIME(0,Апрель!AB13,0),"ч::мм"))</calculatedColumnFormula>
    </tableColumn>
    <tableColumn id="11" name="25" dataDxfId="880">
      <calculatedColumnFormula>IF(TEXT(Настройки!$J2+TIME(0,Апрель!AC13,0),"ч::мм")=TEXT(Настройки!$J2,"ч:мм"),"",TEXT(Настройки!$J2,"ч:мм")&amp;"-"&amp;TEXT(Настройки!$J2+TIME(0,Апрель!AC13,0),"ч::мм"))</calculatedColumnFormula>
    </tableColumn>
    <tableColumn id="12" name="26" dataDxfId="879">
      <calculatedColumnFormula>IF(TEXT(Настройки!$J2+TIME(0,Апрель!AD13,0),"ч::мм")=TEXT(Настройки!$J2,"ч:мм"),"",TEXT(Настройки!$J2,"ч:мм")&amp;"-"&amp;TEXT(Настройки!$J2+TIME(0,Апрель!AD13,0),"ч::мм"))</calculatedColumnFormula>
    </tableColumn>
    <tableColumn id="13" name="27" dataDxfId="878">
      <calculatedColumnFormula>IF(TEXT(Настройки!$J2+TIME(0,Апрель!AE13,0),"ч::мм")=TEXT(Настройки!$J2,"ч:мм"),"",TEXT(Настройки!$J2,"ч:мм")&amp;"-"&amp;TEXT(Настройки!$J2+TIME(0,Апрель!AE13,0),"ч::мм"))</calculatedColumnFormula>
    </tableColumn>
    <tableColumn id="14" name="28" dataDxfId="877">
      <calculatedColumnFormula>IF(TEXT(Настройки!$J2+TIME(0,Апрель!AF13,0),"ч::мм")=TEXT(Настройки!$J2,"ч:мм"),"",TEXT(Настройки!$J2,"ч:мм")&amp;"-"&amp;TEXT(Настройки!$J2+TIME(0,Апрель!AF13,0),"ч::мм"))</calculatedColumnFormula>
    </tableColumn>
    <tableColumn id="15" name="29" dataDxfId="876">
      <calculatedColumnFormula>IF(TEXT(Настройки!$J2+TIME(0,Апрель!AG13,0),"ч::мм")=TEXT(Настройки!$J2,"ч:мм"),"",TEXT(Настройки!$J2,"ч:мм")&amp;"-"&amp;TEXT(Настройки!$J2+TIME(0,Апрель!AG13,0),"ч::мм"))</calculatedColumnFormula>
    </tableColumn>
    <tableColumn id="16" name="30" dataDxfId="875">
      <calculatedColumnFormula>IF(TEXT(Настройки!$J2+TIME(0,Апрель!AH13,0),"ч::мм")=TEXT(Настройки!$J2,"ч:мм"),"",TEXT(Настройки!$J2,"ч:мм")&amp;"-"&amp;TEXT(Настройки!$J2+TIME(0,Апрель!AH13,0),"ч::мм"))</calculatedColumnFormula>
    </tableColumn>
  </tableColumns>
  <tableStyleInfo name="TableStyleLight15" showFirstColumn="0" showLastColumn="0" showRowStripes="0" showColumnStripes="1"/>
</table>
</file>

<file path=xl/tables/table29.xml><?xml version="1.0" encoding="utf-8"?>
<table xmlns="http://schemas.openxmlformats.org/spreadsheetml/2006/main" id="11" name="Май" displayName="Май" ref="A25:AK28" headerRowDxfId="872" dataDxfId="871" totalsRowDxfId="870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869"/>
    <tableColumn id="2" name="Объем" dataDxfId="868" totalsRowDxfId="867">
      <calculatedColumnFormula>IF(Январь[[#This Row],[Объем]]&lt;&gt;"",Январь[[#This Row],[Объем]],"")</calculatedColumnFormula>
    </tableColumn>
    <tableColumn id="3" name="Периодичность" dataDxfId="866" totalsRowDxfId="865">
      <calculatedColumnFormula>IF(Январь[[#This Row],[Периодичность]]&lt;&gt;"",Январь[[#This Row],[Периодичность]],"")</calculatedColumnFormula>
    </tableColumn>
    <tableColumn id="4" name="№" dataDxfId="864" totalsRowDxfId="863"/>
    <tableColumn id="7" name="1"/>
    <tableColumn id="8" name="2"/>
    <tableColumn id="9" name="3"/>
    <tableColumn id="10" name="4" totalsRowDxfId="862"/>
    <tableColumn id="11" name="5" totalsRowDxfId="861"/>
    <tableColumn id="12" name="6" totalsRowDxfId="860"/>
    <tableColumn id="13" name="7"/>
    <tableColumn id="14" name="8"/>
    <tableColumn id="15" name="9"/>
    <tableColumn id="16" name="10"/>
    <tableColumn id="17" name="11" totalsRowDxfId="859"/>
    <tableColumn id="18" name="12" totalsRowDxfId="858"/>
    <tableColumn id="19" name="13" totalsRowDxfId="857"/>
    <tableColumn id="20" name="14"/>
    <tableColumn id="21" name="15"/>
    <tableColumn id="22" name="16"/>
    <tableColumn id="23" name="17"/>
    <tableColumn id="24" name="18" totalsRowDxfId="856"/>
    <tableColumn id="25" name="19" totalsRowDxfId="855"/>
    <tableColumn id="26" name="20" totalsRowDxfId="854"/>
    <tableColumn id="27" name="21"/>
    <tableColumn id="28" name="22"/>
    <tableColumn id="29" name="23"/>
    <tableColumn id="30" name="24"/>
    <tableColumn id="31" name="25" totalsRowDxfId="853"/>
    <tableColumn id="32" name="26" totalsRowDxfId="852"/>
    <tableColumn id="33" name="27" totalsRowDxfId="851"/>
    <tableColumn id="34" name="28"/>
    <tableColumn id="35" name="29"/>
    <tableColumn id="36" name="30"/>
    <tableColumn id="5" name="31"/>
    <tableColumn id="38" name="УСЛУГ" totalsRowFunction="sum" dataDxfId="850" totalsRowDxfId="849">
      <calculatedColumnFormula>IF(Май[[#This Row],[№]]=1,SUM(Май[[#This Row],[1]:[31]])+SUM(OFFSET(Май[[#This Row],[1]:[31]],1,0))+SUM(OFFSET(Май[[#This Row],[1]:[31]],2,0)),"")</calculatedColumnFormula>
    </tableColumn>
    <tableColumn id="39" name="МИНУТ" totalsRowFunction="sum" dataDxfId="848" totalsRowDxfId="847">
      <calculatedColumnFormula>IF(Май[[#This Row],[УСЛУГ]]&lt;&gt;"",Май[[#This Row],[УСЛУГ]]*Май[[#This Row],[Периодичность]],"")</calculatedColumnFormula>
    </tableColumn>
  </tableColumns>
  <tableStyleInfo name="TableStyleLight15" showFirstColumn="0" showLastColumn="0" showRowStripes="1" showColumnStripes="0"/>
</table>
</file>

<file path=xl/tables/table30.xml><?xml version="1.0" encoding="utf-8"?>
<table xmlns="http://schemas.openxmlformats.org/spreadsheetml/2006/main" id="12" name="МайИтоги" displayName="МайИтоги" ref="A12:AK18" totalsRowShown="0" headerRowDxfId="846" dataDxfId="845" tableBorderDxfId="844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843"/>
    <tableColumn id="2" name="за неделю" dataDxfId="842">
      <calculatedColumnFormula>SUMPRODUCT((#REF!=1)*E16:AI16)</calculatedColumnFormula>
    </tableColumn>
    <tableColumn id="3" name="всего минут" dataDxfId="841">
      <calculatedColumnFormula>МайИтоги[[#This Row],[№]]*60</calculatedColumnFormula>
    </tableColumn>
    <tableColumn id="4" name="№" dataDxfId="840"/>
    <tableColumn id="5" name="1" dataDxfId="839">
      <calculatedColumnFormula>SUM(E10:E15)</calculatedColumnFormula>
    </tableColumn>
    <tableColumn id="6" name="2" dataDxfId="838"/>
    <tableColumn id="7" name="3" dataDxfId="837"/>
    <tableColumn id="8" name="4" dataDxfId="836"/>
    <tableColumn id="9" name="5" dataDxfId="835"/>
    <tableColumn id="10" name="6" dataDxfId="834"/>
    <tableColumn id="11" name="7" dataDxfId="833"/>
    <tableColumn id="12" name="8" dataDxfId="832"/>
    <tableColumn id="13" name="9" dataDxfId="831"/>
    <tableColumn id="14" name="10" dataDxfId="830"/>
    <tableColumn id="15" name="11" dataDxfId="829"/>
    <tableColumn id="16" name="12" dataDxfId="828"/>
    <tableColumn id="17" name="13" dataDxfId="827"/>
    <tableColumn id="18" name="14" dataDxfId="826"/>
    <tableColumn id="19" name="15" dataDxfId="825"/>
    <tableColumn id="20" name="16" dataDxfId="824"/>
    <tableColumn id="21" name="17" dataDxfId="823"/>
    <tableColumn id="22" name="18" dataDxfId="822"/>
    <tableColumn id="23" name="19" dataDxfId="821"/>
    <tableColumn id="24" name="20" dataDxfId="820"/>
    <tableColumn id="25" name="21" dataDxfId="819"/>
    <tableColumn id="26" name="22" dataDxfId="818"/>
    <tableColumn id="27" name="23" dataDxfId="817"/>
    <tableColumn id="28" name="24" dataDxfId="816"/>
    <tableColumn id="29" name="25" dataDxfId="815"/>
    <tableColumn id="30" name="26" dataDxfId="814"/>
    <tableColumn id="31" name="27" dataDxfId="813"/>
    <tableColumn id="32" name="28" dataDxfId="812"/>
    <tableColumn id="33" name="29" dataDxfId="811"/>
    <tableColumn id="34" name="30" dataDxfId="810"/>
    <tableColumn id="37" name="31" dataDxfId="809">
      <calculatedColumnFormula>SUMPRODUCT((Август[№]=1)*Август[31],Август[Периодичность])</calculatedColumnFormula>
    </tableColumn>
    <tableColumn id="35" name="УСЛУГ" dataDxfId="808">
      <calculatedColumnFormula>SUM(Сентябрь[УСЛУГ])</calculatedColumnFormula>
    </tableColumn>
    <tableColumn id="36" name="МИНУТ" dataDxfId="807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id="44" name="МайГраф1" displayName="МайГраф1" ref="A13:P16" totalsRowShown="0" headerRowDxfId="803" dataDxfId="802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801">
      <calculatedColumnFormula>IF(Настройки!J2&lt;&gt;"",TEXT(Настройки!J2,"ч:мм")&amp;"-"&amp;TEXT(Настройки!J2+TIME(0,MAX(Май!E13:AI13),0),"ч:мм"),"")</calculatedColumnFormula>
    </tableColumn>
    <tableColumn id="2" name="1" dataDxfId="800">
      <calculatedColumnFormula>IF(TEXT(Настройки!$J2+TIME(0,Май!E13,0),"ч::мм")=TEXT(Настройки!$J2,"ч:мм"),"",TEXT(Настройки!$J2,"ч:мм")&amp;"-"&amp;TEXT(Настройки!$J2+TIME(0,Май!E13,0),"ч::мм"))</calculatedColumnFormula>
    </tableColumn>
    <tableColumn id="3" name="2" dataDxfId="799">
      <calculatedColumnFormula>IF(TEXT(Настройки!$J2+TIME(0,Май!F13,0),"ч::мм")=TEXT(Настройки!$J2,"ч:мм"),"",TEXT(Настройки!$J2,"ч:мм")&amp;"-"&amp;TEXT(Настройки!$J2+TIME(0,Май!F13,0),"ч::мм"))</calculatedColumnFormula>
    </tableColumn>
    <tableColumn id="4" name="3" dataDxfId="798">
      <calculatedColumnFormula>IF(TEXT(Настройки!$J2+TIME(0,Май!G13,0),"ч::мм")=TEXT(Настройки!$J2,"ч:мм"),"",TEXT(Настройки!$J2,"ч:мм")&amp;"-"&amp;TEXT(Настройки!$J2+TIME(0,Май!G13,0),"ч::мм"))</calculatedColumnFormula>
    </tableColumn>
    <tableColumn id="5" name="4" dataDxfId="797">
      <calculatedColumnFormula>IF(TEXT(Настройки!$J2+TIME(0,Май!H13,0),"ч::мм")=TEXT(Настройки!$J2,"ч:мм"),"",TEXT(Настройки!$J2,"ч:мм")&amp;"-"&amp;TEXT(Настройки!$J2+TIME(0,Май!H13,0),"ч::мм"))</calculatedColumnFormula>
    </tableColumn>
    <tableColumn id="6" name="5" dataDxfId="796">
      <calculatedColumnFormula>IF(TEXT(Настройки!$J2+TIME(0,Май!I13,0),"ч::мм")=TEXT(Настройки!$J2,"ч:мм"),"",TEXT(Настройки!$J2,"ч:мм")&amp;"-"&amp;TEXT(Настройки!$J2+TIME(0,Май!I13,0),"ч::мм"))</calculatedColumnFormula>
    </tableColumn>
    <tableColumn id="7" name="6" dataDxfId="795">
      <calculatedColumnFormula>IF(TEXT(Настройки!$J2+TIME(0,Май!J13,0),"ч::мм")=TEXT(Настройки!$J2,"ч:мм"),"",TEXT(Настройки!$J2,"ч:мм")&amp;"-"&amp;TEXT(Настройки!$J2+TIME(0,Май!J13,0),"ч::мм"))</calculatedColumnFormula>
    </tableColumn>
    <tableColumn id="8" name="7" dataDxfId="794">
      <calculatedColumnFormula>IF(TEXT(Настройки!$J2+TIME(0,Май!K13,0),"ч::мм")=TEXT(Настройки!$J2,"ч:мм"),"",TEXT(Настройки!$J2,"ч:мм")&amp;"-"&amp;TEXT(Настройки!$J2+TIME(0,Май!K13,0),"ч::мм"))</calculatedColumnFormula>
    </tableColumn>
    <tableColumn id="9" name="8" dataDxfId="793">
      <calculatedColumnFormula>IF(TEXT(Настройки!$J2+TIME(0,Май!L13,0),"ч::мм")=TEXT(Настройки!$J2,"ч:мм"),"",TEXT(Настройки!$J2,"ч:мм")&amp;"-"&amp;TEXT(Настройки!$J2+TIME(0,Май!L13,0),"ч::мм"))</calculatedColumnFormula>
    </tableColumn>
    <tableColumn id="10" name="9" dataDxfId="792">
      <calculatedColumnFormula>IF(TEXT(Настройки!$J2+TIME(0,Май!M13,0),"ч::мм")=TEXT(Настройки!$J2,"ч:мм"),"",TEXT(Настройки!$J2,"ч:мм")&amp;"-"&amp;TEXT(Настройки!$J2+TIME(0,Май!M13,0),"ч::мм"))</calculatedColumnFormula>
    </tableColumn>
    <tableColumn id="11" name="10" dataDxfId="791">
      <calculatedColumnFormula>IF(TEXT(Настройки!$J2+TIME(0,Май!N13,0),"ч::мм")=TEXT(Настройки!$J2,"ч:мм"),"",TEXT(Настройки!$J2,"ч:мм")&amp;"-"&amp;TEXT(Настройки!$J2+TIME(0,Май!N13,0),"ч::мм"))</calculatedColumnFormula>
    </tableColumn>
    <tableColumn id="12" name="11" dataDxfId="790">
      <calculatedColumnFormula>IF(TEXT(Настройки!$J2+TIME(0,Май!O13,0),"ч::мм")=TEXT(Настройки!$J2,"ч:мм"),"",TEXT(Настройки!$J2,"ч:мм")&amp;"-"&amp;TEXT(Настройки!$J2+TIME(0,Май!O13,0),"ч::мм"))</calculatedColumnFormula>
    </tableColumn>
    <tableColumn id="13" name="12" dataDxfId="789">
      <calculatedColumnFormula>IF(TEXT(Настройки!$J2+TIME(0,Май!P13,0),"ч::мм")=TEXT(Настройки!$J2,"ч:мм"),"",TEXT(Настройки!$J2,"ч:мм")&amp;"-"&amp;TEXT(Настройки!$J2+TIME(0,Май!P13,0),"ч::мм"))</calculatedColumnFormula>
    </tableColumn>
    <tableColumn id="14" name="13" dataDxfId="788">
      <calculatedColumnFormula>IF(TEXT(Настройки!$J2+TIME(0,Май!Q13,0),"ч::мм")=TEXT(Настройки!$J2,"ч:мм"),"",TEXT(Настройки!$J2,"ч:мм")&amp;"-"&amp;TEXT(Настройки!$J2+TIME(0,Май!Q13,0),"ч::мм"))</calculatedColumnFormula>
    </tableColumn>
    <tableColumn id="15" name="14" dataDxfId="787">
      <calculatedColumnFormula>IF(TEXT(Настройки!$J2+TIME(0,Май!R13,0),"ч::мм")=TEXT(Настройки!$J2,"ч:мм"),"",TEXT(Настройки!$J2,"ч:мм")&amp;"-"&amp;TEXT(Настройки!$J2+TIME(0,Май!R13,0),"ч::мм"))</calculatedColumnFormula>
    </tableColumn>
    <tableColumn id="16" name="15" dataDxfId="786">
      <calculatedColumnFormula>IF(TEXT(Настройки!$J2+TIME(0,Май!S13,0),"ч::мм")=TEXT(Настройки!$J2,"ч:мм"),"",TEXT(Настройки!$J2,"ч:мм")&amp;"-"&amp;TEXT(Настройки!$J2+TIME(0,Май!S13,0),"ч::мм"))</calculatedColumnFormula>
    </tableColumn>
  </tableColumns>
  <tableStyleInfo name="TableStyleLight15" showFirstColumn="0" showLastColumn="0" showRowStripes="0" showColumnStripes="1"/>
</table>
</file>

<file path=xl/tables/table32.xml><?xml version="1.0" encoding="utf-8"?>
<table xmlns="http://schemas.openxmlformats.org/spreadsheetml/2006/main" id="45" name="МайГраф2" displayName="МайГраф2" ref="A23:P26" totalsRowShown="0" headerRowDxfId="785" dataDxfId="784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783">
      <calculatedColumnFormula>A14</calculatedColumnFormula>
    </tableColumn>
    <tableColumn id="2" name="16" dataDxfId="782">
      <calculatedColumnFormula>IF(TEXT(Настройки!$J2+TIME(0,Май!T13,0),"ч::мм")=TEXT(Настройки!$J2,"ч:мм"),"",TEXT(Настройки!$J2,"ч:мм")&amp;"-"&amp;TEXT(Настройки!$J2+TIME(0,Май!T13,0),"ч::мм"))</calculatedColumnFormula>
    </tableColumn>
    <tableColumn id="3" name="17" dataDxfId="781">
      <calculatedColumnFormula>IF(TEXT(Настройки!$J2+TIME(0,Май!U13,0),"ч::мм")=TEXT(Настройки!$J2,"ч:мм"),"",TEXT(Настройки!$J2,"ч:мм")&amp;"-"&amp;TEXT(Настройки!$J2+TIME(0,Май!U13,0),"ч::мм"))</calculatedColumnFormula>
    </tableColumn>
    <tableColumn id="4" name="18" dataDxfId="780">
      <calculatedColumnFormula>IF(TEXT(Настройки!$J2+TIME(0,Май!V13,0),"ч::мм")=TEXT(Настройки!$J2,"ч:мм"),"",TEXT(Настройки!$J2,"ч:мм")&amp;"-"&amp;TEXT(Настройки!$J2+TIME(0,Май!V13,0),"ч::мм"))</calculatedColumnFormula>
    </tableColumn>
    <tableColumn id="5" name="19" dataDxfId="779">
      <calculatedColumnFormula>IF(TEXT(Настройки!$J2+TIME(0,Май!W13,0),"ч::мм")=TEXT(Настройки!$J2,"ч:мм"),"",TEXT(Настройки!$J2,"ч:мм")&amp;"-"&amp;TEXT(Настройки!$J2+TIME(0,Май!W13,0),"ч::мм"))</calculatedColumnFormula>
    </tableColumn>
    <tableColumn id="6" name="20" dataDxfId="778">
      <calculatedColumnFormula>IF(TEXT(Настройки!$J2+TIME(0,Май!X13,0),"ч::мм")=TEXT(Настройки!$J2,"ч:мм"),"",TEXT(Настройки!$J2,"ч:мм")&amp;"-"&amp;TEXT(Настройки!$J2+TIME(0,Май!X13,0),"ч::мм"))</calculatedColumnFormula>
    </tableColumn>
    <tableColumn id="7" name="21" dataDxfId="777">
      <calculatedColumnFormula>IF(TEXT(Настройки!$J2+TIME(0,Май!Y13,0),"ч::мм")=TEXT(Настройки!$J2,"ч:мм"),"",TEXT(Настройки!$J2,"ч:мм")&amp;"-"&amp;TEXT(Настройки!$J2+TIME(0,Май!Y13,0),"ч::мм"))</calculatedColumnFormula>
    </tableColumn>
    <tableColumn id="8" name="22" dataDxfId="776">
      <calculatedColumnFormula>IF(TEXT(Настройки!$J2+TIME(0,Май!Z13,0),"ч::мм")=TEXT(Настройки!$J2,"ч:мм"),"",TEXT(Настройки!$J2,"ч:мм")&amp;"-"&amp;TEXT(Настройки!$J2+TIME(0,Май!Z13,0),"ч::мм"))</calculatedColumnFormula>
    </tableColumn>
    <tableColumn id="9" name="23" dataDxfId="775">
      <calculatedColumnFormula>IF(TEXT(Настройки!$J2+TIME(0,Май!AA13,0),"ч::мм")=TEXT(Настройки!$J2,"ч:мм"),"",TEXT(Настройки!$J2,"ч:мм")&amp;"-"&amp;TEXT(Настройки!$J2+TIME(0,Май!AA13,0),"ч::мм"))</calculatedColumnFormula>
    </tableColumn>
    <tableColumn id="10" name="24" dataDxfId="774">
      <calculatedColumnFormula>IF(TEXT(Настройки!$J2+TIME(0,Май!AB13,0),"ч::мм")=TEXT(Настройки!$J2,"ч:мм"),"",TEXT(Настройки!$J2,"ч:мм")&amp;"-"&amp;TEXT(Настройки!$J2+TIME(0,Май!AB13,0),"ч::мм"))</calculatedColumnFormula>
    </tableColumn>
    <tableColumn id="11" name="25" dataDxfId="773">
      <calculatedColumnFormula>IF(TEXT(Настройки!$J2+TIME(0,Май!AC13,0),"ч::мм")=TEXT(Настройки!$J2,"ч:мм"),"",TEXT(Настройки!$J2,"ч:мм")&amp;"-"&amp;TEXT(Настройки!$J2+TIME(0,Май!AC13,0),"ч::мм"))</calculatedColumnFormula>
    </tableColumn>
    <tableColumn id="12" name="26" dataDxfId="772">
      <calculatedColumnFormula>IF(TEXT(Настройки!$J2+TIME(0,Май!AD13,0),"ч::мм")=TEXT(Настройки!$J2,"ч:мм"),"",TEXT(Настройки!$J2,"ч:мм")&amp;"-"&amp;TEXT(Настройки!$J2+TIME(0,Май!AD13,0),"ч::мм"))</calculatedColumnFormula>
    </tableColumn>
    <tableColumn id="13" name="27" dataDxfId="771">
      <calculatedColumnFormula>IF(TEXT(Настройки!$J2+TIME(0,Май!AE13,0),"ч::мм")=TEXT(Настройки!$J2,"ч:мм"),"",TEXT(Настройки!$J2,"ч:мм")&amp;"-"&amp;TEXT(Настройки!$J2+TIME(0,Май!AE13,0),"ч::мм"))</calculatedColumnFormula>
    </tableColumn>
    <tableColumn id="14" name="28" dataDxfId="770">
      <calculatedColumnFormula>IF(TEXT(Настройки!$J2+TIME(0,Май!AF13,0),"ч::мм")=TEXT(Настройки!$J2,"ч:мм"),"",TEXT(Настройки!$J2,"ч:мм")&amp;"-"&amp;TEXT(Настройки!$J2+TIME(0,Май!AF13,0),"ч::мм"))</calculatedColumnFormula>
    </tableColumn>
    <tableColumn id="15" name="29" dataDxfId="769">
      <calculatedColumnFormula>IF(TEXT(Настройки!$J2+TIME(0,Май!AG13,0),"ч::мм")=TEXT(Настройки!$J2,"ч:мм"),"",TEXT(Настройки!$J2,"ч:мм")&amp;"-"&amp;TEXT(Настройки!$J2+TIME(0,Май!AG13,0),"ч::мм"))</calculatedColumnFormula>
    </tableColumn>
    <tableColumn id="16" name="30" dataDxfId="768">
      <calculatedColumnFormula>IF(TEXT(Настройки!$J2+TIME(0,Май!AH13,0),"ч::мм")=TEXT(Настройки!$J2,"ч:мм"),"",TEXT(Настройки!$J2,"ч:мм")&amp;"-"&amp;TEXT(Настройки!$J2+TIME(0,Май!AH13,0),"ч::мм"))</calculatedColumnFormula>
    </tableColumn>
  </tableColumns>
  <tableStyleInfo name="TableStyleLight15" showFirstColumn="0" showLastColumn="0" showRowStripes="0" showColumnStripes="1"/>
</table>
</file>

<file path=xl/tables/table33.xml><?xml version="1.0" encoding="utf-8"?>
<table xmlns="http://schemas.openxmlformats.org/spreadsheetml/2006/main" id="46" name="МайГраф3" displayName="МайГраф3" ref="A33:B36" totalsRowShown="0" headerRowDxfId="767" dataDxfId="766" tableBorderDxfId="765">
  <autoFilter ref="A33:B36">
    <filterColumn colId="0" hiddenButton="1"/>
    <filterColumn colId="1" hiddenButton="1"/>
  </autoFilter>
  <tableColumns count="2">
    <tableColumn id="1" name="Посещение" dataDxfId="764">
      <calculatedColumnFormula>A14</calculatedColumnFormula>
    </tableColumn>
    <tableColumn id="2" name="31" dataDxfId="763">
      <calculatedColumnFormula>IF(TEXT(Настройки!$J2+TIME(0,Май!AI13,0),"ч::мм")=TEXT(Настройки!$J2,"ч:мм"),"",TEXT(Настройки!$J2,"ч:мм")&amp;"-"&amp;TEXT(Настройки!$J2+TIME(0,Май!AI13,0),"ч::мм"))</calculatedColumnFormula>
    </tableColumn>
  </tableColumns>
  <tableStyleInfo name="TableStyleLight15" showFirstColumn="0" showLastColumn="0" showRowStripes="0" showColumnStripes="1"/>
</table>
</file>

<file path=xl/tables/table34.xml><?xml version="1.0" encoding="utf-8"?>
<table xmlns="http://schemas.openxmlformats.org/spreadsheetml/2006/main" id="9" name="Июнь" displayName="Июнь" ref="A25:AJ28" headerRowDxfId="760" dataDxfId="759" totalsRowDxfId="758">
  <autoFilter ref="A25:AJ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Услуга" totalsRowLabel="Итог" dataDxfId="757"/>
    <tableColumn id="2" name="Объем" dataDxfId="756" totalsRowDxfId="755">
      <calculatedColumnFormula>IF(Январь[[#This Row],[Объем]]&lt;&gt;"",Январь[[#This Row],[Объем]],"")</calculatedColumnFormula>
    </tableColumn>
    <tableColumn id="3" name="Периодичность" dataDxfId="754" totalsRowDxfId="753">
      <calculatedColumnFormula>IF(Январь[[#This Row],[Периодичность]]&lt;&gt;"",Январь[[#This Row],[Периодичность]],"")</calculatedColumnFormula>
    </tableColumn>
    <tableColumn id="4" name="№" dataDxfId="752" totalsRowDxfId="751"/>
    <tableColumn id="7" name="1"/>
    <tableColumn id="8" name="2"/>
    <tableColumn id="9" name="3"/>
    <tableColumn id="10" name="4" totalsRowDxfId="750"/>
    <tableColumn id="11" name="5" totalsRowDxfId="749"/>
    <tableColumn id="12" name="6" totalsRowDxfId="748"/>
    <tableColumn id="13" name="7"/>
    <tableColumn id="14" name="8"/>
    <tableColumn id="15" name="9"/>
    <tableColumn id="16" name="10"/>
    <tableColumn id="17" name="11" totalsRowDxfId="747"/>
    <tableColumn id="18" name="12" totalsRowDxfId="746"/>
    <tableColumn id="19" name="13" totalsRowDxfId="745"/>
    <tableColumn id="20" name="14"/>
    <tableColumn id="21" name="15"/>
    <tableColumn id="22" name="16"/>
    <tableColumn id="23" name="17"/>
    <tableColumn id="24" name="18" totalsRowDxfId="744"/>
    <tableColumn id="25" name="19" totalsRowDxfId="743"/>
    <tableColumn id="26" name="20" totalsRowDxfId="742"/>
    <tableColumn id="27" name="21"/>
    <tableColumn id="28" name="22"/>
    <tableColumn id="29" name="23"/>
    <tableColumn id="30" name="24"/>
    <tableColumn id="31" name="25" totalsRowDxfId="741"/>
    <tableColumn id="32" name="26" totalsRowDxfId="740"/>
    <tableColumn id="33" name="27" totalsRowDxfId="739"/>
    <tableColumn id="34" name="28"/>
    <tableColumn id="35" name="29"/>
    <tableColumn id="36" name="30"/>
    <tableColumn id="38" name="УСЛУГ" totalsRowFunction="sum" dataDxfId="738" totalsRowDxfId="737">
      <calculatedColumnFormula>IF(Июнь[[#This Row],[№]]=1,SUM(Июнь[[#This Row],[1]:[30]])+SUM(OFFSET(Июнь[[#This Row],[1]:[30]],1,0))+SUM(OFFSET(Июнь[[#This Row],[1]:[30]],2,0)),"")</calculatedColumnFormula>
    </tableColumn>
    <tableColumn id="39" name="МИНУТ" totalsRowFunction="sum" dataDxfId="736" totalsRowDxfId="735">
      <calculatedColumnFormula>IF(Июнь[[#This Row],[УСЛУГ]]&lt;&gt;"",Июнь[[#This Row],[УСЛУГ]]*Июнь[[#This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35.xml><?xml version="1.0" encoding="utf-8"?>
<table xmlns="http://schemas.openxmlformats.org/spreadsheetml/2006/main" id="10" name="ИюньИтоги" displayName="ИюньИтоги" ref="A12:AJ18" totalsRowShown="0" headerRowDxfId="734" dataDxfId="733" tableBorderDxfId="732">
  <autoFilter ref="A12:AJ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периодичность" dataDxfId="731"/>
    <tableColumn id="2" name="за неделю" dataDxfId="730">
      <calculatedColumnFormula>SUM(H24:L24)</calculatedColumnFormula>
    </tableColumn>
    <tableColumn id="3" name="всего минут" dataDxfId="729">
      <calculatedColumnFormula>ИюньИтоги[[#This Row],[№]]*60</calculatedColumnFormula>
    </tableColumn>
    <tableColumn id="4" name="№" dataDxfId="728"/>
    <tableColumn id="5" name="1" dataDxfId="727">
      <calculatedColumnFormula>SUM(E10:E20)</calculatedColumnFormula>
    </tableColumn>
    <tableColumn id="6" name="2" dataDxfId="726"/>
    <tableColumn id="7" name="3" dataDxfId="725"/>
    <tableColumn id="8" name="4" dataDxfId="724"/>
    <tableColumn id="9" name="5" dataDxfId="723"/>
    <tableColumn id="10" name="6" dataDxfId="722"/>
    <tableColumn id="11" name="7" dataDxfId="721"/>
    <tableColumn id="12" name="8" dataDxfId="720"/>
    <tableColumn id="13" name="9" dataDxfId="719"/>
    <tableColumn id="14" name="10" dataDxfId="718"/>
    <tableColumn id="15" name="11" dataDxfId="717"/>
    <tableColumn id="16" name="12" dataDxfId="716"/>
    <tableColumn id="17" name="13" dataDxfId="715"/>
    <tableColumn id="18" name="14" dataDxfId="714"/>
    <tableColumn id="19" name="15" dataDxfId="713"/>
    <tableColumn id="20" name="16" dataDxfId="712"/>
    <tableColumn id="21" name="17" dataDxfId="711"/>
    <tableColumn id="22" name="18" dataDxfId="710"/>
    <tableColumn id="23" name="19" dataDxfId="709"/>
    <tableColumn id="24" name="20" dataDxfId="708"/>
    <tableColumn id="25" name="21" dataDxfId="707"/>
    <tableColumn id="26" name="22" dataDxfId="706"/>
    <tableColumn id="27" name="23" dataDxfId="705"/>
    <tableColumn id="28" name="24" dataDxfId="704"/>
    <tableColumn id="29" name="25" dataDxfId="703"/>
    <tableColumn id="30" name="26" dataDxfId="702"/>
    <tableColumn id="31" name="27" dataDxfId="701"/>
    <tableColumn id="32" name="28" dataDxfId="700"/>
    <tableColumn id="33" name="29" dataDxfId="699"/>
    <tableColumn id="34" name="30" dataDxfId="698"/>
    <tableColumn id="35" name="УСЛУГ" dataDxfId="697">
      <calculatedColumnFormula>SUM(Сентябрь[УСЛУГ])</calculatedColumnFormula>
    </tableColumn>
    <tableColumn id="36" name="МИНУТ" dataDxfId="696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36.xml><?xml version="1.0" encoding="utf-8"?>
<table xmlns="http://schemas.openxmlformats.org/spreadsheetml/2006/main" id="47" name="ИюньГраф1" displayName="ИюньГраф1" ref="A13:P16" totalsRowShown="0" headerRowDxfId="693" dataDxfId="692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691">
      <calculatedColumnFormula>IF(Настройки!J2&lt;&gt;"",TEXT(Настройки!J2,"ч:мм")&amp;"-"&amp;TEXT(Настройки!J2+TIME(0,MAX(Июнь!E13:AH13),0),"ч:мм"),"")</calculatedColumnFormula>
    </tableColumn>
    <tableColumn id="2" name="1" dataDxfId="690">
      <calculatedColumnFormula>IF(TEXT(Настройки!$J2+TIME(0,Июнь!E13,0),"ч::мм")=TEXT(Настройки!$J2,"ч:мм"),"",TEXT(Настройки!$J2,"ч:мм")&amp;"-"&amp;TEXT(Настройки!$J2+TIME(0,Июнь!E13,0),"ч::мм"))</calculatedColumnFormula>
    </tableColumn>
    <tableColumn id="3" name="2" dataDxfId="689">
      <calculatedColumnFormula>IF(TEXT(Настройки!$J2+TIME(0,Июнь!F13,0),"ч::мм")=TEXT(Настройки!$J2,"ч:мм"),"",TEXT(Настройки!$J2,"ч:мм")&amp;"-"&amp;TEXT(Настройки!$J2+TIME(0,Июнь!F13,0),"ч::мм"))</calculatedColumnFormula>
    </tableColumn>
    <tableColumn id="4" name="3" dataDxfId="688">
      <calculatedColumnFormula>IF(TEXT(Настройки!$J2+TIME(0,Июнь!G13,0),"ч::мм")=TEXT(Настройки!$J2,"ч:мм"),"",TEXT(Настройки!$J2,"ч:мм")&amp;"-"&amp;TEXT(Настройки!$J2+TIME(0,Июнь!G13,0),"ч::мм"))</calculatedColumnFormula>
    </tableColumn>
    <tableColumn id="5" name="4" dataDxfId="687">
      <calculatedColumnFormula>IF(TEXT(Настройки!$J2+TIME(0,Июнь!H13,0),"ч::мм")=TEXT(Настройки!$J2,"ч:мм"),"",TEXT(Настройки!$J2,"ч:мм")&amp;"-"&amp;TEXT(Настройки!$J2+TIME(0,Июнь!H13,0),"ч::мм"))</calculatedColumnFormula>
    </tableColumn>
    <tableColumn id="6" name="5" dataDxfId="686">
      <calculatedColumnFormula>IF(TEXT(Настройки!$J2+TIME(0,Июнь!I13,0),"ч::мм")=TEXT(Настройки!$J2,"ч:мм"),"",TEXT(Настройки!$J2,"ч:мм")&amp;"-"&amp;TEXT(Настройки!$J2+TIME(0,Июнь!I13,0),"ч::мм"))</calculatedColumnFormula>
    </tableColumn>
    <tableColumn id="7" name="6" dataDxfId="685">
      <calculatedColumnFormula>IF(TEXT(Настройки!$J2+TIME(0,Июнь!J13,0),"ч::мм")=TEXT(Настройки!$J2,"ч:мм"),"",TEXT(Настройки!$J2,"ч:мм")&amp;"-"&amp;TEXT(Настройки!$J2+TIME(0,Июнь!J13,0),"ч::мм"))</calculatedColumnFormula>
    </tableColumn>
    <tableColumn id="8" name="7" dataDxfId="684">
      <calculatedColumnFormula>IF(TEXT(Настройки!$J2+TIME(0,Июнь!K13,0),"ч::мм")=TEXT(Настройки!$J2,"ч:мм"),"",TEXT(Настройки!$J2,"ч:мм")&amp;"-"&amp;TEXT(Настройки!$J2+TIME(0,Июнь!K13,0),"ч::мм"))</calculatedColumnFormula>
    </tableColumn>
    <tableColumn id="9" name="8" dataDxfId="683">
      <calculatedColumnFormula>IF(TEXT(Настройки!$J2+TIME(0,Июнь!L13,0),"ч::мм")=TEXT(Настройки!$J2,"ч:мм"),"",TEXT(Настройки!$J2,"ч:мм")&amp;"-"&amp;TEXT(Настройки!$J2+TIME(0,Июнь!L13,0),"ч::мм"))</calculatedColumnFormula>
    </tableColumn>
    <tableColumn id="10" name="9" dataDxfId="682">
      <calculatedColumnFormula>IF(TEXT(Настройки!$J2+TIME(0,Июнь!M13,0),"ч::мм")=TEXT(Настройки!$J2,"ч:мм"),"",TEXT(Настройки!$J2,"ч:мм")&amp;"-"&amp;TEXT(Настройки!$J2+TIME(0,Июнь!M13,0),"ч::мм"))</calculatedColumnFormula>
    </tableColumn>
    <tableColumn id="11" name="10" dataDxfId="681">
      <calculatedColumnFormula>IF(TEXT(Настройки!$J2+TIME(0,Июнь!N13,0),"ч::мм")=TEXT(Настройки!$J2,"ч:мм"),"",TEXT(Настройки!$J2,"ч:мм")&amp;"-"&amp;TEXT(Настройки!$J2+TIME(0,Июнь!N13,0),"ч::мм"))</calculatedColumnFormula>
    </tableColumn>
    <tableColumn id="12" name="11" dataDxfId="680">
      <calculatedColumnFormula>IF(TEXT(Настройки!$J2+TIME(0,Июнь!O13,0),"ч::мм")=TEXT(Настройки!$J2,"ч:мм"),"",TEXT(Настройки!$J2,"ч:мм")&amp;"-"&amp;TEXT(Настройки!$J2+TIME(0,Июнь!O13,0),"ч::мм"))</calculatedColumnFormula>
    </tableColumn>
    <tableColumn id="13" name="12" dataDxfId="679">
      <calculatedColumnFormula>IF(TEXT(Настройки!$J2+TIME(0,Июнь!P13,0),"ч::мм")=TEXT(Настройки!$J2,"ч:мм"),"",TEXT(Настройки!$J2,"ч:мм")&amp;"-"&amp;TEXT(Настройки!$J2+TIME(0,Июнь!P13,0),"ч::мм"))</calculatedColumnFormula>
    </tableColumn>
    <tableColumn id="14" name="13" dataDxfId="678">
      <calculatedColumnFormula>IF(TEXT(Настройки!$J2+TIME(0,Июнь!Q13,0),"ч::мм")=TEXT(Настройки!$J2,"ч:мм"),"",TEXT(Настройки!$J2,"ч:мм")&amp;"-"&amp;TEXT(Настройки!$J2+TIME(0,Июнь!Q13,0),"ч::мм"))</calculatedColumnFormula>
    </tableColumn>
    <tableColumn id="15" name="14" dataDxfId="677">
      <calculatedColumnFormula>IF(TEXT(Настройки!$J2+TIME(0,Июнь!R13,0),"ч::мм")=TEXT(Настройки!$J2,"ч:мм"),"",TEXT(Настройки!$J2,"ч:мм")&amp;"-"&amp;TEXT(Настройки!$J2+TIME(0,Июнь!R13,0),"ч::мм"))</calculatedColumnFormula>
    </tableColumn>
    <tableColumn id="16" name="15" dataDxfId="676">
      <calculatedColumnFormula>IF(TEXT(Настройки!$J2+TIME(0,Июнь!S13,0),"ч::мм")=TEXT(Настройки!$J2,"ч:мм"),"",TEXT(Настройки!$J2,"ч:мм")&amp;"-"&amp;TEXT(Настройки!$J2+TIME(0,Июнь!S13,0),"ч::мм"))</calculatedColumnFormula>
    </tableColumn>
  </tableColumns>
  <tableStyleInfo name="TableStyleLight15" showFirstColumn="0" showLastColumn="0" showRowStripes="0" showColumnStripes="1"/>
</table>
</file>

<file path=xl/tables/table37.xml><?xml version="1.0" encoding="utf-8"?>
<table xmlns="http://schemas.openxmlformats.org/spreadsheetml/2006/main" id="48" name="ИюньГраф2" displayName="ИюньГраф2" ref="A23:P26" totalsRowShown="0" headerRowDxfId="675" dataDxfId="674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673">
      <calculatedColumnFormula>A14</calculatedColumnFormula>
    </tableColumn>
    <tableColumn id="2" name="16" dataDxfId="672">
      <calculatedColumnFormula>IF(TEXT(Настройки!$J2+TIME(0,Июнь!T13,0),"ч::мм")=TEXT(Настройки!$J2,"ч:мм"),"",TEXT(Настройки!$J2,"ч:мм")&amp;"-"&amp;TEXT(Настройки!$J2+TIME(0,Июнь!T13,0),"ч::мм"))</calculatedColumnFormula>
    </tableColumn>
    <tableColumn id="3" name="17" dataDxfId="671">
      <calculatedColumnFormula>IF(TEXT(Настройки!$J2+TIME(0,Июнь!U13,0),"ч::мм")=TEXT(Настройки!$J2,"ч:мм"),"",TEXT(Настройки!$J2,"ч:мм")&amp;"-"&amp;TEXT(Настройки!$J2+TIME(0,Июнь!U13,0),"ч::мм"))</calculatedColumnFormula>
    </tableColumn>
    <tableColumn id="4" name="18" dataDxfId="670">
      <calculatedColumnFormula>IF(TEXT(Настройки!$J2+TIME(0,Июнь!V13,0),"ч::мм")=TEXT(Настройки!$J2,"ч:мм"),"",TEXT(Настройки!$J2,"ч:мм")&amp;"-"&amp;TEXT(Настройки!$J2+TIME(0,Июнь!V13,0),"ч::мм"))</calculatedColumnFormula>
    </tableColumn>
    <tableColumn id="5" name="19" dataDxfId="669">
      <calculatedColumnFormula>IF(TEXT(Настройки!$J2+TIME(0,Июнь!W13,0),"ч::мм")=TEXT(Настройки!$J2,"ч:мм"),"",TEXT(Настройки!$J2,"ч:мм")&amp;"-"&amp;TEXT(Настройки!$J2+TIME(0,Июнь!W13,0),"ч::мм"))</calculatedColumnFormula>
    </tableColumn>
    <tableColumn id="6" name="20" dataDxfId="668">
      <calculatedColumnFormula>IF(TEXT(Настройки!$J2+TIME(0,Июнь!X13,0),"ч::мм")=TEXT(Настройки!$J2,"ч:мм"),"",TEXT(Настройки!$J2,"ч:мм")&amp;"-"&amp;TEXT(Настройки!$J2+TIME(0,Июнь!X13,0),"ч::мм"))</calculatedColumnFormula>
    </tableColumn>
    <tableColumn id="7" name="21" dataDxfId="667">
      <calculatedColumnFormula>IF(TEXT(Настройки!$J2+TIME(0,Июнь!Y13,0),"ч::мм")=TEXT(Настройки!$J2,"ч:мм"),"",TEXT(Настройки!$J2,"ч:мм")&amp;"-"&amp;TEXT(Настройки!$J2+TIME(0,Июнь!Y13,0),"ч::мм"))</calculatedColumnFormula>
    </tableColumn>
    <tableColumn id="8" name="22" dataDxfId="666">
      <calculatedColumnFormula>IF(TEXT(Настройки!$J2+TIME(0,Июнь!Z13,0),"ч::мм")=TEXT(Настройки!$J2,"ч:мм"),"",TEXT(Настройки!$J2,"ч:мм")&amp;"-"&amp;TEXT(Настройки!$J2+TIME(0,Июнь!Z13,0),"ч::мм"))</calculatedColumnFormula>
    </tableColumn>
    <tableColumn id="9" name="23" dataDxfId="665">
      <calculatedColumnFormula>IF(TEXT(Настройки!$J2+TIME(0,Июнь!AA13,0),"ч::мм")=TEXT(Настройки!$J2,"ч:мм"),"",TEXT(Настройки!$J2,"ч:мм")&amp;"-"&amp;TEXT(Настройки!$J2+TIME(0,Июнь!AA13,0),"ч::мм"))</calculatedColumnFormula>
    </tableColumn>
    <tableColumn id="10" name="24" dataDxfId="664">
      <calculatedColumnFormula>IF(TEXT(Настройки!$J2+TIME(0,Июнь!AB13,0),"ч::мм")=TEXT(Настройки!$J2,"ч:мм"),"",TEXT(Настройки!$J2,"ч:мм")&amp;"-"&amp;TEXT(Настройки!$J2+TIME(0,Июнь!AB13,0),"ч::мм"))</calculatedColumnFormula>
    </tableColumn>
    <tableColumn id="11" name="25" dataDxfId="663">
      <calculatedColumnFormula>IF(TEXT(Настройки!$J2+TIME(0,Июнь!AC13,0),"ч::мм")=TEXT(Настройки!$J2,"ч:мм"),"",TEXT(Настройки!$J2,"ч:мм")&amp;"-"&amp;TEXT(Настройки!$J2+TIME(0,Июнь!AC13,0),"ч::мм"))</calculatedColumnFormula>
    </tableColumn>
    <tableColumn id="12" name="26" dataDxfId="662">
      <calculatedColumnFormula>IF(TEXT(Настройки!$J2+TIME(0,Июнь!AD13,0),"ч::мм")=TEXT(Настройки!$J2,"ч:мм"),"",TEXT(Настройки!$J2,"ч:мм")&amp;"-"&amp;TEXT(Настройки!$J2+TIME(0,Июнь!AD13,0),"ч::мм"))</calculatedColumnFormula>
    </tableColumn>
    <tableColumn id="13" name="27" dataDxfId="661">
      <calculatedColumnFormula>IF(TEXT(Настройки!$J2+TIME(0,Июнь!AE13,0),"ч::мм")=TEXT(Настройки!$J2,"ч:мм"),"",TEXT(Настройки!$J2,"ч:мм")&amp;"-"&amp;TEXT(Настройки!$J2+TIME(0,Июнь!AE13,0),"ч::мм"))</calculatedColumnFormula>
    </tableColumn>
    <tableColumn id="14" name="28" dataDxfId="660">
      <calculatedColumnFormula>IF(TEXT(Настройки!$J2+TIME(0,Июнь!AF13,0),"ч::мм")=TEXT(Настройки!$J2,"ч:мм"),"",TEXT(Настройки!$J2,"ч:мм")&amp;"-"&amp;TEXT(Настройки!$J2+TIME(0,Июнь!AF13,0),"ч::мм"))</calculatedColumnFormula>
    </tableColumn>
    <tableColumn id="15" name="29" dataDxfId="659">
      <calculatedColumnFormula>IF(TEXT(Настройки!$J2+TIME(0,Июнь!AG13,0),"ч::мм")=TEXT(Настройки!$J2,"ч:мм"),"",TEXT(Настройки!$J2,"ч:мм")&amp;"-"&amp;TEXT(Настройки!$J2+TIME(0,Июнь!AG13,0),"ч::мм"))</calculatedColumnFormula>
    </tableColumn>
    <tableColumn id="16" name="30" dataDxfId="658">
      <calculatedColumnFormula>IF(TEXT(Настройки!$J2+TIME(0,Июнь!AH13,0),"ч::мм")=TEXT(Настройки!$J2,"ч:мм"),"",TEXT(Настройки!$J2,"ч:мм")&amp;"-"&amp;TEXT(Настройки!$J2+TIME(0,Июнь!AH13,0),"ч::мм"))</calculatedColumnFormula>
    </tableColumn>
  </tableColumns>
  <tableStyleInfo name="TableStyleLight15" showFirstColumn="0" showLastColumn="0" showRowStripes="0" showColumnStripes="1"/>
</table>
</file>

<file path=xl/tables/table38.xml><?xml version="1.0" encoding="utf-8"?>
<table xmlns="http://schemas.openxmlformats.org/spreadsheetml/2006/main" id="7" name="Июль" displayName="Июль" ref="A25:AK28" headerRowDxfId="655" dataDxfId="654" totalsRowDxfId="653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652"/>
    <tableColumn id="2" name="Объем" dataDxfId="651" totalsRowDxfId="650">
      <calculatedColumnFormula>IF(Январь[[#This Row],[Объем]]&lt;&gt;"",Январь[[#This Row],[Объем]],"")</calculatedColumnFormula>
    </tableColumn>
    <tableColumn id="3" name="Периодичность" dataDxfId="649" totalsRowDxfId="648">
      <calculatedColumnFormula>IF(Январь[[#This Row],[Периодичность]]&lt;&gt;"",Январь[[#This Row],[Периодичность]],"")</calculatedColumnFormula>
    </tableColumn>
    <tableColumn id="4" name="№" dataDxfId="647" totalsRowDxfId="646"/>
    <tableColumn id="7" name="1"/>
    <tableColumn id="8" name="2"/>
    <tableColumn id="9" name="3"/>
    <tableColumn id="10" name="4" totalsRowDxfId="645"/>
    <tableColumn id="11" name="5" totalsRowDxfId="644"/>
    <tableColumn id="12" name="6" totalsRowDxfId="643"/>
    <tableColumn id="13" name="7"/>
    <tableColumn id="14" name="8"/>
    <tableColumn id="15" name="9"/>
    <tableColumn id="16" name="10"/>
    <tableColumn id="17" name="11" totalsRowDxfId="642"/>
    <tableColumn id="18" name="12" totalsRowDxfId="641"/>
    <tableColumn id="19" name="13" totalsRowDxfId="640"/>
    <tableColumn id="20" name="14"/>
    <tableColumn id="21" name="15"/>
    <tableColumn id="22" name="16"/>
    <tableColumn id="23" name="17"/>
    <tableColumn id="24" name="18" totalsRowDxfId="639"/>
    <tableColumn id="25" name="19" totalsRowDxfId="638"/>
    <tableColumn id="26" name="20" totalsRowDxfId="637"/>
    <tableColumn id="27" name="21"/>
    <tableColumn id="28" name="22"/>
    <tableColumn id="29" name="23"/>
    <tableColumn id="30" name="24"/>
    <tableColumn id="31" name="25" totalsRowDxfId="636"/>
    <tableColumn id="32" name="26" totalsRowDxfId="635"/>
    <tableColumn id="33" name="27" totalsRowDxfId="634"/>
    <tableColumn id="34" name="28"/>
    <tableColumn id="35" name="29"/>
    <tableColumn id="36" name="30"/>
    <tableColumn id="5" name="31"/>
    <tableColumn id="38" name="УСЛУГ" totalsRowFunction="sum" dataDxfId="633" totalsRowDxfId="632">
      <calculatedColumnFormula>IF(Июль[[#This Row],[№]]=1,SUM(Июль[[#This Row],[1]:[31]])+SUM(OFFSET(Июль[[#This Row],[1]:[31]],1,0))+SUM(OFFSET(Июль[[#This Row],[1]:[31]],2,0)),"")</calculatedColumnFormula>
    </tableColumn>
    <tableColumn id="39" name="МИНУТ" totalsRowFunction="sum" dataDxfId="631" totalsRowDxfId="630">
      <calculatedColumnFormula>IF(Июль[[#This Row],[УСЛУГ]]&lt;&gt;"",Июль[[#This Row],[УСЛУГ]]*Июль[[#This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39.xml><?xml version="1.0" encoding="utf-8"?>
<table xmlns="http://schemas.openxmlformats.org/spreadsheetml/2006/main" id="8" name="ИюльИтоги" displayName="ИюльИтоги" ref="A12:AK18" totalsRowShown="0" headerRowDxfId="629" dataDxfId="628" tableBorderDxfId="627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626"/>
    <tableColumn id="2" name="за неделю" dataDxfId="625">
      <calculatedColumnFormula>SUMPRODUCT((#REF!=1)*E16:AI16)</calculatedColumnFormula>
    </tableColumn>
    <tableColumn id="3" name="всего минут" dataDxfId="624">
      <calculatedColumnFormula>ИюльИтоги[[#This Row],[№]]*60</calculatedColumnFormula>
    </tableColumn>
    <tableColumn id="4" name="№" dataDxfId="623"/>
    <tableColumn id="5" name="1" dataDxfId="622">
      <calculatedColumnFormula>SUM(E10:E15)</calculatedColumnFormula>
    </tableColumn>
    <tableColumn id="6" name="2" dataDxfId="621"/>
    <tableColumn id="7" name="3" dataDxfId="620"/>
    <tableColumn id="8" name="4" dataDxfId="619"/>
    <tableColumn id="9" name="5" dataDxfId="618"/>
    <tableColumn id="10" name="6" dataDxfId="617"/>
    <tableColumn id="11" name="7" dataDxfId="616"/>
    <tableColumn id="12" name="8" dataDxfId="615"/>
    <tableColumn id="13" name="9" dataDxfId="614"/>
    <tableColumn id="14" name="10" dataDxfId="613"/>
    <tableColumn id="15" name="11" dataDxfId="612"/>
    <tableColumn id="16" name="12" dataDxfId="611"/>
    <tableColumn id="17" name="13" dataDxfId="610"/>
    <tableColumn id="18" name="14" dataDxfId="609"/>
    <tableColumn id="19" name="15" dataDxfId="608"/>
    <tableColumn id="20" name="16" dataDxfId="607"/>
    <tableColumn id="21" name="17" dataDxfId="606"/>
    <tableColumn id="22" name="18" dataDxfId="605"/>
    <tableColumn id="23" name="19" dataDxfId="604"/>
    <tableColumn id="24" name="20" dataDxfId="603"/>
    <tableColumn id="25" name="21" dataDxfId="602"/>
    <tableColumn id="26" name="22" dataDxfId="601"/>
    <tableColumn id="27" name="23" dataDxfId="600"/>
    <tableColumn id="28" name="24" dataDxfId="599"/>
    <tableColumn id="29" name="25" dataDxfId="598"/>
    <tableColumn id="30" name="26" dataDxfId="597"/>
    <tableColumn id="31" name="27" dataDxfId="596"/>
    <tableColumn id="32" name="28" dataDxfId="595"/>
    <tableColumn id="33" name="29" dataDxfId="594"/>
    <tableColumn id="34" name="30" dataDxfId="593"/>
    <tableColumn id="37" name="31" dataDxfId="592">
      <calculatedColumnFormula>SUMPRODUCT((Август[№]=1)*Август[31],Август[Периодичность])</calculatedColumnFormula>
    </tableColumn>
    <tableColumn id="35" name="УСЛУГ" dataDxfId="591">
      <calculatedColumnFormula>SUM(Сентябрь[УСЛУГ])</calculatedColumnFormula>
    </tableColumn>
    <tableColumn id="36" name="МИНУТ" dataDxfId="590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40.xml><?xml version="1.0" encoding="utf-8"?>
<table xmlns="http://schemas.openxmlformats.org/spreadsheetml/2006/main" id="50" name="ИюльГраф1" displayName="ИюльГраф1" ref="A13:P16" totalsRowShown="0" headerRowDxfId="586" dataDxfId="585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584">
      <calculatedColumnFormula>IF(Настройки!J2&lt;&gt;"",TEXT(Настройки!J2,"ч:мм")&amp;"-"&amp;TEXT(Настройки!J2+TIME(0,MAX(Июль!E13:AI13),0),"ч:мм"),"")</calculatedColumnFormula>
    </tableColumn>
    <tableColumn id="2" name="1" dataDxfId="583">
      <calculatedColumnFormula>IF(TEXT(Настройки!$J2+TIME(0,Июль!E13,0),"ч::мм")=TEXT(Настройки!$J2,"ч:мм"),"",TEXT(Настройки!$J2,"ч:мм")&amp;"-"&amp;TEXT(Настройки!$J2+TIME(0,Июль!E13,0),"ч::мм"))</calculatedColumnFormula>
    </tableColumn>
    <tableColumn id="3" name="2" dataDxfId="582">
      <calculatedColumnFormula>IF(TEXT(Настройки!$J2+TIME(0,Июль!F13,0),"ч::мм")=TEXT(Настройки!$J2,"ч:мм"),"",TEXT(Настройки!$J2,"ч:мм")&amp;"-"&amp;TEXT(Настройки!$J2+TIME(0,Июль!F13,0),"ч::мм"))</calculatedColumnFormula>
    </tableColumn>
    <tableColumn id="4" name="3" dataDxfId="581">
      <calculatedColumnFormula>IF(TEXT(Настройки!$J2+TIME(0,Июль!G13,0),"ч::мм")=TEXT(Настройки!$J2,"ч:мм"),"",TEXT(Настройки!$J2,"ч:мм")&amp;"-"&amp;TEXT(Настройки!$J2+TIME(0,Июль!G13,0),"ч::мм"))</calculatedColumnFormula>
    </tableColumn>
    <tableColumn id="5" name="4" dataDxfId="580">
      <calculatedColumnFormula>IF(TEXT(Настройки!$J2+TIME(0,Июль!H13,0),"ч::мм")=TEXT(Настройки!$J2,"ч:мм"),"",TEXT(Настройки!$J2,"ч:мм")&amp;"-"&amp;TEXT(Настройки!$J2+TIME(0,Июль!H13,0),"ч::мм"))</calculatedColumnFormula>
    </tableColumn>
    <tableColumn id="6" name="5" dataDxfId="579">
      <calculatedColumnFormula>IF(TEXT(Настройки!$J2+TIME(0,Июль!I13,0),"ч::мм")=TEXT(Настройки!$J2,"ч:мм"),"",TEXT(Настройки!$J2,"ч:мм")&amp;"-"&amp;TEXT(Настройки!$J2+TIME(0,Июль!I13,0),"ч::мм"))</calculatedColumnFormula>
    </tableColumn>
    <tableColumn id="7" name="6" dataDxfId="578">
      <calculatedColumnFormula>IF(TEXT(Настройки!$J2+TIME(0,Июль!J13,0),"ч::мм")=TEXT(Настройки!$J2,"ч:мм"),"",TEXT(Настройки!$J2,"ч:мм")&amp;"-"&amp;TEXT(Настройки!$J2+TIME(0,Июль!J13,0),"ч::мм"))</calculatedColumnFormula>
    </tableColumn>
    <tableColumn id="8" name="7" dataDxfId="577">
      <calculatedColumnFormula>IF(TEXT(Настройки!$J2+TIME(0,Июль!K13,0),"ч::мм")=TEXT(Настройки!$J2,"ч:мм"),"",TEXT(Настройки!$J2,"ч:мм")&amp;"-"&amp;TEXT(Настройки!$J2+TIME(0,Июль!K13,0),"ч::мм"))</calculatedColumnFormula>
    </tableColumn>
    <tableColumn id="9" name="8" dataDxfId="576">
      <calculatedColumnFormula>IF(TEXT(Настройки!$J2+TIME(0,Июль!L13,0),"ч::мм")=TEXT(Настройки!$J2,"ч:мм"),"",TEXT(Настройки!$J2,"ч:мм")&amp;"-"&amp;TEXT(Настройки!$J2+TIME(0,Июль!L13,0),"ч::мм"))</calculatedColumnFormula>
    </tableColumn>
    <tableColumn id="10" name="9" dataDxfId="575">
      <calculatedColumnFormula>IF(TEXT(Настройки!$J2+TIME(0,Июль!M13,0),"ч::мм")=TEXT(Настройки!$J2,"ч:мм"),"",TEXT(Настройки!$J2,"ч:мм")&amp;"-"&amp;TEXT(Настройки!$J2+TIME(0,Июль!M13,0),"ч::мм"))</calculatedColumnFormula>
    </tableColumn>
    <tableColumn id="11" name="10" dataDxfId="574">
      <calculatedColumnFormula>IF(TEXT(Настройки!$J2+TIME(0,Июль!N13,0),"ч::мм")=TEXT(Настройки!$J2,"ч:мм"),"",TEXT(Настройки!$J2,"ч:мм")&amp;"-"&amp;TEXT(Настройки!$J2+TIME(0,Июль!N13,0),"ч::мм"))</calculatedColumnFormula>
    </tableColumn>
    <tableColumn id="12" name="11" dataDxfId="573">
      <calculatedColumnFormula>IF(TEXT(Настройки!$J2+TIME(0,Июль!O13,0),"ч::мм")=TEXT(Настройки!$J2,"ч:мм"),"",TEXT(Настройки!$J2,"ч:мм")&amp;"-"&amp;TEXT(Настройки!$J2+TIME(0,Июль!O13,0),"ч::мм"))</calculatedColumnFormula>
    </tableColumn>
    <tableColumn id="13" name="12" dataDxfId="572">
      <calculatedColumnFormula>IF(TEXT(Настройки!$J2+TIME(0,Июль!P13,0),"ч::мм")=TEXT(Настройки!$J2,"ч:мм"),"",TEXT(Настройки!$J2,"ч:мм")&amp;"-"&amp;TEXT(Настройки!$J2+TIME(0,Июль!P13,0),"ч::мм"))</calculatedColumnFormula>
    </tableColumn>
    <tableColumn id="14" name="13" dataDxfId="571">
      <calculatedColumnFormula>IF(TEXT(Настройки!$J2+TIME(0,Июль!Q13,0),"ч::мм")=TEXT(Настройки!$J2,"ч:мм"),"",TEXT(Настройки!$J2,"ч:мм")&amp;"-"&amp;TEXT(Настройки!$J2+TIME(0,Июль!Q13,0),"ч::мм"))</calculatedColumnFormula>
    </tableColumn>
    <tableColumn id="15" name="14" dataDxfId="570">
      <calculatedColumnFormula>IF(TEXT(Настройки!$J2+TIME(0,Июль!R13,0),"ч::мм")=TEXT(Настройки!$J2,"ч:мм"),"",TEXT(Настройки!$J2,"ч:мм")&amp;"-"&amp;TEXT(Настройки!$J2+TIME(0,Июль!R13,0),"ч::мм"))</calculatedColumnFormula>
    </tableColumn>
    <tableColumn id="16" name="15" dataDxfId="569">
      <calculatedColumnFormula>IF(TEXT(Настройки!$J2+TIME(0,Июль!S13,0),"ч::мм")=TEXT(Настройки!$J2,"ч:мм"),"",TEXT(Настройки!$J2,"ч:мм")&amp;"-"&amp;TEXT(Настройки!$J2+TIME(0,Июль!S13,0),"ч::мм"))</calculatedColumnFormula>
    </tableColumn>
  </tableColumns>
  <tableStyleInfo name="TableStyleLight15" showFirstColumn="0" showLastColumn="0" showRowStripes="0" showColumnStripes="1"/>
</table>
</file>

<file path=xl/tables/table41.xml><?xml version="1.0" encoding="utf-8"?>
<table xmlns="http://schemas.openxmlformats.org/spreadsheetml/2006/main" id="51" name="ИюльГраф2" displayName="ИюльГраф2" ref="A23:P26" totalsRowShown="0" headerRowDxfId="568" dataDxfId="567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566">
      <calculatedColumnFormula>A14</calculatedColumnFormula>
    </tableColumn>
    <tableColumn id="2" name="16" dataDxfId="565">
      <calculatedColumnFormula>IF(TEXT(Настройки!$J2+TIME(0,Июль!T13,0),"ч::мм")=TEXT(Настройки!$J2,"ч:мм"),"",TEXT(Настройки!$J2,"ч:мм")&amp;"-"&amp;TEXT(Настройки!$J2+TIME(0,Июль!T13,0),"ч::мм"))</calculatedColumnFormula>
    </tableColumn>
    <tableColumn id="3" name="17" dataDxfId="564">
      <calculatedColumnFormula>IF(TEXT(Настройки!$J2+TIME(0,Июль!U13,0),"ч::мм")=TEXT(Настройки!$J2,"ч:мм"),"",TEXT(Настройки!$J2,"ч:мм")&amp;"-"&amp;TEXT(Настройки!$J2+TIME(0,Июль!U13,0),"ч::мм"))</calculatedColumnFormula>
    </tableColumn>
    <tableColumn id="4" name="18" dataDxfId="563">
      <calculatedColumnFormula>IF(TEXT(Настройки!$J2+TIME(0,Июль!V13,0),"ч::мм")=TEXT(Настройки!$J2,"ч:мм"),"",TEXT(Настройки!$J2,"ч:мм")&amp;"-"&amp;TEXT(Настройки!$J2+TIME(0,Июль!V13,0),"ч::мм"))</calculatedColumnFormula>
    </tableColumn>
    <tableColumn id="5" name="19" dataDxfId="562">
      <calculatedColumnFormula>IF(TEXT(Настройки!$J2+TIME(0,Июль!W13,0),"ч::мм")=TEXT(Настройки!$J2,"ч:мм"),"",TEXT(Настройки!$J2,"ч:мм")&amp;"-"&amp;TEXT(Настройки!$J2+TIME(0,Июль!W13,0),"ч::мм"))</calculatedColumnFormula>
    </tableColumn>
    <tableColumn id="6" name="20" dataDxfId="561">
      <calculatedColumnFormula>IF(TEXT(Настройки!$J2+TIME(0,Июль!X13,0),"ч::мм")=TEXT(Настройки!$J2,"ч:мм"),"",TEXT(Настройки!$J2,"ч:мм")&amp;"-"&amp;TEXT(Настройки!$J2+TIME(0,Июль!X13,0),"ч::мм"))</calculatedColumnFormula>
    </tableColumn>
    <tableColumn id="7" name="21" dataDxfId="560">
      <calculatedColumnFormula>IF(TEXT(Настройки!$J2+TIME(0,Июль!Y13,0),"ч::мм")=TEXT(Настройки!$J2,"ч:мм"),"",TEXT(Настройки!$J2,"ч:мм")&amp;"-"&amp;TEXT(Настройки!$J2+TIME(0,Июль!Y13,0),"ч::мм"))</calculatedColumnFormula>
    </tableColumn>
    <tableColumn id="8" name="22" dataDxfId="559">
      <calculatedColumnFormula>IF(TEXT(Настройки!$J2+TIME(0,Июль!Z13,0),"ч::мм")=TEXT(Настройки!$J2,"ч:мм"),"",TEXT(Настройки!$J2,"ч:мм")&amp;"-"&amp;TEXT(Настройки!$J2+TIME(0,Июль!Z13,0),"ч::мм"))</calculatedColumnFormula>
    </tableColumn>
    <tableColumn id="9" name="23" dataDxfId="558">
      <calculatedColumnFormula>IF(TEXT(Настройки!$J2+TIME(0,Июль!AA13,0),"ч::мм")=TEXT(Настройки!$J2,"ч:мм"),"",TEXT(Настройки!$J2,"ч:мм")&amp;"-"&amp;TEXT(Настройки!$J2+TIME(0,Июль!AA13,0),"ч::мм"))</calculatedColumnFormula>
    </tableColumn>
    <tableColumn id="10" name="24" dataDxfId="557">
      <calculatedColumnFormula>IF(TEXT(Настройки!$J2+TIME(0,Июль!AB13,0),"ч::мм")=TEXT(Настройки!$J2,"ч:мм"),"",TEXT(Настройки!$J2,"ч:мм")&amp;"-"&amp;TEXT(Настройки!$J2+TIME(0,Июль!AB13,0),"ч::мм"))</calculatedColumnFormula>
    </tableColumn>
    <tableColumn id="11" name="25" dataDxfId="556">
      <calculatedColumnFormula>IF(TEXT(Настройки!$J2+TIME(0,Июль!AC13,0),"ч::мм")=TEXT(Настройки!$J2,"ч:мм"),"",TEXT(Настройки!$J2,"ч:мм")&amp;"-"&amp;TEXT(Настройки!$J2+TIME(0,Июль!AC13,0),"ч::мм"))</calculatedColumnFormula>
    </tableColumn>
    <tableColumn id="12" name="26" dataDxfId="555">
      <calculatedColumnFormula>IF(TEXT(Настройки!$J2+TIME(0,Июль!AD13,0),"ч::мм")=TEXT(Настройки!$J2,"ч:мм"),"",TEXT(Настройки!$J2,"ч:мм")&amp;"-"&amp;TEXT(Настройки!$J2+TIME(0,Июль!AD13,0),"ч::мм"))</calculatedColumnFormula>
    </tableColumn>
    <tableColumn id="13" name="27" dataDxfId="554">
      <calculatedColumnFormula>IF(TEXT(Настройки!$J2+TIME(0,Июль!AE13,0),"ч::мм")=TEXT(Настройки!$J2,"ч:мм"),"",TEXT(Настройки!$J2,"ч:мм")&amp;"-"&amp;TEXT(Настройки!$J2+TIME(0,Июль!AE13,0),"ч::мм"))</calculatedColumnFormula>
    </tableColumn>
    <tableColumn id="14" name="28" dataDxfId="553">
      <calculatedColumnFormula>IF(TEXT(Настройки!$J2+TIME(0,Июль!AF13,0),"ч::мм")=TEXT(Настройки!$J2,"ч:мм"),"",TEXT(Настройки!$J2,"ч:мм")&amp;"-"&amp;TEXT(Настройки!$J2+TIME(0,Июль!AF13,0),"ч::мм"))</calculatedColumnFormula>
    </tableColumn>
    <tableColumn id="15" name="29" dataDxfId="552">
      <calculatedColumnFormula>IF(TEXT(Настройки!$J2+TIME(0,Июль!AG13,0),"ч::мм")=TEXT(Настройки!$J2,"ч:мм"),"",TEXT(Настройки!$J2,"ч:мм")&amp;"-"&amp;TEXT(Настройки!$J2+TIME(0,Июль!AG13,0),"ч::мм"))</calculatedColumnFormula>
    </tableColumn>
    <tableColumn id="16" name="30" dataDxfId="551">
      <calculatedColumnFormula>IF(TEXT(Настройки!$J2+TIME(0,Июль!AH13,0),"ч::мм")=TEXT(Настройки!$J2,"ч:мм"),"",TEXT(Настройки!$J2,"ч:мм")&amp;"-"&amp;TEXT(Настройки!$J2+TIME(0,Июль!AH13,0),"ч::мм"))</calculatedColumnFormula>
    </tableColumn>
  </tableColumns>
  <tableStyleInfo name="TableStyleLight15" showFirstColumn="0" showLastColumn="0" showRowStripes="0" showColumnStripes="1"/>
</table>
</file>

<file path=xl/tables/table42.xml><?xml version="1.0" encoding="utf-8"?>
<table xmlns="http://schemas.openxmlformats.org/spreadsheetml/2006/main" id="52" name="ИюльГраф3" displayName="ИюльГраф3" ref="A33:B36" totalsRowShown="0" headerRowDxfId="550" dataDxfId="549" tableBorderDxfId="548">
  <autoFilter ref="A33:B36">
    <filterColumn colId="0" hiddenButton="1"/>
    <filterColumn colId="1" hiddenButton="1"/>
  </autoFilter>
  <tableColumns count="2">
    <tableColumn id="1" name="Посещение" dataDxfId="547">
      <calculatedColumnFormula>A14</calculatedColumnFormula>
    </tableColumn>
    <tableColumn id="2" name="31" dataDxfId="546">
      <calculatedColumnFormula>IF(TEXT(Настройки!$J2+TIME(0,Июль!AI13,0),"ч::мм")=TEXT(Настройки!$J2,"ч:мм"),"",TEXT(Настройки!$J2,"ч:мм")&amp;"-"&amp;TEXT(Настройки!$J2+TIME(0,Июль!AI13,0),"ч::мм"))</calculatedColumnFormula>
    </tableColumn>
  </tableColumns>
  <tableStyleInfo name="TableStyleLight15" showFirstColumn="0" showLastColumn="0" showRowStripes="0" showColumnStripes="1"/>
</table>
</file>

<file path=xl/tables/table43.xml><?xml version="1.0" encoding="utf-8"?>
<table xmlns="http://schemas.openxmlformats.org/spreadsheetml/2006/main" id="4" name="Август" displayName="Август" ref="A25:AK28" headerRowDxfId="543" dataDxfId="542" totalsRowDxfId="541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540"/>
    <tableColumn id="2" name="Объем" dataDxfId="539" totalsRowDxfId="538">
      <calculatedColumnFormula>IF(Январь[[#This Row],[Объем]]&lt;&gt;"",Январь[[#This Row],[Объем]],"")</calculatedColumnFormula>
    </tableColumn>
    <tableColumn id="3" name="Периодичность" dataDxfId="537" totalsRowDxfId="536">
      <calculatedColumnFormula>IF(Январь[[#This Row],[Периодичность]]&lt;&gt;"",Январь[[#This Row],[Периодичность]],"")</calculatedColumnFormula>
    </tableColumn>
    <tableColumn id="4" name="№" dataDxfId="535" totalsRowDxfId="534"/>
    <tableColumn id="7" name="1"/>
    <tableColumn id="8" name="2"/>
    <tableColumn id="9" name="3"/>
    <tableColumn id="10" name="4" totalsRowDxfId="533"/>
    <tableColumn id="11" name="5" totalsRowDxfId="532"/>
    <tableColumn id="12" name="6" totalsRowDxfId="531"/>
    <tableColumn id="13" name="7"/>
    <tableColumn id="14" name="8"/>
    <tableColumn id="15" name="9"/>
    <tableColumn id="16" name="10"/>
    <tableColumn id="17" name="11" totalsRowDxfId="530"/>
    <tableColumn id="18" name="12" totalsRowDxfId="529"/>
    <tableColumn id="19" name="13" totalsRowDxfId="528"/>
    <tableColumn id="20" name="14"/>
    <tableColumn id="21" name="15"/>
    <tableColumn id="22" name="16"/>
    <tableColumn id="23" name="17"/>
    <tableColumn id="24" name="18" totalsRowDxfId="527"/>
    <tableColumn id="25" name="19" totalsRowDxfId="526"/>
    <tableColumn id="26" name="20" totalsRowDxfId="525"/>
    <tableColumn id="27" name="21"/>
    <tableColumn id="28" name="22"/>
    <tableColumn id="29" name="23"/>
    <tableColumn id="30" name="24"/>
    <tableColumn id="31" name="25" totalsRowDxfId="524"/>
    <tableColumn id="32" name="26" totalsRowDxfId="523"/>
    <tableColumn id="33" name="27" totalsRowDxfId="522"/>
    <tableColumn id="34" name="28"/>
    <tableColumn id="35" name="29"/>
    <tableColumn id="36" name="30"/>
    <tableColumn id="5" name="31"/>
    <tableColumn id="38" name="УСЛУГ" totalsRowFunction="sum" dataDxfId="521" totalsRowDxfId="520">
      <calculatedColumnFormula>IF(Август[[#This Row],[№]]=1,SUM(Август[[#This Row],[1]:[31]])+SUM(OFFSET(Август[[#This Row],[1]:[31]],1,0))+SUM(OFFSET(Август[[#This Row],[1]:[31]],2,0)),"")</calculatedColumnFormula>
    </tableColumn>
    <tableColumn id="39" name="МИНУТ" totalsRowFunction="sum" dataDxfId="519" totalsRowDxfId="518">
      <calculatedColumnFormula>IF(Август[[#This Row],[УСЛУГ]]&lt;&gt;"",Август[[#This Row],[УСЛУГ]]*Август[[#This Row],[Периодичность]],"")</calculatedColumnFormula>
    </tableColumn>
  </tableColumns>
  <tableStyleInfo name="TableStyleLight15" showFirstColumn="0" showLastColumn="0" showRowStripes="1" showColumnStripes="0"/>
</table>
</file>

<file path=xl/tables/table44.xml><?xml version="1.0" encoding="utf-8"?>
<table xmlns="http://schemas.openxmlformats.org/spreadsheetml/2006/main" id="5" name="АвгустИтоги" displayName="АвгустИтоги" ref="A12:AK18" totalsRowShown="0" headerRowDxfId="517" dataDxfId="516" tableBorderDxfId="515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514"/>
    <tableColumn id="2" name="за неделю" dataDxfId="513">
      <calculatedColumnFormula>SUM(E16:H16)</calculatedColumnFormula>
    </tableColumn>
    <tableColumn id="3" name="всего минут" dataDxfId="512">
      <calculatedColumnFormula>АвгустИтоги[[#This Row],[№]]*60</calculatedColumnFormula>
    </tableColumn>
    <tableColumn id="4" name="№" dataDxfId="511"/>
    <tableColumn id="5" name="1" dataDxfId="510">
      <calculatedColumnFormula>SUM(E10:E16)</calculatedColumnFormula>
    </tableColumn>
    <tableColumn id="6" name="2" dataDxfId="509"/>
    <tableColumn id="7" name="3" dataDxfId="508"/>
    <tableColumn id="8" name="4" dataDxfId="507"/>
    <tableColumn id="9" name="5" dataDxfId="506"/>
    <tableColumn id="10" name="6" dataDxfId="505"/>
    <tableColumn id="11" name="7" dataDxfId="504"/>
    <tableColumn id="12" name="8" dataDxfId="503"/>
    <tableColumn id="13" name="9" dataDxfId="502"/>
    <tableColumn id="14" name="10" dataDxfId="501"/>
    <tableColumn id="15" name="11" dataDxfId="500"/>
    <tableColumn id="16" name="12" dataDxfId="499"/>
    <tableColumn id="17" name="13" dataDxfId="498"/>
    <tableColumn id="18" name="14" dataDxfId="497"/>
    <tableColumn id="19" name="15" dataDxfId="496"/>
    <tableColumn id="20" name="16" dataDxfId="495"/>
    <tableColumn id="21" name="17" dataDxfId="494"/>
    <tableColumn id="22" name="18" dataDxfId="493"/>
    <tableColumn id="23" name="19" dataDxfId="492"/>
    <tableColumn id="24" name="20" dataDxfId="491"/>
    <tableColumn id="25" name="21" dataDxfId="490"/>
    <tableColumn id="26" name="22" dataDxfId="489"/>
    <tableColumn id="27" name="23" dataDxfId="488"/>
    <tableColumn id="28" name="24" dataDxfId="487"/>
    <tableColumn id="29" name="25" dataDxfId="486"/>
    <tableColumn id="30" name="26" dataDxfId="485"/>
    <tableColumn id="31" name="27" dataDxfId="484"/>
    <tableColumn id="32" name="28" dataDxfId="483"/>
    <tableColumn id="33" name="29" dataDxfId="482"/>
    <tableColumn id="34" name="30" dataDxfId="481"/>
    <tableColumn id="37" name="31" dataDxfId="480">
      <calculatedColumnFormula>SUMPRODUCT((Август[№]=1)*Август[31],Август[Периодичность])</calculatedColumnFormula>
    </tableColumn>
    <tableColumn id="35" name="УСЛУГ" dataDxfId="479">
      <calculatedColumnFormula>SUM(Сентябрь[УСЛУГ])</calculatedColumnFormula>
    </tableColumn>
    <tableColumn id="36" name="МИНУТ" dataDxfId="478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45.xml><?xml version="1.0" encoding="utf-8"?>
<table xmlns="http://schemas.openxmlformats.org/spreadsheetml/2006/main" id="53" name="АвгустГраф1" displayName="АвгустГраф1" ref="A13:P16" totalsRowShown="0" headerRowDxfId="474" dataDxfId="473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472">
      <calculatedColumnFormula>IF(Настройки!J2&lt;&gt;"",TEXT(Настройки!J2,"ч:мм")&amp;"-"&amp;TEXT(Настройки!J2+TIME(0,MAX(Август!E13:AI13),0),"ч:мм"),"")</calculatedColumnFormula>
    </tableColumn>
    <tableColumn id="2" name="1" dataDxfId="471">
      <calculatedColumnFormula>IF(TEXT(Настройки!$J2+TIME(0,Август!E13,0),"ч::мм")=TEXT(Настройки!$J2,"ч:мм"),"",TEXT(Настройки!$J2,"ч:мм")&amp;"-"&amp;TEXT(Настройки!$J2+TIME(0,Август!E13,0),"ч::мм"))</calculatedColumnFormula>
    </tableColumn>
    <tableColumn id="3" name="2" dataDxfId="470">
      <calculatedColumnFormula>IF(TEXT(Настройки!$J2+TIME(0,Август!F13,0),"ч::мм")=TEXT(Настройки!$J2,"ч:мм"),"",TEXT(Настройки!$J2,"ч:мм")&amp;"-"&amp;TEXT(Настройки!$J2+TIME(0,Август!F13,0),"ч::мм"))</calculatedColumnFormula>
    </tableColumn>
    <tableColumn id="4" name="3" dataDxfId="469">
      <calculatedColumnFormula>IF(TEXT(Настройки!$J2+TIME(0,Август!G13,0),"ч::мм")=TEXT(Настройки!$J2,"ч:мм"),"",TEXT(Настройки!$J2,"ч:мм")&amp;"-"&amp;TEXT(Настройки!$J2+TIME(0,Август!G13,0),"ч::мм"))</calculatedColumnFormula>
    </tableColumn>
    <tableColumn id="5" name="4" dataDxfId="468">
      <calculatedColumnFormula>IF(TEXT(Настройки!$J2+TIME(0,Август!H13,0),"ч::мм")=TEXT(Настройки!$J2,"ч:мм"),"",TEXT(Настройки!$J2,"ч:мм")&amp;"-"&amp;TEXT(Настройки!$J2+TIME(0,Август!H13,0),"ч::мм"))</calculatedColumnFormula>
    </tableColumn>
    <tableColumn id="6" name="5" dataDxfId="467">
      <calculatedColumnFormula>IF(TEXT(Настройки!$J2+TIME(0,Август!I13,0),"ч::мм")=TEXT(Настройки!$J2,"ч:мм"),"",TEXT(Настройки!$J2,"ч:мм")&amp;"-"&amp;TEXT(Настройки!$J2+TIME(0,Август!I13,0),"ч::мм"))</calculatedColumnFormula>
    </tableColumn>
    <tableColumn id="7" name="6" dataDxfId="466">
      <calculatedColumnFormula>IF(TEXT(Настройки!$J2+TIME(0,Август!J13,0),"ч::мм")=TEXT(Настройки!$J2,"ч:мм"),"",TEXT(Настройки!$J2,"ч:мм")&amp;"-"&amp;TEXT(Настройки!$J2+TIME(0,Август!J13,0),"ч::мм"))</calculatedColumnFormula>
    </tableColumn>
    <tableColumn id="8" name="7" dataDxfId="465">
      <calculatedColumnFormula>IF(TEXT(Настройки!$J2+TIME(0,Август!K13,0),"ч::мм")=TEXT(Настройки!$J2,"ч:мм"),"",TEXT(Настройки!$J2,"ч:мм")&amp;"-"&amp;TEXT(Настройки!$J2+TIME(0,Август!K13,0),"ч::мм"))</calculatedColumnFormula>
    </tableColumn>
    <tableColumn id="9" name="8" dataDxfId="464">
      <calculatedColumnFormula>IF(TEXT(Настройки!$J2+TIME(0,Август!L13,0),"ч::мм")=TEXT(Настройки!$J2,"ч:мм"),"",TEXT(Настройки!$J2,"ч:мм")&amp;"-"&amp;TEXT(Настройки!$J2+TIME(0,Август!L13,0),"ч::мм"))</calculatedColumnFormula>
    </tableColumn>
    <tableColumn id="10" name="9" dataDxfId="463">
      <calculatedColumnFormula>IF(TEXT(Настройки!$J2+TIME(0,Август!M13,0),"ч::мм")=TEXT(Настройки!$J2,"ч:мм"),"",TEXT(Настройки!$J2,"ч:мм")&amp;"-"&amp;TEXT(Настройки!$J2+TIME(0,Август!M13,0),"ч::мм"))</calculatedColumnFormula>
    </tableColumn>
    <tableColumn id="11" name="10" dataDxfId="462">
      <calculatedColumnFormula>IF(TEXT(Настройки!$J2+TIME(0,Август!N13,0),"ч::мм")=TEXT(Настройки!$J2,"ч:мм"),"",TEXT(Настройки!$J2,"ч:мм")&amp;"-"&amp;TEXT(Настройки!$J2+TIME(0,Август!N13,0),"ч::мм"))</calculatedColumnFormula>
    </tableColumn>
    <tableColumn id="12" name="11" dataDxfId="461">
      <calculatedColumnFormula>IF(TEXT(Настройки!$J2+TIME(0,Август!O13,0),"ч::мм")=TEXT(Настройки!$J2,"ч:мм"),"",TEXT(Настройки!$J2,"ч:мм")&amp;"-"&amp;TEXT(Настройки!$J2+TIME(0,Август!O13,0),"ч::мм"))</calculatedColumnFormula>
    </tableColumn>
    <tableColumn id="13" name="12" dataDxfId="460">
      <calculatedColumnFormula>IF(TEXT(Настройки!$J2+TIME(0,Август!P13,0),"ч::мм")=TEXT(Настройки!$J2,"ч:мм"),"",TEXT(Настройки!$J2,"ч:мм")&amp;"-"&amp;TEXT(Настройки!$J2+TIME(0,Август!P13,0),"ч::мм"))</calculatedColumnFormula>
    </tableColumn>
    <tableColumn id="14" name="13" dataDxfId="459">
      <calculatedColumnFormula>IF(TEXT(Настройки!$J2+TIME(0,Август!Q13,0),"ч::мм")=TEXT(Настройки!$J2,"ч:мм"),"",TEXT(Настройки!$J2,"ч:мм")&amp;"-"&amp;TEXT(Настройки!$J2+TIME(0,Август!Q13,0),"ч::мм"))</calculatedColumnFormula>
    </tableColumn>
    <tableColumn id="15" name="14" dataDxfId="458">
      <calculatedColumnFormula>IF(TEXT(Настройки!$J2+TIME(0,Август!R13,0),"ч::мм")=TEXT(Настройки!$J2,"ч:мм"),"",TEXT(Настройки!$J2,"ч:мм")&amp;"-"&amp;TEXT(Настройки!$J2+TIME(0,Август!R13,0),"ч::мм"))</calculatedColumnFormula>
    </tableColumn>
    <tableColumn id="16" name="15" dataDxfId="457">
      <calculatedColumnFormula>IF(TEXT(Настройки!$J2+TIME(0,Август!S13,0),"ч::мм")=TEXT(Настройки!$J2,"ч:мм"),"",TEXT(Настройки!$J2,"ч:мм")&amp;"-"&amp;TEXT(Настройки!$J2+TIME(0,Август!S13,0),"ч::мм"))</calculatedColumnFormula>
    </tableColumn>
  </tableColumns>
  <tableStyleInfo name="TableStyleLight15" showFirstColumn="0" showLastColumn="0" showRowStripes="0" showColumnStripes="1"/>
</table>
</file>

<file path=xl/tables/table46.xml><?xml version="1.0" encoding="utf-8"?>
<table xmlns="http://schemas.openxmlformats.org/spreadsheetml/2006/main" id="54" name="АвгустГраф2" displayName="АвгустГраф2" ref="A23:P26" totalsRowShown="0" headerRowDxfId="456" dataDxfId="455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454">
      <calculatedColumnFormula>A14</calculatedColumnFormula>
    </tableColumn>
    <tableColumn id="2" name="16" dataDxfId="453">
      <calculatedColumnFormula>IF(TEXT(Настройки!$J2+TIME(0,Август!T13,0),"ч::мм")=TEXT(Настройки!$J2,"ч:мм"),"",TEXT(Настройки!$J2,"ч:мм")&amp;"-"&amp;TEXT(Настройки!$J2+TIME(0,Август!T13,0),"ч::мм"))</calculatedColumnFormula>
    </tableColumn>
    <tableColumn id="3" name="17" dataDxfId="452">
      <calculatedColumnFormula>IF(TEXT(Настройки!$J2+TIME(0,Август!U13,0),"ч::мм")=TEXT(Настройки!$J2,"ч:мм"),"",TEXT(Настройки!$J2,"ч:мм")&amp;"-"&amp;TEXT(Настройки!$J2+TIME(0,Август!U13,0),"ч::мм"))</calculatedColumnFormula>
    </tableColumn>
    <tableColumn id="4" name="18" dataDxfId="451">
      <calculatedColumnFormula>IF(TEXT(Настройки!$J2+TIME(0,Август!V13,0),"ч::мм")=TEXT(Настройки!$J2,"ч:мм"),"",TEXT(Настройки!$J2,"ч:мм")&amp;"-"&amp;TEXT(Настройки!$J2+TIME(0,Август!V13,0),"ч::мм"))</calculatedColumnFormula>
    </tableColumn>
    <tableColumn id="5" name="19" dataDxfId="450">
      <calculatedColumnFormula>IF(TEXT(Настройки!$J2+TIME(0,Август!W13,0),"ч::мм")=TEXT(Настройки!$J2,"ч:мм"),"",TEXT(Настройки!$J2,"ч:мм")&amp;"-"&amp;TEXT(Настройки!$J2+TIME(0,Август!W13,0),"ч::мм"))</calculatedColumnFormula>
    </tableColumn>
    <tableColumn id="6" name="20" dataDxfId="449">
      <calculatedColumnFormula>IF(TEXT(Настройки!$J2+TIME(0,Август!X13,0),"ч::мм")=TEXT(Настройки!$J2,"ч:мм"),"",TEXT(Настройки!$J2,"ч:мм")&amp;"-"&amp;TEXT(Настройки!$J2+TIME(0,Август!X13,0),"ч::мм"))</calculatedColumnFormula>
    </tableColumn>
    <tableColumn id="7" name="21" dataDxfId="448">
      <calculatedColumnFormula>IF(TEXT(Настройки!$J2+TIME(0,Август!Y13,0),"ч::мм")=TEXT(Настройки!$J2,"ч:мм"),"",TEXT(Настройки!$J2,"ч:мм")&amp;"-"&amp;TEXT(Настройки!$J2+TIME(0,Август!Y13,0),"ч::мм"))</calculatedColumnFormula>
    </tableColumn>
    <tableColumn id="8" name="22" dataDxfId="447">
      <calculatedColumnFormula>IF(TEXT(Настройки!$J2+TIME(0,Август!Z13,0),"ч::мм")=TEXT(Настройки!$J2,"ч:мм"),"",TEXT(Настройки!$J2,"ч:мм")&amp;"-"&amp;TEXT(Настройки!$J2+TIME(0,Август!Z13,0),"ч::мм"))</calculatedColumnFormula>
    </tableColumn>
    <tableColumn id="9" name="23" dataDxfId="446">
      <calculatedColumnFormula>IF(TEXT(Настройки!$J2+TIME(0,Август!AA13,0),"ч::мм")=TEXT(Настройки!$J2,"ч:мм"),"",TEXT(Настройки!$J2,"ч:мм")&amp;"-"&amp;TEXT(Настройки!$J2+TIME(0,Август!AA13,0),"ч::мм"))</calculatedColumnFormula>
    </tableColumn>
    <tableColumn id="10" name="24" dataDxfId="445">
      <calculatedColumnFormula>IF(TEXT(Настройки!$J2+TIME(0,Август!AB13,0),"ч::мм")=TEXT(Настройки!$J2,"ч:мм"),"",TEXT(Настройки!$J2,"ч:мм")&amp;"-"&amp;TEXT(Настройки!$J2+TIME(0,Август!AB13,0),"ч::мм"))</calculatedColumnFormula>
    </tableColumn>
    <tableColumn id="11" name="25" dataDxfId="444">
      <calculatedColumnFormula>IF(TEXT(Настройки!$J2+TIME(0,Август!AC13,0),"ч::мм")=TEXT(Настройки!$J2,"ч:мм"),"",TEXT(Настройки!$J2,"ч:мм")&amp;"-"&amp;TEXT(Настройки!$J2+TIME(0,Август!AC13,0),"ч::мм"))</calculatedColumnFormula>
    </tableColumn>
    <tableColumn id="12" name="26" dataDxfId="443">
      <calculatedColumnFormula>IF(TEXT(Настройки!$J2+TIME(0,Август!AD13,0),"ч::мм")=TEXT(Настройки!$J2,"ч:мм"),"",TEXT(Настройки!$J2,"ч:мм")&amp;"-"&amp;TEXT(Настройки!$J2+TIME(0,Август!AD13,0),"ч::мм"))</calculatedColumnFormula>
    </tableColumn>
    <tableColumn id="13" name="27" dataDxfId="442">
      <calculatedColumnFormula>IF(TEXT(Настройки!$J2+TIME(0,Август!AE13,0),"ч::мм")=TEXT(Настройки!$J2,"ч:мм"),"",TEXT(Настройки!$J2,"ч:мм")&amp;"-"&amp;TEXT(Настройки!$J2+TIME(0,Август!AE13,0),"ч::мм"))</calculatedColumnFormula>
    </tableColumn>
    <tableColumn id="14" name="28" dataDxfId="441">
      <calculatedColumnFormula>IF(TEXT(Настройки!$J2+TIME(0,Август!AF13,0),"ч::мм")=TEXT(Настройки!$J2,"ч:мм"),"",TEXT(Настройки!$J2,"ч:мм")&amp;"-"&amp;TEXT(Настройки!$J2+TIME(0,Август!AF13,0),"ч::мм"))</calculatedColumnFormula>
    </tableColumn>
    <tableColumn id="15" name="29" dataDxfId="440">
      <calculatedColumnFormula>IF(TEXT(Настройки!$J2+TIME(0,Август!AG13,0),"ч::мм")=TEXT(Настройки!$J2,"ч:мм"),"",TEXT(Настройки!$J2,"ч:мм")&amp;"-"&amp;TEXT(Настройки!$J2+TIME(0,Август!AG13,0),"ч::мм"))</calculatedColumnFormula>
    </tableColumn>
    <tableColumn id="16" name="30" dataDxfId="439">
      <calculatedColumnFormula>IF(TEXT(Настройки!$J2+TIME(0,Август!AH13,0),"ч::мм")=TEXT(Настройки!$J2,"ч:мм"),"",TEXT(Настройки!$J2,"ч:мм")&amp;"-"&amp;TEXT(Настройки!$J2+TIME(0,Август!AH13,0),"ч::мм"))</calculatedColumnFormula>
    </tableColumn>
  </tableColumns>
  <tableStyleInfo name="TableStyleLight15" showFirstColumn="0" showLastColumn="0" showRowStripes="0" showColumnStripes="1"/>
</table>
</file>

<file path=xl/tables/table47.xml><?xml version="1.0" encoding="utf-8"?>
<table xmlns="http://schemas.openxmlformats.org/spreadsheetml/2006/main" id="55" name="АвгустГраф3" displayName="АвгустГраф3" ref="A33:B36" totalsRowShown="0" headerRowDxfId="438" dataDxfId="437" tableBorderDxfId="436">
  <autoFilter ref="A33:B36">
    <filterColumn colId="0" hiddenButton="1"/>
    <filterColumn colId="1" hiddenButton="1"/>
  </autoFilter>
  <tableColumns count="2">
    <tableColumn id="1" name="Посещение" dataDxfId="435">
      <calculatedColumnFormula>A14</calculatedColumnFormula>
    </tableColumn>
    <tableColumn id="2" name="31" dataDxfId="434">
      <calculatedColumnFormula>IF(TEXT(Настройки!$J2+TIME(0,Август!AI13,0),"ч::мм")=TEXT(Настройки!$J2,"ч:мм"),"",TEXT(Настройки!$J2,"ч:мм")&amp;"-"&amp;TEXT(Настройки!$J2+TIME(0,Август!AI13,0),"ч::мм"))</calculatedColumnFormula>
    </tableColumn>
  </tableColumns>
  <tableStyleInfo name="TableStyleLight15" showFirstColumn="0" showLastColumn="0" showRowStripes="0" showColumnStripes="1"/>
</table>
</file>

<file path=xl/tables/table48.xml><?xml version="1.0" encoding="utf-8"?>
<table xmlns="http://schemas.openxmlformats.org/spreadsheetml/2006/main" id="3" name="Сентябрь" displayName="Сентябрь" ref="A25:AJ28" headerRowDxfId="431" dataDxfId="430" totalsRowDxfId="429">
  <autoFilter ref="A25:AJ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Услуга" totalsRowLabel="Итог" dataDxfId="428"/>
    <tableColumn id="2" name="Объем" dataDxfId="427" totalsRowDxfId="426">
      <calculatedColumnFormula>IF(Январь[[#This Row],[Объем]]&lt;&gt;"",Январь[[#This Row],[Объем]],"")</calculatedColumnFormula>
    </tableColumn>
    <tableColumn id="3" name="Периодичность" dataDxfId="425" totalsRowDxfId="424">
      <calculatedColumnFormula>IF(Январь[[#This Row],[Периодичность]]&lt;&gt;"",Январь[[#This Row],[Периодичность]],"")</calculatedColumnFormula>
    </tableColumn>
    <tableColumn id="4" name="№" dataDxfId="423" totalsRowDxfId="422"/>
    <tableColumn id="7" name="1"/>
    <tableColumn id="8" name="2"/>
    <tableColumn id="9" name="3"/>
    <tableColumn id="10" name="4" totalsRowDxfId="421"/>
    <tableColumn id="11" name="5" totalsRowDxfId="420"/>
    <tableColumn id="12" name="6" totalsRowDxfId="419"/>
    <tableColumn id="13" name="7"/>
    <tableColumn id="14" name="8"/>
    <tableColumn id="15" name="9"/>
    <tableColumn id="16" name="10"/>
    <tableColumn id="17" name="11" totalsRowDxfId="418"/>
    <tableColumn id="18" name="12" totalsRowDxfId="417"/>
    <tableColumn id="19" name="13" totalsRowDxfId="416"/>
    <tableColumn id="20" name="14"/>
    <tableColumn id="21" name="15"/>
    <tableColumn id="22" name="16"/>
    <tableColumn id="23" name="17"/>
    <tableColumn id="24" name="18" totalsRowDxfId="415"/>
    <tableColumn id="25" name="19" totalsRowDxfId="414"/>
    <tableColumn id="26" name="20" totalsRowDxfId="413"/>
    <tableColumn id="27" name="21"/>
    <tableColumn id="28" name="22"/>
    <tableColumn id="29" name="23"/>
    <tableColumn id="30" name="24"/>
    <tableColumn id="31" name="25" totalsRowDxfId="412"/>
    <tableColumn id="32" name="26" totalsRowDxfId="411"/>
    <tableColumn id="33" name="27" totalsRowDxfId="410"/>
    <tableColumn id="34" name="28"/>
    <tableColumn id="35" name="29"/>
    <tableColumn id="36" name="30"/>
    <tableColumn id="38" name="УСЛУГ" totalsRowFunction="sum" dataDxfId="409" totalsRowDxfId="408">
      <calculatedColumnFormula>IF(Сентябрь[[#This Row],[№]]=1,SUM(Сентябрь[[#This Row],[1]:[30]])+SUM(OFFSET(Сентябрь[[#This Row],[1]:[30]],1,0))+SUM(OFFSET(Сентябрь[[#This Row],[1]:[30]],2,0)),"")</calculatedColumnFormula>
    </tableColumn>
    <tableColumn id="39" name="МИНУТ" totalsRowFunction="sum" dataDxfId="407" totalsRowDxfId="406">
      <calculatedColumnFormula>IF(Сентябрь[[#This Row],[УСЛУГ]]&lt;&gt;"",Сентябрь[[#This Row],[УСЛУГ]]*Сентябрь[[#This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49.xml><?xml version="1.0" encoding="utf-8"?>
<table xmlns="http://schemas.openxmlformats.org/spreadsheetml/2006/main" id="6" name="СентябрьИтоги" displayName="СентябрьИтоги" ref="A12:AJ18" totalsRowShown="0" headerRowDxfId="405" dataDxfId="404" tableBorderDxfId="403">
  <autoFilter ref="A12:AJ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периодичность" dataDxfId="402"/>
    <tableColumn id="2" name="за неделю" dataDxfId="401">
      <calculatedColumnFormula>SUM(H24:L24)</calculatedColumnFormula>
    </tableColumn>
    <tableColumn id="3" name="всего минут" dataDxfId="400">
      <calculatedColumnFormula>СентябрьИтоги[[#This Row],[№]]*60</calculatedColumnFormula>
    </tableColumn>
    <tableColumn id="4" name="№" dataDxfId="399"/>
    <tableColumn id="5" name="1" dataDxfId="398">
      <calculatedColumnFormula>SUM(E10:E20)</calculatedColumnFormula>
    </tableColumn>
    <tableColumn id="6" name="2" dataDxfId="397"/>
    <tableColumn id="7" name="3" dataDxfId="396"/>
    <tableColumn id="8" name="4" dataDxfId="395"/>
    <tableColumn id="9" name="5" dataDxfId="394"/>
    <tableColumn id="10" name="6" dataDxfId="393"/>
    <tableColumn id="11" name="7" dataDxfId="392"/>
    <tableColumn id="12" name="8" dataDxfId="391"/>
    <tableColumn id="13" name="9" dataDxfId="390"/>
    <tableColumn id="14" name="10" dataDxfId="389"/>
    <tableColumn id="15" name="11" dataDxfId="388"/>
    <tableColumn id="16" name="12" dataDxfId="387"/>
    <tableColumn id="17" name="13" dataDxfId="386"/>
    <tableColumn id="18" name="14" dataDxfId="385"/>
    <tableColumn id="19" name="15" dataDxfId="384"/>
    <tableColumn id="20" name="16" dataDxfId="383"/>
    <tableColumn id="21" name="17" dataDxfId="382"/>
    <tableColumn id="22" name="18" dataDxfId="381"/>
    <tableColumn id="23" name="19" dataDxfId="380"/>
    <tableColumn id="24" name="20" dataDxfId="379"/>
    <tableColumn id="25" name="21" dataDxfId="378"/>
    <tableColumn id="26" name="22" dataDxfId="377"/>
    <tableColumn id="27" name="23" dataDxfId="376"/>
    <tableColumn id="28" name="24" dataDxfId="375"/>
    <tableColumn id="29" name="25" dataDxfId="374"/>
    <tableColumn id="30" name="26" dataDxfId="373"/>
    <tableColumn id="31" name="27" dataDxfId="372"/>
    <tableColumn id="32" name="28" dataDxfId="371"/>
    <tableColumn id="33" name="29" dataDxfId="370"/>
    <tableColumn id="34" name="30" dataDxfId="369"/>
    <tableColumn id="35" name="УСЛУГ" dataDxfId="368">
      <calculatedColumnFormula>SUM(Сентябрь[УСЛУГ])</calculatedColumnFormula>
    </tableColumn>
    <tableColumn id="36" name="МИНУТ" dataDxfId="367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50.xml><?xml version="1.0" encoding="utf-8"?>
<table xmlns="http://schemas.openxmlformats.org/spreadsheetml/2006/main" id="56" name="СентябрьГраф1" displayName="СентябрьГраф1" ref="A13:P16" totalsRowShown="0" headerRowDxfId="364" dataDxfId="363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362">
      <calculatedColumnFormula>IF(Настройки!J2&lt;&gt;"",TEXT(Настройки!J2,"ч:мм")&amp;"-"&amp;TEXT(Настройки!J2+TIME(0,MAX(Сентябрь!E13:AH13),0),"ч:мм"),"")</calculatedColumnFormula>
    </tableColumn>
    <tableColumn id="2" name="1" dataDxfId="361">
      <calculatedColumnFormula>IF(TEXT(Настройки!$J2+TIME(0,Сентябрь!E13,0),"ч::мм")=TEXT(Настройки!$J2,"ч:мм"),"",TEXT(Настройки!$J2,"ч:мм")&amp;"-"&amp;TEXT(Настройки!$J2+TIME(0,Сентябрь!E13,0),"ч::мм"))</calculatedColumnFormula>
    </tableColumn>
    <tableColumn id="3" name="2" dataDxfId="360">
      <calculatedColumnFormula>IF(TEXT(Настройки!$J2+TIME(0,Сентябрь!F13,0),"ч::мм")=TEXT(Настройки!$J2,"ч:мм"),"",TEXT(Настройки!$J2,"ч:мм")&amp;"-"&amp;TEXT(Настройки!$J2+TIME(0,Сентябрь!F13,0),"ч::мм"))</calculatedColumnFormula>
    </tableColumn>
    <tableColumn id="4" name="3" dataDxfId="359">
      <calculatedColumnFormula>IF(TEXT(Настройки!$J2+TIME(0,Сентябрь!G13,0),"ч::мм")=TEXT(Настройки!$J2,"ч:мм"),"",TEXT(Настройки!$J2,"ч:мм")&amp;"-"&amp;TEXT(Настройки!$J2+TIME(0,Сентябрь!G13,0),"ч::мм"))</calculatedColumnFormula>
    </tableColumn>
    <tableColumn id="5" name="4" dataDxfId="358">
      <calculatedColumnFormula>IF(TEXT(Настройки!$J2+TIME(0,Сентябрь!H13,0),"ч::мм")=TEXT(Настройки!$J2,"ч:мм"),"",TEXT(Настройки!$J2,"ч:мм")&amp;"-"&amp;TEXT(Настройки!$J2+TIME(0,Сентябрь!H13,0),"ч::мм"))</calculatedColumnFormula>
    </tableColumn>
    <tableColumn id="6" name="5" dataDxfId="357">
      <calculatedColumnFormula>IF(TEXT(Настройки!$J2+TIME(0,Сентябрь!I13,0),"ч::мм")=TEXT(Настройки!$J2,"ч:мм"),"",TEXT(Настройки!$J2,"ч:мм")&amp;"-"&amp;TEXT(Настройки!$J2+TIME(0,Сентябрь!I13,0),"ч::мм"))</calculatedColumnFormula>
    </tableColumn>
    <tableColumn id="7" name="6" dataDxfId="356">
      <calculatedColumnFormula>IF(TEXT(Настройки!$J2+TIME(0,Сентябрь!J13,0),"ч::мм")=TEXT(Настройки!$J2,"ч:мм"),"",TEXT(Настройки!$J2,"ч:мм")&amp;"-"&amp;TEXT(Настройки!$J2+TIME(0,Сентябрь!J13,0),"ч::мм"))</calculatedColumnFormula>
    </tableColumn>
    <tableColumn id="8" name="7" dataDxfId="355">
      <calculatedColumnFormula>IF(TEXT(Настройки!$J2+TIME(0,Сентябрь!K13,0),"ч::мм")=TEXT(Настройки!$J2,"ч:мм"),"",TEXT(Настройки!$J2,"ч:мм")&amp;"-"&amp;TEXT(Настройки!$J2+TIME(0,Сентябрь!K13,0),"ч::мм"))</calculatedColumnFormula>
    </tableColumn>
    <tableColumn id="9" name="8" dataDxfId="354">
      <calculatedColumnFormula>IF(TEXT(Настройки!$J2+TIME(0,Сентябрь!L13,0),"ч::мм")=TEXT(Настройки!$J2,"ч:мм"),"",TEXT(Настройки!$J2,"ч:мм")&amp;"-"&amp;TEXT(Настройки!$J2+TIME(0,Сентябрь!L13,0),"ч::мм"))</calculatedColumnFormula>
    </tableColumn>
    <tableColumn id="10" name="9" dataDxfId="353">
      <calculatedColumnFormula>IF(TEXT(Настройки!$J2+TIME(0,Сентябрь!M13,0),"ч::мм")=TEXT(Настройки!$J2,"ч:мм"),"",TEXT(Настройки!$J2,"ч:мм")&amp;"-"&amp;TEXT(Настройки!$J2+TIME(0,Сентябрь!M13,0),"ч::мм"))</calculatedColumnFormula>
    </tableColumn>
    <tableColumn id="11" name="10" dataDxfId="352">
      <calculatedColumnFormula>IF(TEXT(Настройки!$J2+TIME(0,Сентябрь!N13,0),"ч::мм")=TEXT(Настройки!$J2,"ч:мм"),"",TEXT(Настройки!$J2,"ч:мм")&amp;"-"&amp;TEXT(Настройки!$J2+TIME(0,Сентябрь!N13,0),"ч::мм"))</calculatedColumnFormula>
    </tableColumn>
    <tableColumn id="12" name="11" dataDxfId="351">
      <calculatedColumnFormula>IF(TEXT(Настройки!$J2+TIME(0,Сентябрь!O13,0),"ч::мм")=TEXT(Настройки!$J2,"ч:мм"),"",TEXT(Настройки!$J2,"ч:мм")&amp;"-"&amp;TEXT(Настройки!$J2+TIME(0,Сентябрь!O13,0),"ч::мм"))</calculatedColumnFormula>
    </tableColumn>
    <tableColumn id="13" name="12" dataDxfId="350">
      <calculatedColumnFormula>IF(TEXT(Настройки!$J2+TIME(0,Сентябрь!P13,0),"ч::мм")=TEXT(Настройки!$J2,"ч:мм"),"",TEXT(Настройки!$J2,"ч:мм")&amp;"-"&amp;TEXT(Настройки!$J2+TIME(0,Сентябрь!P13,0),"ч::мм"))</calculatedColumnFormula>
    </tableColumn>
    <tableColumn id="14" name="13" dataDxfId="349">
      <calculatedColumnFormula>IF(TEXT(Настройки!$J2+TIME(0,Сентябрь!Q13,0),"ч::мм")=TEXT(Настройки!$J2,"ч:мм"),"",TEXT(Настройки!$J2,"ч:мм")&amp;"-"&amp;TEXT(Настройки!$J2+TIME(0,Сентябрь!Q13,0),"ч::мм"))</calculatedColumnFormula>
    </tableColumn>
    <tableColumn id="15" name="14" dataDxfId="348">
      <calculatedColumnFormula>IF(TEXT(Настройки!$J2+TIME(0,Сентябрь!R13,0),"ч::мм")=TEXT(Настройки!$J2,"ч:мм"),"",TEXT(Настройки!$J2,"ч:мм")&amp;"-"&amp;TEXT(Настройки!$J2+TIME(0,Сентябрь!R13,0),"ч::мм"))</calculatedColumnFormula>
    </tableColumn>
    <tableColumn id="16" name="15" dataDxfId="347">
      <calculatedColumnFormula>IF(TEXT(Настройки!$J2+TIME(0,Сентябрь!S13,0),"ч::мм")=TEXT(Настройки!$J2,"ч:мм"),"",TEXT(Настройки!$J2,"ч:мм")&amp;"-"&amp;TEXT(Настройки!$J2+TIME(0,Сентябрь!S13,0),"ч::мм"))</calculatedColumnFormula>
    </tableColumn>
  </tableColumns>
  <tableStyleInfo name="TableStyleLight15" showFirstColumn="0" showLastColumn="0" showRowStripes="0" showColumnStripes="1"/>
</table>
</file>

<file path=xl/tables/table51.xml><?xml version="1.0" encoding="utf-8"?>
<table xmlns="http://schemas.openxmlformats.org/spreadsheetml/2006/main" id="57" name="СентябрьГраф2" displayName="СентябрьГраф2" ref="A23:P26" totalsRowShown="0" headerRowDxfId="346" dataDxfId="345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344">
      <calculatedColumnFormula>A14</calculatedColumnFormula>
    </tableColumn>
    <tableColumn id="2" name="16" dataDxfId="343">
      <calculatedColumnFormula>IF(TEXT(Настройки!$J2+TIME(0,Сентябрь!T13,0),"ч::мм")=TEXT(Настройки!$J2,"ч:мм"),"",TEXT(Настройки!$J2,"ч:мм")&amp;"-"&amp;TEXT(Настройки!$J2+TIME(0,Сентябрь!T13,0),"ч::мм"))</calculatedColumnFormula>
    </tableColumn>
    <tableColumn id="3" name="17" dataDxfId="342">
      <calculatedColumnFormula>IF(TEXT(Настройки!$J2+TIME(0,Сентябрь!U13,0),"ч::мм")=TEXT(Настройки!$J2,"ч:мм"),"",TEXT(Настройки!$J2,"ч:мм")&amp;"-"&amp;TEXT(Настройки!$J2+TIME(0,Сентябрь!U13,0),"ч::мм"))</calculatedColumnFormula>
    </tableColumn>
    <tableColumn id="4" name="18" dataDxfId="341">
      <calculatedColumnFormula>IF(TEXT(Настройки!$J2+TIME(0,Сентябрь!V13,0),"ч::мм")=TEXT(Настройки!$J2,"ч:мм"),"",TEXT(Настройки!$J2,"ч:мм")&amp;"-"&amp;TEXT(Настройки!$J2+TIME(0,Сентябрь!V13,0),"ч::мм"))</calculatedColumnFormula>
    </tableColumn>
    <tableColumn id="5" name="19" dataDxfId="340">
      <calculatedColumnFormula>IF(TEXT(Настройки!$J2+TIME(0,Сентябрь!W13,0),"ч::мм")=TEXT(Настройки!$J2,"ч:мм"),"",TEXT(Настройки!$J2,"ч:мм")&amp;"-"&amp;TEXT(Настройки!$J2+TIME(0,Сентябрь!W13,0),"ч::мм"))</calculatedColumnFormula>
    </tableColumn>
    <tableColumn id="6" name="20" dataDxfId="339">
      <calculatedColumnFormula>IF(TEXT(Настройки!$J2+TIME(0,Сентябрь!X13,0),"ч::мм")=TEXT(Настройки!$J2,"ч:мм"),"",TEXT(Настройки!$J2,"ч:мм")&amp;"-"&amp;TEXT(Настройки!$J2+TIME(0,Сентябрь!X13,0),"ч::мм"))</calculatedColumnFormula>
    </tableColumn>
    <tableColumn id="7" name="21" dataDxfId="338">
      <calculatedColumnFormula>IF(TEXT(Настройки!$J2+TIME(0,Сентябрь!Y13,0),"ч::мм")=TEXT(Настройки!$J2,"ч:мм"),"",TEXT(Настройки!$J2,"ч:мм")&amp;"-"&amp;TEXT(Настройки!$J2+TIME(0,Сентябрь!Y13,0),"ч::мм"))</calculatedColumnFormula>
    </tableColumn>
    <tableColumn id="8" name="22" dataDxfId="337">
      <calculatedColumnFormula>IF(TEXT(Настройки!$J2+TIME(0,Сентябрь!Z13,0),"ч::мм")=TEXT(Настройки!$J2,"ч:мм"),"",TEXT(Настройки!$J2,"ч:мм")&amp;"-"&amp;TEXT(Настройки!$J2+TIME(0,Сентябрь!Z13,0),"ч::мм"))</calculatedColumnFormula>
    </tableColumn>
    <tableColumn id="9" name="23" dataDxfId="336">
      <calculatedColumnFormula>IF(TEXT(Настройки!$J2+TIME(0,Сентябрь!AA13,0),"ч::мм")=TEXT(Настройки!$J2,"ч:мм"),"",TEXT(Настройки!$J2,"ч:мм")&amp;"-"&amp;TEXT(Настройки!$J2+TIME(0,Сентябрь!AA13,0),"ч::мм"))</calculatedColumnFormula>
    </tableColumn>
    <tableColumn id="10" name="24" dataDxfId="335">
      <calculatedColumnFormula>IF(TEXT(Настройки!$J2+TIME(0,Сентябрь!AB13,0),"ч::мм")=TEXT(Настройки!$J2,"ч:мм"),"",TEXT(Настройки!$J2,"ч:мм")&amp;"-"&amp;TEXT(Настройки!$J2+TIME(0,Сентябрь!AB13,0),"ч::мм"))</calculatedColumnFormula>
    </tableColumn>
    <tableColumn id="11" name="25" dataDxfId="334">
      <calculatedColumnFormula>IF(TEXT(Настройки!$J2+TIME(0,Сентябрь!AC13,0),"ч::мм")=TEXT(Настройки!$J2,"ч:мм"),"",TEXT(Настройки!$J2,"ч:мм")&amp;"-"&amp;TEXT(Настройки!$J2+TIME(0,Сентябрь!AC13,0),"ч::мм"))</calculatedColumnFormula>
    </tableColumn>
    <tableColumn id="12" name="26" dataDxfId="333">
      <calculatedColumnFormula>IF(TEXT(Настройки!$J2+TIME(0,Сентябрь!AD13,0),"ч::мм")=TEXT(Настройки!$J2,"ч:мм"),"",TEXT(Настройки!$J2,"ч:мм")&amp;"-"&amp;TEXT(Настройки!$J2+TIME(0,Сентябрь!AD13,0),"ч::мм"))</calculatedColumnFormula>
    </tableColumn>
    <tableColumn id="13" name="27" dataDxfId="332">
      <calculatedColumnFormula>IF(TEXT(Настройки!$J2+TIME(0,Сентябрь!AE13,0),"ч::мм")=TEXT(Настройки!$J2,"ч:мм"),"",TEXT(Настройки!$J2,"ч:мм")&amp;"-"&amp;TEXT(Настройки!$J2+TIME(0,Сентябрь!AE13,0),"ч::мм"))</calculatedColumnFormula>
    </tableColumn>
    <tableColumn id="14" name="28" dataDxfId="331">
      <calculatedColumnFormula>IF(TEXT(Настройки!$J2+TIME(0,Сентябрь!AF13,0),"ч::мм")=TEXT(Настройки!$J2,"ч:мм"),"",TEXT(Настройки!$J2,"ч:мм")&amp;"-"&amp;TEXT(Настройки!$J2+TIME(0,Сентябрь!AF13,0),"ч::мм"))</calculatedColumnFormula>
    </tableColumn>
    <tableColumn id="15" name="29" dataDxfId="330">
      <calculatedColumnFormula>IF(TEXT(Настройки!$J2+TIME(0,Сентябрь!AG13,0),"ч::мм")=TEXT(Настройки!$J2,"ч:мм"),"",TEXT(Настройки!$J2,"ч:мм")&amp;"-"&amp;TEXT(Настройки!$J2+TIME(0,Сентябрь!AG13,0),"ч::мм"))</calculatedColumnFormula>
    </tableColumn>
    <tableColumn id="16" name="30" dataDxfId="329">
      <calculatedColumnFormula>IF(TEXT(Настройки!$J2+TIME(0,Сентябрь!AH13,0),"ч::мм")=TEXT(Настройки!$J2,"ч:мм"),"",TEXT(Настройки!$J2,"ч:мм")&amp;"-"&amp;TEXT(Настройки!$J2+TIME(0,Сентябрь!AH13,0),"ч::мм"))</calculatedColumnFormula>
    </tableColumn>
  </tableColumns>
  <tableStyleInfo name="TableStyleLight15" showFirstColumn="0" showLastColumn="0" showRowStripes="0" showColumnStripes="1"/>
</table>
</file>

<file path=xl/tables/table52.xml><?xml version="1.0" encoding="utf-8"?>
<table xmlns="http://schemas.openxmlformats.org/spreadsheetml/2006/main" id="24" name="Октябрь" displayName="Октябрь" ref="A25:AK28" headerRowDxfId="326" dataDxfId="325" totalsRowDxfId="324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323"/>
    <tableColumn id="2" name="Объем" dataDxfId="322" totalsRowDxfId="321">
      <calculatedColumnFormula>IF(Январь[[#This Row],[Объем]]&lt;&gt;"",Январь[[#This Row],[Объем]],"")</calculatedColumnFormula>
    </tableColumn>
    <tableColumn id="3" name="Периодичность" dataDxfId="320" totalsRowDxfId="319">
      <calculatedColumnFormula>IF(Январь[[#This Row],[Периодичность]]&lt;&gt;"",Январь[[#This Row],[Периодичность]],"")</calculatedColumnFormula>
    </tableColumn>
    <tableColumn id="4" name="№" dataDxfId="318" totalsRowDxfId="317"/>
    <tableColumn id="7" name="1"/>
    <tableColumn id="8" name="2"/>
    <tableColumn id="9" name="3"/>
    <tableColumn id="10" name="4" totalsRowDxfId="316"/>
    <tableColumn id="11" name="5" totalsRowDxfId="315"/>
    <tableColumn id="12" name="6" totalsRowDxfId="314"/>
    <tableColumn id="13" name="7"/>
    <tableColumn id="14" name="8"/>
    <tableColumn id="15" name="9"/>
    <tableColumn id="16" name="10"/>
    <tableColumn id="17" name="11" totalsRowDxfId="313"/>
    <tableColumn id="18" name="12" totalsRowDxfId="312"/>
    <tableColumn id="19" name="13" totalsRowDxfId="311"/>
    <tableColumn id="20" name="14"/>
    <tableColumn id="21" name="15"/>
    <tableColumn id="22" name="16"/>
    <tableColumn id="23" name="17"/>
    <tableColumn id="24" name="18" totalsRowDxfId="310"/>
    <tableColumn id="25" name="19" totalsRowDxfId="309"/>
    <tableColumn id="26" name="20" totalsRowDxfId="308"/>
    <tableColumn id="27" name="21"/>
    <tableColumn id="28" name="22"/>
    <tableColumn id="29" name="23"/>
    <tableColumn id="30" name="24"/>
    <tableColumn id="31" name="25" totalsRowDxfId="307"/>
    <tableColumn id="32" name="26" totalsRowDxfId="306"/>
    <tableColumn id="33" name="27" totalsRowDxfId="305"/>
    <tableColumn id="34" name="28"/>
    <tableColumn id="35" name="29"/>
    <tableColumn id="36" name="30"/>
    <tableColumn id="5" name="31"/>
    <tableColumn id="38" name="УСЛУГ" totalsRowFunction="sum" dataDxfId="304" totalsRowDxfId="303">
      <calculatedColumnFormula>IF(Октябрь[[#This Row],[№]]=1,SUM(Октябрь[[#This Row],[1]:[31]])+SUM(OFFSET(Октябрь[[#This Row],[1]:[31]],1,0))+SUM(OFFSET(Октябрь[[#This Row],[1]:[31]],2,0)),"")</calculatedColumnFormula>
    </tableColumn>
    <tableColumn id="39" name="МИНУТ" totalsRowFunction="sum" dataDxfId="302" totalsRowDxfId="301">
      <calculatedColumnFormula>IF(Октябрь[[#This Row],[УСЛУГ]]&lt;&gt;"",Октябрь[[#This Row],[УСЛУГ]]*Октябрь[[#This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53.xml><?xml version="1.0" encoding="utf-8"?>
<table xmlns="http://schemas.openxmlformats.org/spreadsheetml/2006/main" id="25" name="ОктябрьИтоги" displayName="ОктябрьИтоги" ref="A12:AK18" totalsRowShown="0" headerRowDxfId="300" dataDxfId="299" tableBorderDxfId="298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297"/>
    <tableColumn id="2" name="за неделю" dataDxfId="296">
      <calculatedColumnFormula>SUMPRODUCT((#REF!=1)*E16:AI16)</calculatedColumnFormula>
    </tableColumn>
    <tableColumn id="3" name="всего минут" dataDxfId="295">
      <calculatedColumnFormula>ОктябрьИтоги[[#This Row],[№]]*60</calculatedColumnFormula>
    </tableColumn>
    <tableColumn id="4" name="№" dataDxfId="294"/>
    <tableColumn id="5" name="1" dataDxfId="293">
      <calculatedColumnFormula>SUM(E10:E15)</calculatedColumnFormula>
    </tableColumn>
    <tableColumn id="6" name="2" dataDxfId="292"/>
    <tableColumn id="7" name="3" dataDxfId="291"/>
    <tableColumn id="8" name="4" dataDxfId="290"/>
    <tableColumn id="9" name="5" dataDxfId="289"/>
    <tableColumn id="10" name="6" dataDxfId="288"/>
    <tableColumn id="11" name="7" dataDxfId="287"/>
    <tableColumn id="12" name="8" dataDxfId="286"/>
    <tableColumn id="13" name="9" dataDxfId="285"/>
    <tableColumn id="14" name="10" dataDxfId="284"/>
    <tableColumn id="15" name="11" dataDxfId="283"/>
    <tableColumn id="16" name="12" dataDxfId="282"/>
    <tableColumn id="17" name="13" dataDxfId="281"/>
    <tableColumn id="18" name="14" dataDxfId="280"/>
    <tableColumn id="19" name="15" dataDxfId="279"/>
    <tableColumn id="20" name="16" dataDxfId="278"/>
    <tableColumn id="21" name="17" dataDxfId="277"/>
    <tableColumn id="22" name="18" dataDxfId="276"/>
    <tableColumn id="23" name="19" dataDxfId="275"/>
    <tableColumn id="24" name="20" dataDxfId="274"/>
    <tableColumn id="25" name="21" dataDxfId="273"/>
    <tableColumn id="26" name="22" dataDxfId="272"/>
    <tableColumn id="27" name="23" dataDxfId="271"/>
    <tableColumn id="28" name="24" dataDxfId="270"/>
    <tableColumn id="29" name="25" dataDxfId="269"/>
    <tableColumn id="30" name="26" dataDxfId="268"/>
    <tableColumn id="31" name="27" dataDxfId="267"/>
    <tableColumn id="32" name="28" dataDxfId="266"/>
    <tableColumn id="33" name="29" dataDxfId="265"/>
    <tableColumn id="34" name="30" dataDxfId="264"/>
    <tableColumn id="37" name="31" dataDxfId="263">
      <calculatedColumnFormula>SUMPRODUCT((Август[№]=1)*Август[31],Август[Периодичность])</calculatedColumnFormula>
    </tableColumn>
    <tableColumn id="35" name="УСЛУГ" dataDxfId="262">
      <calculatedColumnFormula>SUM(Сентябрь[УСЛУГ])</calculatedColumnFormula>
    </tableColumn>
    <tableColumn id="36" name="МИНУТ" dataDxfId="261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54.xml><?xml version="1.0" encoding="utf-8"?>
<table xmlns="http://schemas.openxmlformats.org/spreadsheetml/2006/main" id="58" name="ОктябрьГраф1" displayName="ОктябрьГраф1" ref="A13:P16" totalsRowShown="0" headerRowDxfId="257" dataDxfId="256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255">
      <calculatedColumnFormula>IF(Настройки!J2&lt;&gt;"",TEXT(Настройки!J2,"ч:мм")&amp;"-"&amp;TEXT(Настройки!J2+TIME(0,MAX(Октябрь!E13:AI13),0),"ч:мм"),"")</calculatedColumnFormula>
    </tableColumn>
    <tableColumn id="2" name="1" dataDxfId="254">
      <calculatedColumnFormula>IF(TEXT(Настройки!$J2+TIME(0,Октябрь!E13,0),"ч::мм")=TEXT(Настройки!$J2,"ч:мм"),"",TEXT(Настройки!$J2,"ч:мм")&amp;"-"&amp;TEXT(Настройки!$J2+TIME(0,Октябрь!E13,0),"ч::мм"))</calculatedColumnFormula>
    </tableColumn>
    <tableColumn id="3" name="2" dataDxfId="253">
      <calculatedColumnFormula>IF(TEXT(Настройки!$J2+TIME(0,Октябрь!F13,0),"ч::мм")=TEXT(Настройки!$J2,"ч:мм"),"",TEXT(Настройки!$J2,"ч:мм")&amp;"-"&amp;TEXT(Настройки!$J2+TIME(0,Октябрь!F13,0),"ч::мм"))</calculatedColumnFormula>
    </tableColumn>
    <tableColumn id="4" name="3" dataDxfId="252">
      <calculatedColumnFormula>IF(TEXT(Настройки!$J2+TIME(0,Октябрь!G13,0),"ч::мм")=TEXT(Настройки!$J2,"ч:мм"),"",TEXT(Настройки!$J2,"ч:мм")&amp;"-"&amp;TEXT(Настройки!$J2+TIME(0,Октябрь!G13,0),"ч::мм"))</calculatedColumnFormula>
    </tableColumn>
    <tableColumn id="5" name="4" dataDxfId="251">
      <calculatedColumnFormula>IF(TEXT(Настройки!$J2+TIME(0,Октябрь!H13,0),"ч::мм")=TEXT(Настройки!$J2,"ч:мм"),"",TEXT(Настройки!$J2,"ч:мм")&amp;"-"&amp;TEXT(Настройки!$J2+TIME(0,Октябрь!H13,0),"ч::мм"))</calculatedColumnFormula>
    </tableColumn>
    <tableColumn id="6" name="5" dataDxfId="250">
      <calculatedColumnFormula>IF(TEXT(Настройки!$J2+TIME(0,Октябрь!I13,0),"ч::мм")=TEXT(Настройки!$J2,"ч:мм"),"",TEXT(Настройки!$J2,"ч:мм")&amp;"-"&amp;TEXT(Настройки!$J2+TIME(0,Октябрь!I13,0),"ч::мм"))</calculatedColumnFormula>
    </tableColumn>
    <tableColumn id="7" name="6" dataDxfId="249">
      <calculatedColumnFormula>IF(TEXT(Настройки!$J2+TIME(0,Октябрь!J13,0),"ч::мм")=TEXT(Настройки!$J2,"ч:мм"),"",TEXT(Настройки!$J2,"ч:мм")&amp;"-"&amp;TEXT(Настройки!$J2+TIME(0,Октябрь!J13,0),"ч::мм"))</calculatedColumnFormula>
    </tableColumn>
    <tableColumn id="8" name="7" dataDxfId="248">
      <calculatedColumnFormula>IF(TEXT(Настройки!$J2+TIME(0,Октябрь!K13,0),"ч::мм")=TEXT(Настройки!$J2,"ч:мм"),"",TEXT(Настройки!$J2,"ч:мм")&amp;"-"&amp;TEXT(Настройки!$J2+TIME(0,Октябрь!K13,0),"ч::мм"))</calculatedColumnFormula>
    </tableColumn>
    <tableColumn id="9" name="8" dataDxfId="247">
      <calculatedColumnFormula>IF(TEXT(Настройки!$J2+TIME(0,Октябрь!L13,0),"ч::мм")=TEXT(Настройки!$J2,"ч:мм"),"",TEXT(Настройки!$J2,"ч:мм")&amp;"-"&amp;TEXT(Настройки!$J2+TIME(0,Октябрь!L13,0),"ч::мм"))</calculatedColumnFormula>
    </tableColumn>
    <tableColumn id="10" name="9" dataDxfId="246">
      <calculatedColumnFormula>IF(TEXT(Настройки!$J2+TIME(0,Октябрь!M13,0),"ч::мм")=TEXT(Настройки!$J2,"ч:мм"),"",TEXT(Настройки!$J2,"ч:мм")&amp;"-"&amp;TEXT(Настройки!$J2+TIME(0,Октябрь!M13,0),"ч::мм"))</calculatedColumnFormula>
    </tableColumn>
    <tableColumn id="11" name="10" dataDxfId="245">
      <calculatedColumnFormula>IF(TEXT(Настройки!$J2+TIME(0,Октябрь!N13,0),"ч::мм")=TEXT(Настройки!$J2,"ч:мм"),"",TEXT(Настройки!$J2,"ч:мм")&amp;"-"&amp;TEXT(Настройки!$J2+TIME(0,Октябрь!N13,0),"ч::мм"))</calculatedColumnFormula>
    </tableColumn>
    <tableColumn id="12" name="11" dataDxfId="244">
      <calculatedColumnFormula>IF(TEXT(Настройки!$J2+TIME(0,Октябрь!O13,0),"ч::мм")=TEXT(Настройки!$J2,"ч:мм"),"",TEXT(Настройки!$J2,"ч:мм")&amp;"-"&amp;TEXT(Настройки!$J2+TIME(0,Октябрь!O13,0),"ч::мм"))</calculatedColumnFormula>
    </tableColumn>
    <tableColumn id="13" name="12" dataDxfId="243">
      <calculatedColumnFormula>IF(TEXT(Настройки!$J2+TIME(0,Октябрь!P13,0),"ч::мм")=TEXT(Настройки!$J2,"ч:мм"),"",TEXT(Настройки!$J2,"ч:мм")&amp;"-"&amp;TEXT(Настройки!$J2+TIME(0,Октябрь!P13,0),"ч::мм"))</calculatedColumnFormula>
    </tableColumn>
    <tableColumn id="14" name="13" dataDxfId="242">
      <calculatedColumnFormula>IF(TEXT(Настройки!$J2+TIME(0,Октябрь!Q13,0),"ч::мм")=TEXT(Настройки!$J2,"ч:мм"),"",TEXT(Настройки!$J2,"ч:мм")&amp;"-"&amp;TEXT(Настройки!$J2+TIME(0,Октябрь!Q13,0),"ч::мм"))</calculatedColumnFormula>
    </tableColumn>
    <tableColumn id="15" name="14" dataDxfId="241">
      <calculatedColumnFormula>IF(TEXT(Настройки!$J2+TIME(0,Октябрь!R13,0),"ч::мм")=TEXT(Настройки!$J2,"ч:мм"),"",TEXT(Настройки!$J2,"ч:мм")&amp;"-"&amp;TEXT(Настройки!$J2+TIME(0,Октябрь!R13,0),"ч::мм"))</calculatedColumnFormula>
    </tableColumn>
    <tableColumn id="16" name="15" dataDxfId="240">
      <calculatedColumnFormula>IF(TEXT(Настройки!$J2+TIME(0,Октябрь!S13,0),"ч::мм")=TEXT(Настройки!$J2,"ч:мм"),"",TEXT(Настройки!$J2,"ч:мм")&amp;"-"&amp;TEXT(Настройки!$J2+TIME(0,Октябрь!S13,0),"ч::мм"))</calculatedColumnFormula>
    </tableColumn>
  </tableColumns>
  <tableStyleInfo name="TableStyleLight15" showFirstColumn="0" showLastColumn="0" showRowStripes="0" showColumnStripes="1"/>
</table>
</file>

<file path=xl/tables/table55.xml><?xml version="1.0" encoding="utf-8"?>
<table xmlns="http://schemas.openxmlformats.org/spreadsheetml/2006/main" id="59" name="ОктябрьГраф2" displayName="ОктябрьГраф2" ref="A23:P26" totalsRowShown="0" headerRowDxfId="239" dataDxfId="238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237">
      <calculatedColumnFormula>A14</calculatedColumnFormula>
    </tableColumn>
    <tableColumn id="2" name="16" dataDxfId="236">
      <calculatedColumnFormula>IF(TEXT(Настройки!$J2+TIME(0,Октябрь!T13,0),"ч::мм")=TEXT(Настройки!$J2,"ч:мм"),"",TEXT(Настройки!$J2,"ч:мм")&amp;"-"&amp;TEXT(Настройки!$J2+TIME(0,Октябрь!T13,0),"ч::мм"))</calculatedColumnFormula>
    </tableColumn>
    <tableColumn id="3" name="17" dataDxfId="235">
      <calculatedColumnFormula>IF(TEXT(Настройки!$J2+TIME(0,Октябрь!U13,0),"ч::мм")=TEXT(Настройки!$J2,"ч:мм"),"",TEXT(Настройки!$J2,"ч:мм")&amp;"-"&amp;TEXT(Настройки!$J2+TIME(0,Октябрь!U13,0),"ч::мм"))</calculatedColumnFormula>
    </tableColumn>
    <tableColumn id="4" name="18" dataDxfId="234">
      <calculatedColumnFormula>IF(TEXT(Настройки!$J2+TIME(0,Октябрь!V13,0),"ч::мм")=TEXT(Настройки!$J2,"ч:мм"),"",TEXT(Настройки!$J2,"ч:мм")&amp;"-"&amp;TEXT(Настройки!$J2+TIME(0,Октябрь!V13,0),"ч::мм"))</calculatedColumnFormula>
    </tableColumn>
    <tableColumn id="5" name="19" dataDxfId="233">
      <calculatedColumnFormula>IF(TEXT(Настройки!$J2+TIME(0,Октябрь!W13,0),"ч::мм")=TEXT(Настройки!$J2,"ч:мм"),"",TEXT(Настройки!$J2,"ч:мм")&amp;"-"&amp;TEXT(Настройки!$J2+TIME(0,Октябрь!W13,0),"ч::мм"))</calculatedColumnFormula>
    </tableColumn>
    <tableColumn id="6" name="20" dataDxfId="232">
      <calculatedColumnFormula>IF(TEXT(Настройки!$J2+TIME(0,Октябрь!X13,0),"ч::мм")=TEXT(Настройки!$J2,"ч:мм"),"",TEXT(Настройки!$J2,"ч:мм")&amp;"-"&amp;TEXT(Настройки!$J2+TIME(0,Октябрь!X13,0),"ч::мм"))</calculatedColumnFormula>
    </tableColumn>
    <tableColumn id="7" name="21" dataDxfId="231">
      <calculatedColumnFormula>IF(TEXT(Настройки!$J2+TIME(0,Октябрь!Y13,0),"ч::мм")=TEXT(Настройки!$J2,"ч:мм"),"",TEXT(Настройки!$J2,"ч:мм")&amp;"-"&amp;TEXT(Настройки!$J2+TIME(0,Октябрь!Y13,0),"ч::мм"))</calculatedColumnFormula>
    </tableColumn>
    <tableColumn id="8" name="22" dataDxfId="230">
      <calculatedColumnFormula>IF(TEXT(Настройки!$J2+TIME(0,Октябрь!Z13,0),"ч::мм")=TEXT(Настройки!$J2,"ч:мм"),"",TEXT(Настройки!$J2,"ч:мм")&amp;"-"&amp;TEXT(Настройки!$J2+TIME(0,Октябрь!Z13,0),"ч::мм"))</calculatedColumnFormula>
    </tableColumn>
    <tableColumn id="9" name="23" dataDxfId="229">
      <calculatedColumnFormula>IF(TEXT(Настройки!$J2+TIME(0,Октябрь!AA13,0),"ч::мм")=TEXT(Настройки!$J2,"ч:мм"),"",TEXT(Настройки!$J2,"ч:мм")&amp;"-"&amp;TEXT(Настройки!$J2+TIME(0,Октябрь!AA13,0),"ч::мм"))</calculatedColumnFormula>
    </tableColumn>
    <tableColumn id="10" name="24" dataDxfId="228">
      <calculatedColumnFormula>IF(TEXT(Настройки!$J2+TIME(0,Октябрь!AB13,0),"ч::мм")=TEXT(Настройки!$J2,"ч:мм"),"",TEXT(Настройки!$J2,"ч:мм")&amp;"-"&amp;TEXT(Настройки!$J2+TIME(0,Октябрь!AB13,0),"ч::мм"))</calculatedColumnFormula>
    </tableColumn>
    <tableColumn id="11" name="25" dataDxfId="227">
      <calculatedColumnFormula>IF(TEXT(Настройки!$J2+TIME(0,Октябрь!AC13,0),"ч::мм")=TEXT(Настройки!$J2,"ч:мм"),"",TEXT(Настройки!$J2,"ч:мм")&amp;"-"&amp;TEXT(Настройки!$J2+TIME(0,Октябрь!AC13,0),"ч::мм"))</calculatedColumnFormula>
    </tableColumn>
    <tableColumn id="12" name="26" dataDxfId="226">
      <calculatedColumnFormula>IF(TEXT(Настройки!$J2+TIME(0,Октябрь!AD13,0),"ч::мм")=TEXT(Настройки!$J2,"ч:мм"),"",TEXT(Настройки!$J2,"ч:мм")&amp;"-"&amp;TEXT(Настройки!$J2+TIME(0,Октябрь!AD13,0),"ч::мм"))</calculatedColumnFormula>
    </tableColumn>
    <tableColumn id="13" name="27" dataDxfId="225">
      <calculatedColumnFormula>IF(TEXT(Настройки!$J2+TIME(0,Октябрь!AE13,0),"ч::мм")=TEXT(Настройки!$J2,"ч:мм"),"",TEXT(Настройки!$J2,"ч:мм")&amp;"-"&amp;TEXT(Настройки!$J2+TIME(0,Октябрь!AE13,0),"ч::мм"))</calculatedColumnFormula>
    </tableColumn>
    <tableColumn id="14" name="28" dataDxfId="224">
      <calculatedColumnFormula>IF(TEXT(Настройки!$J2+TIME(0,Октябрь!AF13,0),"ч::мм")=TEXT(Настройки!$J2,"ч:мм"),"",TEXT(Настройки!$J2,"ч:мм")&amp;"-"&amp;TEXT(Настройки!$J2+TIME(0,Октябрь!AF13,0),"ч::мм"))</calculatedColumnFormula>
    </tableColumn>
    <tableColumn id="15" name="29" dataDxfId="223">
      <calculatedColumnFormula>IF(TEXT(Настройки!$J2+TIME(0,Октябрь!AG13,0),"ч::мм")=TEXT(Настройки!$J2,"ч:мм"),"",TEXT(Настройки!$J2,"ч:мм")&amp;"-"&amp;TEXT(Настройки!$J2+TIME(0,Октябрь!AG13,0),"ч::мм"))</calculatedColumnFormula>
    </tableColumn>
    <tableColumn id="16" name="30" dataDxfId="222">
      <calculatedColumnFormula>IF(TEXT(Настройки!$J2+TIME(0,Октябрь!AH13,0),"ч::мм")=TEXT(Настройки!$J2,"ч:мм"),"",TEXT(Настройки!$J2,"ч:мм")&amp;"-"&amp;TEXT(Настройки!$J2+TIME(0,Октябрь!AH13,0),"ч::мм"))</calculatedColumnFormula>
    </tableColumn>
  </tableColumns>
  <tableStyleInfo name="TableStyleLight15" showFirstColumn="0" showLastColumn="0" showRowStripes="0" showColumnStripes="1"/>
</table>
</file>

<file path=xl/tables/table56.xml><?xml version="1.0" encoding="utf-8"?>
<table xmlns="http://schemas.openxmlformats.org/spreadsheetml/2006/main" id="60" name="ОктябрьГраф3" displayName="ОктябрьГраф3" ref="A33:B36" totalsRowShown="0" headerRowDxfId="221" dataDxfId="220" tableBorderDxfId="219">
  <autoFilter ref="A33:B36">
    <filterColumn colId="0" hiddenButton="1"/>
    <filterColumn colId="1" hiddenButton="1"/>
  </autoFilter>
  <tableColumns count="2">
    <tableColumn id="1" name="Посещение" dataDxfId="218">
      <calculatedColumnFormula>A24</calculatedColumnFormula>
    </tableColumn>
    <tableColumn id="2" name="31" dataDxfId="217">
      <calculatedColumnFormula>IF(TEXT(Настройки!$J2+TIME(0,Октябрь!AI13,0),"ч::мм")=TEXT(Настройки!$J2,"ч:мм"),"",TEXT(Настройки!$J2,"ч:мм")&amp;"-"&amp;TEXT(Настройки!$J2+TIME(0,Октябрь!AI13,0),"ч::мм"))</calculatedColumnFormula>
    </tableColumn>
  </tableColumns>
  <tableStyleInfo name="TableStyleLight15" showFirstColumn="0" showLastColumn="0" showRowStripes="0" showColumnStripes="1"/>
</table>
</file>

<file path=xl/tables/table57.xml><?xml version="1.0" encoding="utf-8"?>
<table xmlns="http://schemas.openxmlformats.org/spreadsheetml/2006/main" id="26" name="Ноябрь" displayName="Ноябрь" ref="A25:AJ28" headerRowDxfId="214" dataDxfId="213" totalsRowDxfId="212">
  <autoFilter ref="A25:AJ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Услуга" totalsRowLabel="Итог" dataDxfId="211"/>
    <tableColumn id="2" name="Объем" dataDxfId="210" totalsRowDxfId="209">
      <calculatedColumnFormula>IF(Январь[[#This Row],[Объем]]&lt;&gt;"",Январь[[#This Row],[Объем]],"")</calculatedColumnFormula>
    </tableColumn>
    <tableColumn id="3" name="Периодичность" dataDxfId="208" totalsRowDxfId="207">
      <calculatedColumnFormula>IF(Январь[[#This Row],[Периодичность]]&lt;&gt;"",Январь[[#This Row],[Периодичность]],"")</calculatedColumnFormula>
    </tableColumn>
    <tableColumn id="4" name="№" dataDxfId="206" totalsRowDxfId="205"/>
    <tableColumn id="7" name="1"/>
    <tableColumn id="8" name="2"/>
    <tableColumn id="9" name="3"/>
    <tableColumn id="10" name="4" totalsRowDxfId="204"/>
    <tableColumn id="11" name="5" totalsRowDxfId="203"/>
    <tableColumn id="12" name="6" totalsRowDxfId="202"/>
    <tableColumn id="13" name="7"/>
    <tableColumn id="14" name="8"/>
    <tableColumn id="15" name="9"/>
    <tableColumn id="16" name="10"/>
    <tableColumn id="17" name="11" totalsRowDxfId="201"/>
    <tableColumn id="18" name="12" totalsRowDxfId="200"/>
    <tableColumn id="19" name="13" totalsRowDxfId="199"/>
    <tableColumn id="20" name="14"/>
    <tableColumn id="21" name="15"/>
    <tableColumn id="22" name="16"/>
    <tableColumn id="23" name="17"/>
    <tableColumn id="24" name="18" totalsRowDxfId="198"/>
    <tableColumn id="25" name="19" totalsRowDxfId="197"/>
    <tableColumn id="26" name="20" totalsRowDxfId="196"/>
    <tableColumn id="27" name="21"/>
    <tableColumn id="28" name="22"/>
    <tableColumn id="29" name="23"/>
    <tableColumn id="30" name="24"/>
    <tableColumn id="31" name="25" totalsRowDxfId="195"/>
    <tableColumn id="32" name="26" totalsRowDxfId="194"/>
    <tableColumn id="33" name="27" totalsRowDxfId="193"/>
    <tableColumn id="34" name="28"/>
    <tableColumn id="35" name="29"/>
    <tableColumn id="36" name="30"/>
    <tableColumn id="38" name="УСЛУГ" totalsRowFunction="sum" dataDxfId="192" totalsRowDxfId="191">
      <calculatedColumnFormula>IF(Ноябрь[[#This Row],[№]]=1,SUM(Ноябрь[[#This Row],[1]:[30]])+SUM(OFFSET(Ноябрь[[#This Row],[1]:[30]],1,0))+SUM(OFFSET(Ноябрь[[#This Row],[1]:[30]],2,0)),"")</calculatedColumnFormula>
    </tableColumn>
    <tableColumn id="39" name="МИНУТ" totalsRowFunction="sum" dataDxfId="190" totalsRowDxfId="189">
      <calculatedColumnFormula>IF(Ноябрь[[#This Row],[УСЛУГ]]&lt;&gt;"",Ноябрь[[#This Row],[УСЛУГ]]*Ноябрь[[#This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58.xml><?xml version="1.0" encoding="utf-8"?>
<table xmlns="http://schemas.openxmlformats.org/spreadsheetml/2006/main" id="27" name="НоябрьИтоги" displayName="НоябрьИтоги" ref="A12:AJ18" totalsRowShown="0" headerRowDxfId="188" dataDxfId="187" tableBorderDxfId="186">
  <autoFilter ref="A12:AJ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периодичность" dataDxfId="185"/>
    <tableColumn id="2" name="за неделю" dataDxfId="184">
      <calculatedColumnFormula>SUM(H24:L24)</calculatedColumnFormula>
    </tableColumn>
    <tableColumn id="3" name="всего минут" dataDxfId="183">
      <calculatedColumnFormula>НоябрьИтоги[[#This Row],[№]]*60</calculatedColumnFormula>
    </tableColumn>
    <tableColumn id="4" name="№" dataDxfId="182"/>
    <tableColumn id="5" name="1" dataDxfId="181">
      <calculatedColumnFormula>SUM(E10:E20)</calculatedColumnFormula>
    </tableColumn>
    <tableColumn id="6" name="2" dataDxfId="180"/>
    <tableColumn id="7" name="3" dataDxfId="179"/>
    <tableColumn id="8" name="4" dataDxfId="178"/>
    <tableColumn id="9" name="5" dataDxfId="177"/>
    <tableColumn id="10" name="6" dataDxfId="176"/>
    <tableColumn id="11" name="7" dataDxfId="175"/>
    <tableColumn id="12" name="8" dataDxfId="174"/>
    <tableColumn id="13" name="9" dataDxfId="173"/>
    <tableColumn id="14" name="10" dataDxfId="172"/>
    <tableColumn id="15" name="11" dataDxfId="171"/>
    <tableColumn id="16" name="12" dataDxfId="170"/>
    <tableColumn id="17" name="13" dataDxfId="169"/>
    <tableColumn id="18" name="14" dataDxfId="168"/>
    <tableColumn id="19" name="15" dataDxfId="167"/>
    <tableColumn id="20" name="16" dataDxfId="166"/>
    <tableColumn id="21" name="17" dataDxfId="165"/>
    <tableColumn id="22" name="18" dataDxfId="164"/>
    <tableColumn id="23" name="19" dataDxfId="163"/>
    <tableColumn id="24" name="20" dataDxfId="162"/>
    <tableColumn id="25" name="21" dataDxfId="161"/>
    <tableColumn id="26" name="22" dataDxfId="160"/>
    <tableColumn id="27" name="23" dataDxfId="159"/>
    <tableColumn id="28" name="24" dataDxfId="158"/>
    <tableColumn id="29" name="25" dataDxfId="157"/>
    <tableColumn id="30" name="26" dataDxfId="156"/>
    <tableColumn id="31" name="27" dataDxfId="155"/>
    <tableColumn id="32" name="28" dataDxfId="154"/>
    <tableColumn id="33" name="29" dataDxfId="153"/>
    <tableColumn id="34" name="30" dataDxfId="152"/>
    <tableColumn id="35" name="УСЛУГ" dataDxfId="151">
      <calculatedColumnFormula>SUM(Сентябрь[УСЛУГ])</calculatedColumnFormula>
    </tableColumn>
    <tableColumn id="36" name="МИНУТ" dataDxfId="150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59.xml><?xml version="1.0" encoding="utf-8"?>
<table xmlns="http://schemas.openxmlformats.org/spreadsheetml/2006/main" id="61" name="НоябрьГраф1" displayName="НоябрьГраф1" ref="A13:P16" totalsRowShown="0" headerRowDxfId="147" dataDxfId="146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45">
      <calculatedColumnFormula>IF(Настройки!J2&lt;&gt;"",TEXT(Настройки!J2,"ч:мм")&amp;"-"&amp;TEXT(Настройки!J2+TIME(0,MAX(Ноябрь!E13:AH13),0),"ч:мм"),"")</calculatedColumnFormula>
    </tableColumn>
    <tableColumn id="2" name="1" dataDxfId="144">
      <calculatedColumnFormula>IF(TEXT(Настройки!$J2+TIME(0,Ноябрь!E13,0),"ч::мм")=TEXT(Настройки!$J2,"ч:мм"),"",TEXT(Настройки!$J2,"ч:мм")&amp;"-"&amp;TEXT(Настройки!$J2+TIME(0,Ноябрь!E13,0),"ч::мм"))</calculatedColumnFormula>
    </tableColumn>
    <tableColumn id="3" name="2" dataDxfId="143">
      <calculatedColumnFormula>IF(TEXT(Настройки!$J2+TIME(0,Ноябрь!F13,0),"ч::мм")=TEXT(Настройки!$J2,"ч:мм"),"",TEXT(Настройки!$J2,"ч:мм")&amp;"-"&amp;TEXT(Настройки!$J2+TIME(0,Ноябрь!F13,0),"ч::мм"))</calculatedColumnFormula>
    </tableColumn>
    <tableColumn id="4" name="3" dataDxfId="142">
      <calculatedColumnFormula>IF(TEXT(Настройки!$J2+TIME(0,Ноябрь!G13,0),"ч::мм")=TEXT(Настройки!$J2,"ч:мм"),"",TEXT(Настройки!$J2,"ч:мм")&amp;"-"&amp;TEXT(Настройки!$J2+TIME(0,Ноябрь!G13,0),"ч::мм"))</calculatedColumnFormula>
    </tableColumn>
    <tableColumn id="5" name="4" dataDxfId="141">
      <calculatedColumnFormula>IF(TEXT(Настройки!$J2+TIME(0,Ноябрь!H13,0),"ч::мм")=TEXT(Настройки!$J2,"ч:мм"),"",TEXT(Настройки!$J2,"ч:мм")&amp;"-"&amp;TEXT(Настройки!$J2+TIME(0,Ноябрь!H13,0),"ч::мм"))</calculatedColumnFormula>
    </tableColumn>
    <tableColumn id="6" name="5" dataDxfId="140">
      <calculatedColumnFormula>IF(TEXT(Настройки!$J2+TIME(0,Ноябрь!I13,0),"ч::мм")=TEXT(Настройки!$J2,"ч:мм"),"",TEXT(Настройки!$J2,"ч:мм")&amp;"-"&amp;TEXT(Настройки!$J2+TIME(0,Ноябрь!I13,0),"ч::мм"))</calculatedColumnFormula>
    </tableColumn>
    <tableColumn id="7" name="6" dataDxfId="139">
      <calculatedColumnFormula>IF(TEXT(Настройки!$J2+TIME(0,Ноябрь!J13,0),"ч::мм")=TEXT(Настройки!$J2,"ч:мм"),"",TEXT(Настройки!$J2,"ч:мм")&amp;"-"&amp;TEXT(Настройки!$J2+TIME(0,Ноябрь!J13,0),"ч::мм"))</calculatedColumnFormula>
    </tableColumn>
    <tableColumn id="8" name="7" dataDxfId="138">
      <calculatedColumnFormula>IF(TEXT(Настройки!$J2+TIME(0,Ноябрь!K13,0),"ч::мм")=TEXT(Настройки!$J2,"ч:мм"),"",TEXT(Настройки!$J2,"ч:мм")&amp;"-"&amp;TEXT(Настройки!$J2+TIME(0,Ноябрь!K13,0),"ч::мм"))</calculatedColumnFormula>
    </tableColumn>
    <tableColumn id="9" name="8" dataDxfId="137">
      <calculatedColumnFormula>IF(TEXT(Настройки!$J2+TIME(0,Ноябрь!L13,0),"ч::мм")=TEXT(Настройки!$J2,"ч:мм"),"",TEXT(Настройки!$J2,"ч:мм")&amp;"-"&amp;TEXT(Настройки!$J2+TIME(0,Ноябрь!L13,0),"ч::мм"))</calculatedColumnFormula>
    </tableColumn>
    <tableColumn id="10" name="9" dataDxfId="136">
      <calculatedColumnFormula>IF(TEXT(Настройки!$J2+TIME(0,Ноябрь!M13,0),"ч::мм")=TEXT(Настройки!$J2,"ч:мм"),"",TEXT(Настройки!$J2,"ч:мм")&amp;"-"&amp;TEXT(Настройки!$J2+TIME(0,Ноябрь!M13,0),"ч::мм"))</calculatedColumnFormula>
    </tableColumn>
    <tableColumn id="11" name="10" dataDxfId="135">
      <calculatedColumnFormula>IF(TEXT(Настройки!$J2+TIME(0,Ноябрь!N13,0),"ч::мм")=TEXT(Настройки!$J2,"ч:мм"),"",TEXT(Настройки!$J2,"ч:мм")&amp;"-"&amp;TEXT(Настройки!$J2+TIME(0,Ноябрь!N13,0),"ч::мм"))</calculatedColumnFormula>
    </tableColumn>
    <tableColumn id="12" name="11" dataDxfId="134">
      <calculatedColumnFormula>IF(TEXT(Настройки!$J2+TIME(0,Ноябрь!O13,0),"ч::мм")=TEXT(Настройки!$J2,"ч:мм"),"",TEXT(Настройки!$J2,"ч:мм")&amp;"-"&amp;TEXT(Настройки!$J2+TIME(0,Ноябрь!O13,0),"ч::мм"))</calculatedColumnFormula>
    </tableColumn>
    <tableColumn id="13" name="12" dataDxfId="133">
      <calculatedColumnFormula>IF(TEXT(Настройки!$J2+TIME(0,Ноябрь!P13,0),"ч::мм")=TEXT(Настройки!$J2,"ч:мм"),"",TEXT(Настройки!$J2,"ч:мм")&amp;"-"&amp;TEXT(Настройки!$J2+TIME(0,Ноябрь!P13,0),"ч::мм"))</calculatedColumnFormula>
    </tableColumn>
    <tableColumn id="14" name="13" dataDxfId="132">
      <calculatedColumnFormula>IF(TEXT(Настройки!$J2+TIME(0,Ноябрь!Q13,0),"ч::мм")=TEXT(Настройки!$J2,"ч:мм"),"",TEXT(Настройки!$J2,"ч:мм")&amp;"-"&amp;TEXT(Настройки!$J2+TIME(0,Ноябрь!Q13,0),"ч::мм"))</calculatedColumnFormula>
    </tableColumn>
    <tableColumn id="15" name="14" dataDxfId="131">
      <calculatedColumnFormula>IF(TEXT(Настройки!$J2+TIME(0,Ноябрь!R13,0),"ч::мм")=TEXT(Настройки!$J2,"ч:мм"),"",TEXT(Настройки!$J2,"ч:мм")&amp;"-"&amp;TEXT(Настройки!$J2+TIME(0,Ноябрь!R13,0),"ч::мм"))</calculatedColumnFormula>
    </tableColumn>
    <tableColumn id="16" name="15" dataDxfId="130">
      <calculatedColumnFormula>IF(TEXT(Настройки!$J2+TIME(0,Ноябрь!S13,0),"ч::мм")=TEXT(Настройки!$J2,"ч:мм"),"",TEXT(Настройки!$J2,"ч:мм")&amp;"-"&amp;TEXT(Настройки!$J2+TIME(0,Ноябрь!S13,0),"ч::мм"))</calculatedColumnFormula>
    </tableColumn>
  </tableColumns>
  <tableStyleInfo name="TableStyleLight15" showFirstColumn="0" showLastColumn="0" showRowStripes="0" showColumnStripes="1"/>
</table>
</file>

<file path=xl/tables/table60.xml><?xml version="1.0" encoding="utf-8"?>
<table xmlns="http://schemas.openxmlformats.org/spreadsheetml/2006/main" id="62" name="НоябрьГраф2" displayName="НоябрьГраф2" ref="A23:P26" totalsRowShown="0" headerRowDxfId="129" dataDxfId="128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27">
      <calculatedColumnFormula>A14</calculatedColumnFormula>
    </tableColumn>
    <tableColumn id="2" name="16" dataDxfId="126">
      <calculatedColumnFormula>IF(TEXT(Настройки!$J2+TIME(0,Ноябрь!T13,0),"ч::мм")=TEXT(Настройки!$J2,"ч:мм"),"",TEXT(Настройки!$J2,"ч:мм")&amp;"-"&amp;TEXT(Настройки!$J2+TIME(0,Ноябрь!T13,0),"ч::мм"))</calculatedColumnFormula>
    </tableColumn>
    <tableColumn id="3" name="17" dataDxfId="125">
      <calculatedColumnFormula>IF(TEXT(Настройки!$J2+TIME(0,Ноябрь!U13,0),"ч::мм")=TEXT(Настройки!$J2,"ч:мм"),"",TEXT(Настройки!$J2,"ч:мм")&amp;"-"&amp;TEXT(Настройки!$J2+TIME(0,Ноябрь!U13,0),"ч::мм"))</calculatedColumnFormula>
    </tableColumn>
    <tableColumn id="4" name="18" dataDxfId="124">
      <calculatedColumnFormula>IF(TEXT(Настройки!$J2+TIME(0,Ноябрь!V13,0),"ч::мм")=TEXT(Настройки!$J2,"ч:мм"),"",TEXT(Настройки!$J2,"ч:мм")&amp;"-"&amp;TEXT(Настройки!$J2+TIME(0,Ноябрь!V13,0),"ч::мм"))</calculatedColumnFormula>
    </tableColumn>
    <tableColumn id="5" name="19" dataDxfId="123">
      <calculatedColumnFormula>IF(TEXT(Настройки!$J2+TIME(0,Ноябрь!W13,0),"ч::мм")=TEXT(Настройки!$J2,"ч:мм"),"",TEXT(Настройки!$J2,"ч:мм")&amp;"-"&amp;TEXT(Настройки!$J2+TIME(0,Ноябрь!W13,0),"ч::мм"))</calculatedColumnFormula>
    </tableColumn>
    <tableColumn id="6" name="20" dataDxfId="122">
      <calculatedColumnFormula>IF(TEXT(Настройки!$J2+TIME(0,Ноябрь!X13,0),"ч::мм")=TEXT(Настройки!$J2,"ч:мм"),"",TEXT(Настройки!$J2,"ч:мм")&amp;"-"&amp;TEXT(Настройки!$J2+TIME(0,Ноябрь!X13,0),"ч::мм"))</calculatedColumnFormula>
    </tableColumn>
    <tableColumn id="7" name="21" dataDxfId="121">
      <calculatedColumnFormula>IF(TEXT(Настройки!$J2+TIME(0,Ноябрь!Y13,0),"ч::мм")=TEXT(Настройки!$J2,"ч:мм"),"",TEXT(Настройки!$J2,"ч:мм")&amp;"-"&amp;TEXT(Настройки!$J2+TIME(0,Ноябрь!Y13,0),"ч::мм"))</calculatedColumnFormula>
    </tableColumn>
    <tableColumn id="8" name="22" dataDxfId="120">
      <calculatedColumnFormula>IF(TEXT(Настройки!$J2+TIME(0,Ноябрь!Z13,0),"ч::мм")=TEXT(Настройки!$J2,"ч:мм"),"",TEXT(Настройки!$J2,"ч:мм")&amp;"-"&amp;TEXT(Настройки!$J2+TIME(0,Ноябрь!Z13,0),"ч::мм"))</calculatedColumnFormula>
    </tableColumn>
    <tableColumn id="9" name="23" dataDxfId="119">
      <calculatedColumnFormula>IF(TEXT(Настройки!$J2+TIME(0,Ноябрь!AA13,0),"ч::мм")=TEXT(Настройки!$J2,"ч:мм"),"",TEXT(Настройки!$J2,"ч:мм")&amp;"-"&amp;TEXT(Настройки!$J2+TIME(0,Ноябрь!AA13,0),"ч::мм"))</calculatedColumnFormula>
    </tableColumn>
    <tableColumn id="10" name="24" dataDxfId="118">
      <calculatedColumnFormula>IF(TEXT(Настройки!$J2+TIME(0,Ноябрь!AB13,0),"ч::мм")=TEXT(Настройки!$J2,"ч:мм"),"",TEXT(Настройки!$J2,"ч:мм")&amp;"-"&amp;TEXT(Настройки!$J2+TIME(0,Ноябрь!AB13,0),"ч::мм"))</calculatedColumnFormula>
    </tableColumn>
    <tableColumn id="11" name="25" dataDxfId="117">
      <calculatedColumnFormula>IF(TEXT(Настройки!$J2+TIME(0,Ноябрь!AC13,0),"ч::мм")=TEXT(Настройки!$J2,"ч:мм"),"",TEXT(Настройки!$J2,"ч:мм")&amp;"-"&amp;TEXT(Настройки!$J2+TIME(0,Ноябрь!AC13,0),"ч::мм"))</calculatedColumnFormula>
    </tableColumn>
    <tableColumn id="12" name="26" dataDxfId="116">
      <calculatedColumnFormula>IF(TEXT(Настройки!$J2+TIME(0,Ноябрь!AD13,0),"ч::мм")=TEXT(Настройки!$J2,"ч:мм"),"",TEXT(Настройки!$J2,"ч:мм")&amp;"-"&amp;TEXT(Настройки!$J2+TIME(0,Ноябрь!AD13,0),"ч::мм"))</calculatedColumnFormula>
    </tableColumn>
    <tableColumn id="13" name="27" dataDxfId="115">
      <calculatedColumnFormula>IF(TEXT(Настройки!$J2+TIME(0,Ноябрь!AE13,0),"ч::мм")=TEXT(Настройки!$J2,"ч:мм"),"",TEXT(Настройки!$J2,"ч:мм")&amp;"-"&amp;TEXT(Настройки!$J2+TIME(0,Ноябрь!AE13,0),"ч::мм"))</calculatedColumnFormula>
    </tableColumn>
    <tableColumn id="14" name="28" dataDxfId="114">
      <calculatedColumnFormula>IF(TEXT(Настройки!$J2+TIME(0,Ноябрь!AF13,0),"ч::мм")=TEXT(Настройки!$J2,"ч:мм"),"",TEXT(Настройки!$J2,"ч:мм")&amp;"-"&amp;TEXT(Настройки!$J2+TIME(0,Ноябрь!AF13,0),"ч::мм"))</calculatedColumnFormula>
    </tableColumn>
    <tableColumn id="15" name="29" dataDxfId="113">
      <calculatedColumnFormula>IF(TEXT(Настройки!$J2+TIME(0,Ноябрь!AG13,0),"ч::мм")=TEXT(Настройки!$J2,"ч:мм"),"",TEXT(Настройки!$J2,"ч:мм")&amp;"-"&amp;TEXT(Настройки!$J2+TIME(0,Ноябрь!AG13,0),"ч::мм"))</calculatedColumnFormula>
    </tableColumn>
    <tableColumn id="16" name="30" dataDxfId="112">
      <calculatedColumnFormula>IF(TEXT(Настройки!$J2+TIME(0,Ноябрь!AH13,0),"ч::мм")=TEXT(Настройки!$J2,"ч:мм"),"",TEXT(Настройки!$J2,"ч:мм")&amp;"-"&amp;TEXT(Настройки!$J2+TIME(0,Ноябрь!AH13,0),"ч::мм"))</calculatedColumnFormula>
    </tableColumn>
  </tableColumns>
  <tableStyleInfo name="TableStyleLight15" showFirstColumn="0" showLastColumn="0" showRowStripes="0" showColumnStripes="1"/>
</table>
</file>

<file path=xl/tables/table61.xml><?xml version="1.0" encoding="utf-8"?>
<table xmlns="http://schemas.openxmlformats.org/spreadsheetml/2006/main" id="28" name="Декабрь" displayName="Декабрь" ref="A25:AK28" headerRowDxfId="109" dataDxfId="108" totalsRowDxfId="107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106"/>
    <tableColumn id="2" name="Объем" dataDxfId="105" totalsRowDxfId="104">
      <calculatedColumnFormula>IF(Январь[[#This Row],[Объем]]&lt;&gt;"",Январь[[#This Row],[Объем]],"")</calculatedColumnFormula>
    </tableColumn>
    <tableColumn id="3" name="Периодичность" dataDxfId="103" totalsRowDxfId="102">
      <calculatedColumnFormula>IF(Январь[[#This Row],[Периодичность]]&lt;&gt;"",Январь[[#This Row],[Периодичность]],"")</calculatedColumnFormula>
    </tableColumn>
    <tableColumn id="4" name="№" dataDxfId="101" totalsRowDxfId="100"/>
    <tableColumn id="7" name="1"/>
    <tableColumn id="8" name="2"/>
    <tableColumn id="9" name="3"/>
    <tableColumn id="10" name="4" totalsRowDxfId="99"/>
    <tableColumn id="11" name="5" totalsRowDxfId="98"/>
    <tableColumn id="12" name="6" totalsRowDxfId="97"/>
    <tableColumn id="13" name="7"/>
    <tableColumn id="14" name="8"/>
    <tableColumn id="15" name="9"/>
    <tableColumn id="16" name="10"/>
    <tableColumn id="17" name="11" totalsRowDxfId="96"/>
    <tableColumn id="18" name="12" totalsRowDxfId="95"/>
    <tableColumn id="19" name="13" totalsRowDxfId="94"/>
    <tableColumn id="20" name="14"/>
    <tableColumn id="21" name="15"/>
    <tableColumn id="22" name="16"/>
    <tableColumn id="23" name="17"/>
    <tableColumn id="24" name="18" totalsRowDxfId="93"/>
    <tableColumn id="25" name="19" totalsRowDxfId="92"/>
    <tableColumn id="26" name="20" totalsRowDxfId="91"/>
    <tableColumn id="27" name="21"/>
    <tableColumn id="28" name="22"/>
    <tableColumn id="29" name="23"/>
    <tableColumn id="30" name="24"/>
    <tableColumn id="31" name="25" totalsRowDxfId="90"/>
    <tableColumn id="32" name="26" totalsRowDxfId="89"/>
    <tableColumn id="33" name="27" totalsRowDxfId="88"/>
    <tableColumn id="34" name="28"/>
    <tableColumn id="35" name="29"/>
    <tableColumn id="36" name="30"/>
    <tableColumn id="5" name="31"/>
    <tableColumn id="38" name="УСЛУГ" totalsRowFunction="sum" dataDxfId="87" totalsRowDxfId="86">
      <calculatedColumnFormula>IF(Декабрь[[#This Row],[№]]=1,SUM(Декабрь[[#This Row],[1]:[31]])+SUM(OFFSET(Декабрь[[#This Row],[1]:[31]],1,0))+SUM(OFFSET(Декабрь[[#This Row],[1]:[31]],2,0)),"")</calculatedColumnFormula>
    </tableColumn>
    <tableColumn id="39" name="МИНУТ" totalsRowFunction="sum" dataDxfId="85" totalsRowDxfId="84">
      <calculatedColumnFormula>IF(Декабрь[[#This Row],[УСЛУГ]]&lt;&gt;"",Декабрь[[#This Row],[УСЛУГ]]*Декабрь[[#This Row],[Периодичность]],"")</calculatedColumnFormula>
    </tableColumn>
  </tableColumns>
  <tableStyleInfo name="TableStyleLight15" showFirstColumn="0" showLastColumn="0" showRowStripes="1" showColumnStripes="0"/>
</table>
</file>

<file path=xl/tables/table62.xml><?xml version="1.0" encoding="utf-8"?>
<table xmlns="http://schemas.openxmlformats.org/spreadsheetml/2006/main" id="29" name="ДекабрьИтоги" displayName="ДекабрьИтоги" ref="A12:AK18" totalsRowShown="0" headerRowDxfId="83" dataDxfId="82" tableBorderDxfId="81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80"/>
    <tableColumn id="2" name="за неделю" dataDxfId="79">
      <calculatedColumnFormula>SUMPRODUCT((#REF!=1)*E16:AI16)</calculatedColumnFormula>
    </tableColumn>
    <tableColumn id="3" name="всего минут" dataDxfId="78">
      <calculatedColumnFormula>ДекабрьИтоги[[#This Row],[№]]*60</calculatedColumnFormula>
    </tableColumn>
    <tableColumn id="4" name="№" dataDxfId="77"/>
    <tableColumn id="5" name="1" dataDxfId="76">
      <calculatedColumnFormula>SUM(E10:E15)</calculatedColumnFormula>
    </tableColumn>
    <tableColumn id="6" name="2" dataDxfId="75"/>
    <tableColumn id="7" name="3" dataDxfId="74"/>
    <tableColumn id="8" name="4" dataDxfId="73"/>
    <tableColumn id="9" name="5" dataDxfId="72"/>
    <tableColumn id="10" name="6" dataDxfId="71"/>
    <tableColumn id="11" name="7" dataDxfId="70"/>
    <tableColumn id="12" name="8" dataDxfId="69"/>
    <tableColumn id="13" name="9" dataDxfId="68"/>
    <tableColumn id="14" name="10" dataDxfId="67"/>
    <tableColumn id="15" name="11" dataDxfId="66"/>
    <tableColumn id="16" name="12" dataDxfId="65"/>
    <tableColumn id="17" name="13" dataDxfId="64"/>
    <tableColumn id="18" name="14" dataDxfId="63"/>
    <tableColumn id="19" name="15" dataDxfId="62"/>
    <tableColumn id="20" name="16" dataDxfId="61"/>
    <tableColumn id="21" name="17" dataDxfId="60"/>
    <tableColumn id="22" name="18" dataDxfId="59"/>
    <tableColumn id="23" name="19" dataDxfId="58"/>
    <tableColumn id="24" name="20" dataDxfId="57"/>
    <tableColumn id="25" name="21" dataDxfId="56"/>
    <tableColumn id="26" name="22" dataDxfId="55"/>
    <tableColumn id="27" name="23" dataDxfId="54"/>
    <tableColumn id="28" name="24" dataDxfId="53"/>
    <tableColumn id="29" name="25" dataDxfId="52"/>
    <tableColumn id="30" name="26" dataDxfId="51"/>
    <tableColumn id="31" name="27" dataDxfId="50"/>
    <tableColumn id="32" name="28" dataDxfId="49"/>
    <tableColumn id="33" name="29" dataDxfId="48"/>
    <tableColumn id="34" name="30" dataDxfId="47"/>
    <tableColumn id="37" name="31" dataDxfId="46">
      <calculatedColumnFormula>SUMPRODUCT((Август[№]=1)*Август[31],Август[Периодичность])</calculatedColumnFormula>
    </tableColumn>
    <tableColumn id="35" name="УСЛУГ" dataDxfId="45">
      <calculatedColumnFormula>SUM(Сентябрь[УСЛУГ])</calculatedColumnFormula>
    </tableColumn>
    <tableColumn id="36" name="МИНУТ" dataDxfId="44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63.xml><?xml version="1.0" encoding="utf-8"?>
<table xmlns="http://schemas.openxmlformats.org/spreadsheetml/2006/main" id="43" name="ДекабрьГраф1" displayName="ДекабрьГраф1" ref="A13:P16" totalsRowShown="0" headerRowDxfId="40" dataDxfId="39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38">
      <calculatedColumnFormula>IF(Настройки!J2&lt;&gt;"",TEXT(Настройки!J2,"ч:мм")&amp;"-"&amp;TEXT(Настройки!J2+TIME(0,MAX(Декабрь!E13:AI13),0),"ч:мм"),"")</calculatedColumnFormula>
    </tableColumn>
    <tableColumn id="2" name="1" dataDxfId="37">
      <calculatedColumnFormula>IF(TEXT(Настройки!$J2+TIME(0,Декабрь!E13,0),"ч::мм")=TEXT(Настройки!$J2,"ч:мм"),"",TEXT(Настройки!$J2,"ч:мм")&amp;"-"&amp;TEXT(Настройки!$J2+TIME(0,Декабрь!E13,0),"ч::мм"))</calculatedColumnFormula>
    </tableColumn>
    <tableColumn id="3" name="2" dataDxfId="36">
      <calculatedColumnFormula>IF(TEXT(Настройки!$J2+TIME(0,Декабрь!F13,0),"ч::мм")=TEXT(Настройки!$J2,"ч:мм"),"",TEXT(Настройки!$J2,"ч:мм")&amp;"-"&amp;TEXT(Настройки!$J2+TIME(0,Декабрь!F13,0),"ч::мм"))</calculatedColumnFormula>
    </tableColumn>
    <tableColumn id="4" name="3" dataDxfId="35">
      <calculatedColumnFormula>IF(TEXT(Настройки!$J2+TIME(0,Декабрь!G13,0),"ч::мм")=TEXT(Настройки!$J2,"ч:мм"),"",TEXT(Настройки!$J2,"ч:мм")&amp;"-"&amp;TEXT(Настройки!$J2+TIME(0,Декабрь!G13,0),"ч::мм"))</calculatedColumnFormula>
    </tableColumn>
    <tableColumn id="5" name="4" dataDxfId="34">
      <calculatedColumnFormula>IF(TEXT(Настройки!$J2+TIME(0,Декабрь!H13,0),"ч::мм")=TEXT(Настройки!$J2,"ч:мм"),"",TEXT(Настройки!$J2,"ч:мм")&amp;"-"&amp;TEXT(Настройки!$J2+TIME(0,Декабрь!H13,0),"ч::мм"))</calculatedColumnFormula>
    </tableColumn>
    <tableColumn id="6" name="5" dataDxfId="33">
      <calculatedColumnFormula>IF(TEXT(Настройки!$J2+TIME(0,Декабрь!I13,0),"ч::мм")=TEXT(Настройки!$J2,"ч:мм"),"",TEXT(Настройки!$J2,"ч:мм")&amp;"-"&amp;TEXT(Настройки!$J2+TIME(0,Декабрь!I13,0),"ч::мм"))</calculatedColumnFormula>
    </tableColumn>
    <tableColumn id="7" name="6" dataDxfId="32">
      <calculatedColumnFormula>IF(TEXT(Настройки!$J2+TIME(0,Декабрь!J13,0),"ч::мм")=TEXT(Настройки!$J2,"ч:мм"),"",TEXT(Настройки!$J2,"ч:мм")&amp;"-"&amp;TEXT(Настройки!$J2+TIME(0,Декабрь!J13,0),"ч::мм"))</calculatedColumnFormula>
    </tableColumn>
    <tableColumn id="8" name="7" dataDxfId="31">
      <calculatedColumnFormula>IF(TEXT(Настройки!$J2+TIME(0,Декабрь!K13,0),"ч::мм")=TEXT(Настройки!$J2,"ч:мм"),"",TEXT(Настройки!$J2,"ч:мм")&amp;"-"&amp;TEXT(Настройки!$J2+TIME(0,Декабрь!K13,0),"ч::мм"))</calculatedColumnFormula>
    </tableColumn>
    <tableColumn id="9" name="8" dataDxfId="30">
      <calculatedColumnFormula>IF(TEXT(Настройки!$J2+TIME(0,Декабрь!L13,0),"ч::мм")=TEXT(Настройки!$J2,"ч:мм"),"",TEXT(Настройки!$J2,"ч:мм")&amp;"-"&amp;TEXT(Настройки!$J2+TIME(0,Декабрь!L13,0),"ч::мм"))</calculatedColumnFormula>
    </tableColumn>
    <tableColumn id="10" name="9" dataDxfId="29">
      <calculatedColumnFormula>IF(TEXT(Настройки!$J2+TIME(0,Декабрь!M13,0),"ч::мм")=TEXT(Настройки!$J2,"ч:мм"),"",TEXT(Настройки!$J2,"ч:мм")&amp;"-"&amp;TEXT(Настройки!$J2+TIME(0,Декабрь!M13,0),"ч::мм"))</calculatedColumnFormula>
    </tableColumn>
    <tableColumn id="11" name="10" dataDxfId="28">
      <calculatedColumnFormula>IF(TEXT(Настройки!$J2+TIME(0,Декабрь!N13,0),"ч::мм")=TEXT(Настройки!$J2,"ч:мм"),"",TEXT(Настройки!$J2,"ч:мм")&amp;"-"&amp;TEXT(Настройки!$J2+TIME(0,Декабрь!N13,0),"ч::мм"))</calculatedColumnFormula>
    </tableColumn>
    <tableColumn id="12" name="11" dataDxfId="27">
      <calculatedColumnFormula>IF(TEXT(Настройки!$J2+TIME(0,Декабрь!O13,0),"ч::мм")=TEXT(Настройки!$J2,"ч:мм"),"",TEXT(Настройки!$J2,"ч:мм")&amp;"-"&amp;TEXT(Настройки!$J2+TIME(0,Декабрь!O13,0),"ч::мм"))</calculatedColumnFormula>
    </tableColumn>
    <tableColumn id="13" name="12" dataDxfId="26">
      <calculatedColumnFormula>IF(TEXT(Настройки!$J2+TIME(0,Декабрь!P13,0),"ч::мм")=TEXT(Настройки!$J2,"ч:мм"),"",TEXT(Настройки!$J2,"ч:мм")&amp;"-"&amp;TEXT(Настройки!$J2+TIME(0,Декабрь!P13,0),"ч::мм"))</calculatedColumnFormula>
    </tableColumn>
    <tableColumn id="14" name="13" dataDxfId="25">
      <calculatedColumnFormula>IF(TEXT(Настройки!$J2+TIME(0,Декабрь!Q13,0),"ч::мм")=TEXT(Настройки!$J2,"ч:мм"),"",TEXT(Настройки!$J2,"ч:мм")&amp;"-"&amp;TEXT(Настройки!$J2+TIME(0,Декабрь!Q13,0),"ч::мм"))</calculatedColumnFormula>
    </tableColumn>
    <tableColumn id="15" name="14" dataDxfId="24">
      <calculatedColumnFormula>IF(TEXT(Настройки!$J2+TIME(0,Декабрь!R13,0),"ч::мм")=TEXT(Настройки!$J2,"ч:мм"),"",TEXT(Настройки!$J2,"ч:мм")&amp;"-"&amp;TEXT(Настройки!$J2+TIME(0,Декабрь!R13,0),"ч::мм"))</calculatedColumnFormula>
    </tableColumn>
    <tableColumn id="16" name="15" dataDxfId="23">
      <calculatedColumnFormula>IF(TEXT(Настройки!$J2+TIME(0,Декабрь!S13,0),"ч::мм")=TEXT(Настройки!$J2,"ч:мм"),"",TEXT(Настройки!$J2,"ч:мм")&amp;"-"&amp;TEXT(Настройки!$J2+TIME(0,Декабрь!S13,0),"ч::мм"))</calculatedColumnFormula>
    </tableColumn>
  </tableColumns>
  <tableStyleInfo name="TableStyleLight15" showFirstColumn="0" showLastColumn="0" showRowStripes="0" showColumnStripes="1"/>
</table>
</file>

<file path=xl/tables/table64.xml><?xml version="1.0" encoding="utf-8"?>
<table xmlns="http://schemas.openxmlformats.org/spreadsheetml/2006/main" id="49" name="ДекабрьГраф2" displayName="ДекабрьГраф2" ref="A23:P26" totalsRowShown="0" headerRowDxfId="22" dataDxfId="21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20">
      <calculatedColumnFormula>A14</calculatedColumnFormula>
    </tableColumn>
    <tableColumn id="2" name="16" dataDxfId="19">
      <calculatedColumnFormula>IF(TEXT(Настройки!$J2+TIME(0,Декабрь!T13,0),"ч::мм")=TEXT(Настройки!$J2,"ч:мм"),"",TEXT(Настройки!$J2,"ч:мм")&amp;"-"&amp;TEXT(Настройки!$J2+TIME(0,Декабрь!T13,0),"ч::мм"))</calculatedColumnFormula>
    </tableColumn>
    <tableColumn id="3" name="17" dataDxfId="18">
      <calculatedColumnFormula>IF(TEXT(Настройки!$J2+TIME(0,Декабрь!U13,0),"ч::мм")=TEXT(Настройки!$J2,"ч:мм"),"",TEXT(Настройки!$J2,"ч:мм")&amp;"-"&amp;TEXT(Настройки!$J2+TIME(0,Декабрь!U13,0),"ч::мм"))</calculatedColumnFormula>
    </tableColumn>
    <tableColumn id="4" name="18" dataDxfId="17">
      <calculatedColumnFormula>IF(TEXT(Настройки!$J2+TIME(0,Декабрь!V13,0),"ч::мм")=TEXT(Настройки!$J2,"ч:мм"),"",TEXT(Настройки!$J2,"ч:мм")&amp;"-"&amp;TEXT(Настройки!$J2+TIME(0,Декабрь!V13,0),"ч::мм"))</calculatedColumnFormula>
    </tableColumn>
    <tableColumn id="5" name="19" dataDxfId="16">
      <calculatedColumnFormula>IF(TEXT(Настройки!$J2+TIME(0,Декабрь!W13,0),"ч::мм")=TEXT(Настройки!$J2,"ч:мм"),"",TEXT(Настройки!$J2,"ч:мм")&amp;"-"&amp;TEXT(Настройки!$J2+TIME(0,Декабрь!W13,0),"ч::мм"))</calculatedColumnFormula>
    </tableColumn>
    <tableColumn id="6" name="20" dataDxfId="15">
      <calculatedColumnFormula>IF(TEXT(Настройки!$J2+TIME(0,Декабрь!X13,0),"ч::мм")=TEXT(Настройки!$J2,"ч:мм"),"",TEXT(Настройки!$J2,"ч:мм")&amp;"-"&amp;TEXT(Настройки!$J2+TIME(0,Декабрь!X13,0),"ч::мм"))</calculatedColumnFormula>
    </tableColumn>
    <tableColumn id="7" name="21" dataDxfId="14">
      <calculatedColumnFormula>IF(TEXT(Настройки!$J2+TIME(0,Декабрь!Y13,0),"ч::мм")=TEXT(Настройки!$J2,"ч:мм"),"",TEXT(Настройки!$J2,"ч:мм")&amp;"-"&amp;TEXT(Настройки!$J2+TIME(0,Декабрь!Y13,0),"ч::мм"))</calculatedColumnFormula>
    </tableColumn>
    <tableColumn id="8" name="22" dataDxfId="13">
      <calculatedColumnFormula>IF(TEXT(Настройки!$J2+TIME(0,Декабрь!Z13,0),"ч::мм")=TEXT(Настройки!$J2,"ч:мм"),"",TEXT(Настройки!$J2,"ч:мм")&amp;"-"&amp;TEXT(Настройки!$J2+TIME(0,Декабрь!Z13,0),"ч::мм"))</calculatedColumnFormula>
    </tableColumn>
    <tableColumn id="9" name="23" dataDxfId="12">
      <calculatedColumnFormula>IF(TEXT(Настройки!$J2+TIME(0,Декабрь!AA13,0),"ч::мм")=TEXT(Настройки!$J2,"ч:мм"),"",TEXT(Настройки!$J2,"ч:мм")&amp;"-"&amp;TEXT(Настройки!$J2+TIME(0,Декабрь!AA13,0),"ч::мм"))</calculatedColumnFormula>
    </tableColumn>
    <tableColumn id="10" name="24" dataDxfId="11">
      <calculatedColumnFormula>IF(TEXT(Настройки!$J2+TIME(0,Декабрь!AB13,0),"ч::мм")=TEXT(Настройки!$J2,"ч:мм"),"",TEXT(Настройки!$J2,"ч:мм")&amp;"-"&amp;TEXT(Настройки!$J2+TIME(0,Декабрь!AB13,0),"ч::мм"))</calculatedColumnFormula>
    </tableColumn>
    <tableColumn id="11" name="25" dataDxfId="10">
      <calculatedColumnFormula>IF(TEXT(Настройки!$J2+TIME(0,Декабрь!AC13,0),"ч::мм")=TEXT(Настройки!$J2,"ч:мм"),"",TEXT(Настройки!$J2,"ч:мм")&amp;"-"&amp;TEXT(Настройки!$J2+TIME(0,Декабрь!AC13,0),"ч::мм"))</calculatedColumnFormula>
    </tableColumn>
    <tableColumn id="12" name="26" dataDxfId="9">
      <calculatedColumnFormula>IF(TEXT(Настройки!$J2+TIME(0,Декабрь!AD13,0),"ч::мм")=TEXT(Настройки!$J2,"ч:мм"),"",TEXT(Настройки!$J2,"ч:мм")&amp;"-"&amp;TEXT(Настройки!$J2+TIME(0,Декабрь!AD13,0),"ч::мм"))</calculatedColumnFormula>
    </tableColumn>
    <tableColumn id="13" name="27" dataDxfId="8">
      <calculatedColumnFormula>IF(TEXT(Настройки!$J2+TIME(0,Декабрь!AE13,0),"ч::мм")=TEXT(Настройки!$J2,"ч:мм"),"",TEXT(Настройки!$J2,"ч:мм")&amp;"-"&amp;TEXT(Настройки!$J2+TIME(0,Декабрь!AE13,0),"ч::мм"))</calculatedColumnFormula>
    </tableColumn>
    <tableColumn id="14" name="28" dataDxfId="7">
      <calculatedColumnFormula>IF(TEXT(Настройки!$J2+TIME(0,Декабрь!AF13,0),"ч::мм")=TEXT(Настройки!$J2,"ч:мм"),"",TEXT(Настройки!$J2,"ч:мм")&amp;"-"&amp;TEXT(Настройки!$J2+TIME(0,Декабрь!AF13,0),"ч::мм"))</calculatedColumnFormula>
    </tableColumn>
    <tableColumn id="15" name="29" dataDxfId="6">
      <calculatedColumnFormula>IF(TEXT(Настройки!$J2+TIME(0,Декабрь!AG13,0),"ч::мм")=TEXT(Настройки!$J2,"ч:мм"),"",TEXT(Настройки!$J2,"ч:мм")&amp;"-"&amp;TEXT(Настройки!$J2+TIME(0,Декабрь!AG13,0),"ч::мм"))</calculatedColumnFormula>
    </tableColumn>
    <tableColumn id="16" name="30" dataDxfId="5">
      <calculatedColumnFormula>IF(TEXT(Настройки!$J2+TIME(0,Декабрь!AH13,0),"ч::мм")=TEXT(Настройки!$J2,"ч:мм"),"",TEXT(Настройки!$J2,"ч:мм")&amp;"-"&amp;TEXT(Настройки!$J2+TIME(0,Декабрь!AH13,0),"ч::мм"))</calculatedColumnFormula>
    </tableColumn>
  </tableColumns>
  <tableStyleInfo name="TableStyleLight15" showFirstColumn="0" showLastColumn="0" showRowStripes="0" showColumnStripes="1"/>
</table>
</file>

<file path=xl/tables/table65.xml><?xml version="1.0" encoding="utf-8"?>
<table xmlns="http://schemas.openxmlformats.org/spreadsheetml/2006/main" id="63" name="ДекабрьГраф3" displayName="ДекабрьГраф3" ref="A33:B36" totalsRowShown="0" headerRowDxfId="4" dataDxfId="3" tableBorderDxfId="2">
  <autoFilter ref="A33:B36">
    <filterColumn colId="0" hiddenButton="1"/>
    <filterColumn colId="1" hiddenButton="1"/>
  </autoFilter>
  <tableColumns count="2">
    <tableColumn id="1" name="Посещение" dataDxfId="1">
      <calculatedColumnFormula>A14</calculatedColumnFormula>
    </tableColumn>
    <tableColumn id="2" name="31" dataDxfId="0">
      <calculatedColumnFormula>IF(TEXT(Настройки!$J2+TIME(0,Декабрь!AI13,0),"ч::мм")=TEXT(Настройки!$J2,"ч:мм"),"",TEXT(Настройки!$J2,"ч:мм")&amp;"-"&amp;TEXT(Настройки!$J2+TIME(0,Декабрь!AI13,0),"ч::мм"))</calculatedColumnFormula>
    </tableColumn>
  </tableColumns>
  <tableStyleInfo name="TableStyleLight15" showFirstColumn="0" showLastColumn="0" showRowStripes="0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3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4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4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5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table" Target="../tables/table63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6" tint="-0.249977111117893"/>
  </sheetPr>
  <dimension ref="A1:AL51"/>
  <sheetViews>
    <sheetView zoomScale="80" zoomScaleNormal="80" workbookViewId="0">
      <selection activeCell="F1" sqref="F1"/>
    </sheetView>
  </sheetViews>
  <sheetFormatPr defaultRowHeight="15.75" x14ac:dyDescent="0.25"/>
  <cols>
    <col min="1" max="1" width="71.42578125" style="1" customWidth="1"/>
    <col min="2" max="2" width="49.5703125" style="1" bestFit="1" customWidth="1"/>
    <col min="3" max="3" width="17" style="3" bestFit="1" customWidth="1"/>
    <col min="4" max="4" width="8.140625" style="3" customWidth="1"/>
    <col min="5" max="5" width="9.140625" style="1"/>
    <col min="6" max="6" width="14.7109375" style="1" bestFit="1" customWidth="1"/>
    <col min="7" max="7" width="11.28515625" style="1" bestFit="1" customWidth="1"/>
    <col min="8" max="8" width="15.7109375" style="1" bestFit="1" customWidth="1"/>
    <col min="9" max="9" width="11.28515625" style="1" bestFit="1" customWidth="1"/>
    <col min="10" max="10" width="11.28515625" style="1" customWidth="1"/>
    <col min="11" max="13" width="11.28515625" style="1" bestFit="1" customWidth="1"/>
    <col min="14" max="14" width="15.28515625" style="1" bestFit="1" customWidth="1"/>
    <col min="15" max="15" width="11.28515625" style="1" bestFit="1" customWidth="1"/>
    <col min="16" max="16" width="16" style="1" customWidth="1"/>
    <col min="17" max="38" width="11.28515625" style="1" bestFit="1" customWidth="1"/>
    <col min="39" max="16384" width="9.140625" style="1"/>
  </cols>
  <sheetData>
    <row r="1" spans="1:38" ht="16.5" customHeight="1" x14ac:dyDescent="0.25">
      <c r="A1" s="48" t="s">
        <v>0</v>
      </c>
      <c r="B1" s="48" t="s">
        <v>51</v>
      </c>
      <c r="C1" s="40" t="s">
        <v>58</v>
      </c>
      <c r="D1" s="40" t="s">
        <v>57</v>
      </c>
      <c r="F1" s="1" t="s">
        <v>140</v>
      </c>
      <c r="H1" s="1" t="s">
        <v>65</v>
      </c>
      <c r="J1" s="1" t="s">
        <v>134</v>
      </c>
      <c r="L1" s="1" t="s">
        <v>122</v>
      </c>
      <c r="N1" s="1" t="s">
        <v>132</v>
      </c>
      <c r="P1" s="29" t="s">
        <v>133</v>
      </c>
    </row>
    <row r="2" spans="1:38" x14ac:dyDescent="0.25">
      <c r="A2" s="1" t="s">
        <v>1</v>
      </c>
      <c r="B2" s="1" t="str">
        <f>LEFT(Услуги[[#This Row],[Соц. Услуги]],Ограничение[Кол-во симв.])</f>
        <v>01. Приготовление пищи</v>
      </c>
      <c r="C2" s="52">
        <v>0</v>
      </c>
      <c r="D2" s="51"/>
      <c r="F2" s="3">
        <v>40</v>
      </c>
      <c r="H2" s="3">
        <v>1</v>
      </c>
      <c r="J2" s="31">
        <v>0.375</v>
      </c>
      <c r="L2" s="3">
        <v>2024</v>
      </c>
      <c r="N2" s="36" t="s">
        <v>141</v>
      </c>
      <c r="P2" s="29" t="s">
        <v>141</v>
      </c>
    </row>
    <row r="3" spans="1:38" x14ac:dyDescent="0.25">
      <c r="A3" s="1" t="s">
        <v>2</v>
      </c>
      <c r="B3" s="1" t="str">
        <f>LEFT(Услуги[[#This Row],[Соц. Услуги]],Ограничение[Кол-во симв.])</f>
        <v>02. Помощь при приготовлении пищи</v>
      </c>
      <c r="C3" s="52">
        <v>0</v>
      </c>
      <c r="D3" s="51"/>
      <c r="H3" s="3">
        <v>2</v>
      </c>
      <c r="J3" s="31">
        <v>0.54166666666666663</v>
      </c>
    </row>
    <row r="4" spans="1:38" x14ac:dyDescent="0.25">
      <c r="A4" s="1" t="s">
        <v>3</v>
      </c>
      <c r="B4" s="1" t="str">
        <f>LEFT(Услуги[[#This Row],[Соц. Услуги]],Ограничение[Кол-во симв.])</f>
        <v>03. Подготовка и подача пищи</v>
      </c>
      <c r="C4" s="52">
        <v>0</v>
      </c>
      <c r="D4" s="51"/>
      <c r="H4" s="3">
        <v>3</v>
      </c>
      <c r="J4" s="31">
        <v>0.66666666666666663</v>
      </c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</row>
    <row r="5" spans="1:38" x14ac:dyDescent="0.25">
      <c r="A5" s="1" t="s">
        <v>4</v>
      </c>
      <c r="B5" s="1" t="str">
        <f>LEFT(Услуги[[#This Row],[Соц. Услуги]],Ограничение[Кол-во симв.])</f>
        <v>04. Помощь при подготовке пищи к приему</v>
      </c>
      <c r="C5" s="52">
        <v>0</v>
      </c>
      <c r="D5" s="51"/>
    </row>
    <row r="6" spans="1:38" x14ac:dyDescent="0.25">
      <c r="A6" s="1" t="s">
        <v>5</v>
      </c>
      <c r="B6" s="1" t="str">
        <f>LEFT(Услуги[[#This Row],[Соц. Услуги]],Ограничение[Кол-во симв.])</f>
        <v>05. Кормление</v>
      </c>
      <c r="C6" s="52">
        <v>0</v>
      </c>
      <c r="D6" s="51"/>
      <c r="F6" s="1" t="s">
        <v>109</v>
      </c>
      <c r="G6" s="1" t="s">
        <v>75</v>
      </c>
      <c r="H6" s="1" t="s">
        <v>76</v>
      </c>
      <c r="I6" s="1" t="s">
        <v>77</v>
      </c>
      <c r="J6" s="1" t="s">
        <v>78</v>
      </c>
      <c r="K6" s="1" t="s">
        <v>79</v>
      </c>
      <c r="L6" s="1" t="s">
        <v>80</v>
      </c>
      <c r="M6" s="1" t="s">
        <v>81</v>
      </c>
      <c r="N6" s="1" t="s">
        <v>82</v>
      </c>
      <c r="O6" s="1" t="s">
        <v>83</v>
      </c>
      <c r="P6" s="1" t="s">
        <v>84</v>
      </c>
      <c r="Q6" s="1" t="s">
        <v>85</v>
      </c>
      <c r="R6" s="1" t="s">
        <v>86</v>
      </c>
      <c r="S6" s="1" t="s">
        <v>87</v>
      </c>
      <c r="T6" s="1" t="s">
        <v>88</v>
      </c>
      <c r="U6" s="1" t="s">
        <v>89</v>
      </c>
      <c r="V6" s="1" t="s">
        <v>90</v>
      </c>
      <c r="W6" s="1" t="s">
        <v>91</v>
      </c>
      <c r="X6" s="1" t="s">
        <v>92</v>
      </c>
      <c r="Y6" s="1" t="s">
        <v>93</v>
      </c>
      <c r="Z6" s="1" t="s">
        <v>94</v>
      </c>
      <c r="AA6" s="1" t="s">
        <v>95</v>
      </c>
      <c r="AB6" s="1" t="s">
        <v>96</v>
      </c>
      <c r="AC6" s="1" t="s">
        <v>97</v>
      </c>
      <c r="AD6" s="1" t="s">
        <v>98</v>
      </c>
      <c r="AE6" s="1" t="s">
        <v>99</v>
      </c>
      <c r="AF6" s="1" t="s">
        <v>100</v>
      </c>
      <c r="AG6" s="1" t="s">
        <v>101</v>
      </c>
      <c r="AH6" s="1" t="s">
        <v>102</v>
      </c>
      <c r="AI6" s="1" t="s">
        <v>103</v>
      </c>
      <c r="AJ6" s="1" t="s">
        <v>104</v>
      </c>
      <c r="AK6" s="1" t="s">
        <v>113</v>
      </c>
      <c r="AL6" s="19"/>
    </row>
    <row r="7" spans="1:38" x14ac:dyDescent="0.25">
      <c r="A7" s="1" t="s">
        <v>6</v>
      </c>
      <c r="B7" s="1" t="str">
        <f>LEFT(Услуги[[#This Row],[Соц. Услуги]],Ограничение[Кол-во симв.])</f>
        <v>06. Помощь при приеме пищи</v>
      </c>
      <c r="C7" s="52">
        <v>0</v>
      </c>
      <c r="D7" s="51"/>
      <c r="F7" s="23">
        <v>44927</v>
      </c>
      <c r="G7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45292</v>
      </c>
      <c r="H7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45293</v>
      </c>
      <c r="I7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45294</v>
      </c>
      <c r="J7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45295</v>
      </c>
      <c r="K7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45296</v>
      </c>
      <c r="L7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45297</v>
      </c>
      <c r="M7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45298</v>
      </c>
      <c r="N7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45299</v>
      </c>
      <c r="O7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45300</v>
      </c>
      <c r="P7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45301</v>
      </c>
      <c r="Q7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45302</v>
      </c>
      <c r="R7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45303</v>
      </c>
      <c r="S7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45304</v>
      </c>
      <c r="T7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45305</v>
      </c>
      <c r="U7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45306</v>
      </c>
      <c r="V7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45307</v>
      </c>
      <c r="W7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45308</v>
      </c>
      <c r="X7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45309</v>
      </c>
      <c r="Y7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45310</v>
      </c>
      <c r="Z7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45311</v>
      </c>
      <c r="AA7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45312</v>
      </c>
      <c r="AB7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45313</v>
      </c>
      <c r="AC7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45314</v>
      </c>
      <c r="AD7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45315</v>
      </c>
      <c r="AE7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45316</v>
      </c>
      <c r="AF7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45317</v>
      </c>
      <c r="AG7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45318</v>
      </c>
      <c r="AH7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45319</v>
      </c>
      <c r="AI7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45320</v>
      </c>
      <c r="AJ7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45321</v>
      </c>
      <c r="AK7" s="15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45322</v>
      </c>
      <c r="AL7" s="20"/>
    </row>
    <row r="8" spans="1:38" x14ac:dyDescent="0.25">
      <c r="A8" s="1" t="s">
        <v>7</v>
      </c>
      <c r="B8" s="1" t="str">
        <f>LEFT(Услуги[[#This Row],[Соц. Услуги]],Ограничение[Кол-во симв.])</f>
        <v>07. Помощь в соблюдении питьевого режима</v>
      </c>
      <c r="C8" s="52">
        <v>0</v>
      </c>
      <c r="D8" s="51"/>
      <c r="F8" s="23">
        <v>44958</v>
      </c>
      <c r="G8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45323</v>
      </c>
      <c r="H8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45324</v>
      </c>
      <c r="I8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45325</v>
      </c>
      <c r="J8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45326</v>
      </c>
      <c r="K8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45327</v>
      </c>
      <c r="L8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45328</v>
      </c>
      <c r="M8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45329</v>
      </c>
      <c r="N8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45330</v>
      </c>
      <c r="O8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45331</v>
      </c>
      <c r="P8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45332</v>
      </c>
      <c r="Q8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45333</v>
      </c>
      <c r="R8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45334</v>
      </c>
      <c r="S8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45335</v>
      </c>
      <c r="T8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45336</v>
      </c>
      <c r="U8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45337</v>
      </c>
      <c r="V8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45338</v>
      </c>
      <c r="W8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45339</v>
      </c>
      <c r="X8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45340</v>
      </c>
      <c r="Y8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45341</v>
      </c>
      <c r="Z8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45342</v>
      </c>
      <c r="AA8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45343</v>
      </c>
      <c r="AB8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45344</v>
      </c>
      <c r="AC8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45345</v>
      </c>
      <c r="AD8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45346</v>
      </c>
      <c r="AE8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45347</v>
      </c>
      <c r="AF8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45348</v>
      </c>
      <c r="AG8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45349</v>
      </c>
      <c r="AH8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45350</v>
      </c>
      <c r="AI8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45351</v>
      </c>
      <c r="AJ8" s="15" t="str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/>
      </c>
      <c r="AK8" s="15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9" spans="1:38" x14ac:dyDescent="0.25">
      <c r="A9" s="1" t="s">
        <v>8</v>
      </c>
      <c r="B9" s="1" t="str">
        <f>LEFT(Услуги[[#This Row],[Соц. Услуги]],Ограничение[Кол-во симв.])</f>
        <v>08. Умывание</v>
      </c>
      <c r="C9" s="52">
        <v>0</v>
      </c>
      <c r="D9" s="51"/>
      <c r="F9" s="23">
        <v>44986</v>
      </c>
      <c r="G9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45352</v>
      </c>
      <c r="H9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45353</v>
      </c>
      <c r="I9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45354</v>
      </c>
      <c r="J9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45355</v>
      </c>
      <c r="K9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45356</v>
      </c>
      <c r="L9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45357</v>
      </c>
      <c r="M9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45358</v>
      </c>
      <c r="N9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45359</v>
      </c>
      <c r="O9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45360</v>
      </c>
      <c r="P9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45361</v>
      </c>
      <c r="Q9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45362</v>
      </c>
      <c r="R9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45363</v>
      </c>
      <c r="S9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45364</v>
      </c>
      <c r="T9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45365</v>
      </c>
      <c r="U9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45366</v>
      </c>
      <c r="V9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45367</v>
      </c>
      <c r="W9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45368</v>
      </c>
      <c r="X9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45369</v>
      </c>
      <c r="Y9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45370</v>
      </c>
      <c r="Z9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45371</v>
      </c>
      <c r="AA9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45372</v>
      </c>
      <c r="AB9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45373</v>
      </c>
      <c r="AC9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45374</v>
      </c>
      <c r="AD9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45375</v>
      </c>
      <c r="AE9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45376</v>
      </c>
      <c r="AF9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45377</v>
      </c>
      <c r="AG9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45378</v>
      </c>
      <c r="AH9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45379</v>
      </c>
      <c r="AI9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45380</v>
      </c>
      <c r="AJ9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45381</v>
      </c>
      <c r="AK9" s="15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45382</v>
      </c>
    </row>
    <row r="10" spans="1:38" x14ac:dyDescent="0.25">
      <c r="A10" s="1" t="s">
        <v>9</v>
      </c>
      <c r="B10" s="1" t="str">
        <f>LEFT(Услуги[[#This Row],[Соц. Услуги]],Ограничение[Кол-во симв.])</f>
        <v>09. Помощь при умывании</v>
      </c>
      <c r="C10" s="52">
        <v>0</v>
      </c>
      <c r="D10" s="51"/>
      <c r="F10" s="23">
        <v>45017</v>
      </c>
      <c r="G10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45383</v>
      </c>
      <c r="H10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45384</v>
      </c>
      <c r="I10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45385</v>
      </c>
      <c r="J10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45386</v>
      </c>
      <c r="K10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45387</v>
      </c>
      <c r="L10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45388</v>
      </c>
      <c r="M10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45389</v>
      </c>
      <c r="N10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45390</v>
      </c>
      <c r="O10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45391</v>
      </c>
      <c r="P10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45392</v>
      </c>
      <c r="Q10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45393</v>
      </c>
      <c r="R10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45394</v>
      </c>
      <c r="S10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45395</v>
      </c>
      <c r="T10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45396</v>
      </c>
      <c r="U10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45397</v>
      </c>
      <c r="V10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45398</v>
      </c>
      <c r="W10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45399</v>
      </c>
      <c r="X10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45400</v>
      </c>
      <c r="Y10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45401</v>
      </c>
      <c r="Z10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45402</v>
      </c>
      <c r="AA10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45403</v>
      </c>
      <c r="AB10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45404</v>
      </c>
      <c r="AC10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45405</v>
      </c>
      <c r="AD10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45406</v>
      </c>
      <c r="AE10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45407</v>
      </c>
      <c r="AF10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45408</v>
      </c>
      <c r="AG10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45409</v>
      </c>
      <c r="AH10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45410</v>
      </c>
      <c r="AI10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45411</v>
      </c>
      <c r="AJ10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45412</v>
      </c>
      <c r="AK10" s="15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11" spans="1:38" x14ac:dyDescent="0.25">
      <c r="A11" s="1" t="s">
        <v>10</v>
      </c>
      <c r="B11" s="1" t="str">
        <f>LEFT(Услуги[[#This Row],[Соц. Услуги]],Ограничение[Кол-во симв.])</f>
        <v>10. Купание в кровати, включая мытье гол</v>
      </c>
      <c r="C11" s="52">
        <v>0</v>
      </c>
      <c r="D11" s="51"/>
      <c r="F11" s="23">
        <v>45047</v>
      </c>
      <c r="G11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45413</v>
      </c>
      <c r="H11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45414</v>
      </c>
      <c r="I11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45415</v>
      </c>
      <c r="J11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45416</v>
      </c>
      <c r="K11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45417</v>
      </c>
      <c r="L11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45418</v>
      </c>
      <c r="M11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45419</v>
      </c>
      <c r="N11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45420</v>
      </c>
      <c r="O11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45421</v>
      </c>
      <c r="P11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45422</v>
      </c>
      <c r="Q11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45423</v>
      </c>
      <c r="R11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45424</v>
      </c>
      <c r="S11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45425</v>
      </c>
      <c r="T11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45426</v>
      </c>
      <c r="U11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45427</v>
      </c>
      <c r="V11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45428</v>
      </c>
      <c r="W11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45429</v>
      </c>
      <c r="X11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45430</v>
      </c>
      <c r="Y11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45431</v>
      </c>
      <c r="Z11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45432</v>
      </c>
      <c r="AA11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45433</v>
      </c>
      <c r="AB11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45434</v>
      </c>
      <c r="AC11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45435</v>
      </c>
      <c r="AD11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45436</v>
      </c>
      <c r="AE11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45437</v>
      </c>
      <c r="AF11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45438</v>
      </c>
      <c r="AG11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45439</v>
      </c>
      <c r="AH11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45440</v>
      </c>
      <c r="AI11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45441</v>
      </c>
      <c r="AJ11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45442</v>
      </c>
      <c r="AK11" s="15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45443</v>
      </c>
    </row>
    <row r="12" spans="1:38" x14ac:dyDescent="0.25">
      <c r="A12" s="1" t="s">
        <v>11</v>
      </c>
      <c r="B12" s="1" t="str">
        <f>LEFT(Услуги[[#This Row],[Соц. Услуги]],Ограничение[Кол-во симв.])</f>
        <v xml:space="preserve">11. Купание в приспособленном помещении </v>
      </c>
      <c r="C12" s="52">
        <v>0</v>
      </c>
      <c r="D12" s="51"/>
      <c r="F12" s="23">
        <v>45078</v>
      </c>
      <c r="G12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45444</v>
      </c>
      <c r="H12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45445</v>
      </c>
      <c r="I12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45446</v>
      </c>
      <c r="J12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45447</v>
      </c>
      <c r="K12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45448</v>
      </c>
      <c r="L12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45449</v>
      </c>
      <c r="M12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45450</v>
      </c>
      <c r="N12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45451</v>
      </c>
      <c r="O12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45452</v>
      </c>
      <c r="P12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45453</v>
      </c>
      <c r="Q12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45454</v>
      </c>
      <c r="R12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45455</v>
      </c>
      <c r="S12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45456</v>
      </c>
      <c r="T12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45457</v>
      </c>
      <c r="U12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45458</v>
      </c>
      <c r="V12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45459</v>
      </c>
      <c r="W12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45460</v>
      </c>
      <c r="X12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45461</v>
      </c>
      <c r="Y12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45462</v>
      </c>
      <c r="Z12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45463</v>
      </c>
      <c r="AA12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45464</v>
      </c>
      <c r="AB12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45465</v>
      </c>
      <c r="AC12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45466</v>
      </c>
      <c r="AD12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45467</v>
      </c>
      <c r="AE12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45468</v>
      </c>
      <c r="AF12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45469</v>
      </c>
      <c r="AG12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45470</v>
      </c>
      <c r="AH12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45471</v>
      </c>
      <c r="AI12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45472</v>
      </c>
      <c r="AJ12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45473</v>
      </c>
      <c r="AK12" s="15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13" spans="1:38" x14ac:dyDescent="0.25">
      <c r="A13" s="1" t="s">
        <v>12</v>
      </c>
      <c r="B13" s="1" t="str">
        <f>LEFT(Услуги[[#This Row],[Соц. Услуги]],Ограничение[Кол-во симв.])</f>
        <v>12. Помощь при купании в приспособленном</v>
      </c>
      <c r="C13" s="52">
        <v>0</v>
      </c>
      <c r="D13" s="51"/>
      <c r="F13" s="23">
        <v>45108</v>
      </c>
      <c r="G13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45474</v>
      </c>
      <c r="H13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45475</v>
      </c>
      <c r="I13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45476</v>
      </c>
      <c r="J13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45477</v>
      </c>
      <c r="K13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45478</v>
      </c>
      <c r="L13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45479</v>
      </c>
      <c r="M13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45480</v>
      </c>
      <c r="N13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45481</v>
      </c>
      <c r="O13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45482</v>
      </c>
      <c r="P13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45483</v>
      </c>
      <c r="Q13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45484</v>
      </c>
      <c r="R13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45485</v>
      </c>
      <c r="S13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45486</v>
      </c>
      <c r="T13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45487</v>
      </c>
      <c r="U13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45488</v>
      </c>
      <c r="V13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45489</v>
      </c>
      <c r="W13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45490</v>
      </c>
      <c r="X13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45491</v>
      </c>
      <c r="Y13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45492</v>
      </c>
      <c r="Z13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45493</v>
      </c>
      <c r="AA13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45494</v>
      </c>
      <c r="AB13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45495</v>
      </c>
      <c r="AC13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45496</v>
      </c>
      <c r="AD13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45497</v>
      </c>
      <c r="AE13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45498</v>
      </c>
      <c r="AF13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45499</v>
      </c>
      <c r="AG13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45500</v>
      </c>
      <c r="AH13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45501</v>
      </c>
      <c r="AI13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45502</v>
      </c>
      <c r="AJ13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45503</v>
      </c>
      <c r="AK13" s="15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45504</v>
      </c>
    </row>
    <row r="14" spans="1:38" x14ac:dyDescent="0.25">
      <c r="A14" s="1" t="s">
        <v>13</v>
      </c>
      <c r="B14" s="1" t="str">
        <f>LEFT(Услуги[[#This Row],[Соц. Услуги]],Ограничение[Кол-во симв.])</f>
        <v>13. Гигиеническое обтирание</v>
      </c>
      <c r="C14" s="52">
        <v>0</v>
      </c>
      <c r="D14" s="51"/>
      <c r="F14" s="23">
        <v>45139</v>
      </c>
      <c r="G14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45505</v>
      </c>
      <c r="H14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45506</v>
      </c>
      <c r="I14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45507</v>
      </c>
      <c r="J14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45508</v>
      </c>
      <c r="K14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45509</v>
      </c>
      <c r="L14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45510</v>
      </c>
      <c r="M14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45511</v>
      </c>
      <c r="N14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45512</v>
      </c>
      <c r="O14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45513</v>
      </c>
      <c r="P14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45514</v>
      </c>
      <c r="Q14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45515</v>
      </c>
      <c r="R14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45516</v>
      </c>
      <c r="S14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45517</v>
      </c>
      <c r="T14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45518</v>
      </c>
      <c r="U14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45519</v>
      </c>
      <c r="V14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45520</v>
      </c>
      <c r="W14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45521</v>
      </c>
      <c r="X14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45522</v>
      </c>
      <c r="Y14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45523</v>
      </c>
      <c r="Z14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45524</v>
      </c>
      <c r="AA14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45525</v>
      </c>
      <c r="AB14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45526</v>
      </c>
      <c r="AC14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45527</v>
      </c>
      <c r="AD14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45528</v>
      </c>
      <c r="AE14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45529</v>
      </c>
      <c r="AF14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45530</v>
      </c>
      <c r="AG14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45531</v>
      </c>
      <c r="AH14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45532</v>
      </c>
      <c r="AI14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45533</v>
      </c>
      <c r="AJ14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45534</v>
      </c>
      <c r="AK14" s="15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45535</v>
      </c>
    </row>
    <row r="15" spans="1:38" x14ac:dyDescent="0.25">
      <c r="A15" s="1" t="s">
        <v>14</v>
      </c>
      <c r="B15" s="1" t="str">
        <f>LEFT(Услуги[[#This Row],[Соц. Услуги]],Ограничение[Кол-во симв.])</f>
        <v>14. Мытье головы, в том числе в кровати</v>
      </c>
      <c r="C15" s="52">
        <v>0</v>
      </c>
      <c r="D15" s="51"/>
      <c r="F15" s="23">
        <v>45170</v>
      </c>
      <c r="G15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45536</v>
      </c>
      <c r="H15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45537</v>
      </c>
      <c r="I15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45538</v>
      </c>
      <c r="J15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45539</v>
      </c>
      <c r="K15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45540</v>
      </c>
      <c r="L15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45541</v>
      </c>
      <c r="M15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45542</v>
      </c>
      <c r="N15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45543</v>
      </c>
      <c r="O15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45544</v>
      </c>
      <c r="P15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45545</v>
      </c>
      <c r="Q15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45546</v>
      </c>
      <c r="R15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45547</v>
      </c>
      <c r="S15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45548</v>
      </c>
      <c r="T15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45549</v>
      </c>
      <c r="U15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45550</v>
      </c>
      <c r="V15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45551</v>
      </c>
      <c r="W15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45552</v>
      </c>
      <c r="X15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45553</v>
      </c>
      <c r="Y15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45554</v>
      </c>
      <c r="Z15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45555</v>
      </c>
      <c r="AA15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45556</v>
      </c>
      <c r="AB15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45557</v>
      </c>
      <c r="AC15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45558</v>
      </c>
      <c r="AD15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45559</v>
      </c>
      <c r="AE15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45560</v>
      </c>
      <c r="AF15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45561</v>
      </c>
      <c r="AG15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45562</v>
      </c>
      <c r="AH15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45563</v>
      </c>
      <c r="AI15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45564</v>
      </c>
      <c r="AJ15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45565</v>
      </c>
      <c r="AK15" s="15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16" spans="1:38" x14ac:dyDescent="0.25">
      <c r="A16" s="1" t="s">
        <v>15</v>
      </c>
      <c r="B16" s="1" t="str">
        <f>LEFT(Услуги[[#This Row],[Соц. Услуги]],Ограничение[Кол-во симв.])</f>
        <v>15. Помощь при мытье головы</v>
      </c>
      <c r="C16" s="52">
        <v>0</v>
      </c>
      <c r="D16" s="51"/>
      <c r="F16" s="23">
        <v>45200</v>
      </c>
      <c r="G16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45566</v>
      </c>
      <c r="H16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45567</v>
      </c>
      <c r="I16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45568</v>
      </c>
      <c r="J16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45569</v>
      </c>
      <c r="K16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45570</v>
      </c>
      <c r="L16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45571</v>
      </c>
      <c r="M16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45572</v>
      </c>
      <c r="N16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45573</v>
      </c>
      <c r="O16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45574</v>
      </c>
      <c r="P16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45575</v>
      </c>
      <c r="Q16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45576</v>
      </c>
      <c r="R16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45577</v>
      </c>
      <c r="S16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45578</v>
      </c>
      <c r="T16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45579</v>
      </c>
      <c r="U16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45580</v>
      </c>
      <c r="V16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45581</v>
      </c>
      <c r="W16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45582</v>
      </c>
      <c r="X16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45583</v>
      </c>
      <c r="Y16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45584</v>
      </c>
      <c r="Z16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45585</v>
      </c>
      <c r="AA16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45586</v>
      </c>
      <c r="AB16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45587</v>
      </c>
      <c r="AC16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45588</v>
      </c>
      <c r="AD16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45589</v>
      </c>
      <c r="AE16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45590</v>
      </c>
      <c r="AF16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45591</v>
      </c>
      <c r="AG16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45592</v>
      </c>
      <c r="AH16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45593</v>
      </c>
      <c r="AI16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45594</v>
      </c>
      <c r="AJ16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45595</v>
      </c>
      <c r="AK16" s="15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45596</v>
      </c>
    </row>
    <row r="17" spans="1:37" x14ac:dyDescent="0.25">
      <c r="A17" s="1" t="s">
        <v>16</v>
      </c>
      <c r="B17" s="1" t="str">
        <f>LEFT(Услуги[[#This Row],[Соц. Услуги]],Ограничение[Кол-во симв.])</f>
        <v>16. Подмывание</v>
      </c>
      <c r="C17" s="52">
        <v>0</v>
      </c>
      <c r="D17" s="51"/>
      <c r="F17" s="23">
        <v>45231</v>
      </c>
      <c r="G17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45597</v>
      </c>
      <c r="H17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45598</v>
      </c>
      <c r="I17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45599</v>
      </c>
      <c r="J17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45600</v>
      </c>
      <c r="K17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45601</v>
      </c>
      <c r="L17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45602</v>
      </c>
      <c r="M17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45603</v>
      </c>
      <c r="N17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45604</v>
      </c>
      <c r="O17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45605</v>
      </c>
      <c r="P17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45606</v>
      </c>
      <c r="Q17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45607</v>
      </c>
      <c r="R17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45608</v>
      </c>
      <c r="S17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45609</v>
      </c>
      <c r="T17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45610</v>
      </c>
      <c r="U17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45611</v>
      </c>
      <c r="V17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45612</v>
      </c>
      <c r="W17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45613</v>
      </c>
      <c r="X17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45614</v>
      </c>
      <c r="Y17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45615</v>
      </c>
      <c r="Z17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45616</v>
      </c>
      <c r="AA17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45617</v>
      </c>
      <c r="AB17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45618</v>
      </c>
      <c r="AC17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45619</v>
      </c>
      <c r="AD17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45620</v>
      </c>
      <c r="AE17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45621</v>
      </c>
      <c r="AF17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45622</v>
      </c>
      <c r="AG17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45623</v>
      </c>
      <c r="AH17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45624</v>
      </c>
      <c r="AI17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45625</v>
      </c>
      <c r="AJ17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45626</v>
      </c>
      <c r="AK17" s="15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18" spans="1:37" x14ac:dyDescent="0.25">
      <c r="A18" s="1" t="s">
        <v>17</v>
      </c>
      <c r="B18" s="1" t="str">
        <f>LEFT(Услуги[[#This Row],[Соц. Услуги]],Ограничение[Кол-во симв.])</f>
        <v>17. Гигиеническая обработка рук и ногтей</v>
      </c>
      <c r="C18" s="52">
        <v>0</v>
      </c>
      <c r="D18" s="51"/>
      <c r="F18" s="23">
        <v>45261</v>
      </c>
      <c r="G18" s="15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45627</v>
      </c>
      <c r="H18" s="15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45628</v>
      </c>
      <c r="I18" s="15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45629</v>
      </c>
      <c r="J18" s="15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45630</v>
      </c>
      <c r="K18" s="15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45631</v>
      </c>
      <c r="L18" s="15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45632</v>
      </c>
      <c r="M18" s="15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45633</v>
      </c>
      <c r="N18" s="15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45634</v>
      </c>
      <c r="O18" s="15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45635</v>
      </c>
      <c r="P18" s="15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45636</v>
      </c>
      <c r="Q18" s="15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45637</v>
      </c>
      <c r="R18" s="15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45638</v>
      </c>
      <c r="S18" s="15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45639</v>
      </c>
      <c r="T18" s="15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45640</v>
      </c>
      <c r="U18" s="15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45641</v>
      </c>
      <c r="V18" s="15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45642</v>
      </c>
      <c r="W18" s="15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45643</v>
      </c>
      <c r="X18" s="15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45644</v>
      </c>
      <c r="Y18" s="15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45645</v>
      </c>
      <c r="Z18" s="15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45646</v>
      </c>
      <c r="AA18" s="15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45647</v>
      </c>
      <c r="AB18" s="15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45648</v>
      </c>
      <c r="AC18" s="15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45649</v>
      </c>
      <c r="AD18" s="15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45650</v>
      </c>
      <c r="AE18" s="15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45651</v>
      </c>
      <c r="AF18" s="15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45652</v>
      </c>
      <c r="AG18" s="15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45653</v>
      </c>
      <c r="AH18" s="15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45654</v>
      </c>
      <c r="AI18" s="15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45655</v>
      </c>
      <c r="AJ18" s="15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45656</v>
      </c>
      <c r="AK18" s="15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45657</v>
      </c>
    </row>
    <row r="19" spans="1:37" x14ac:dyDescent="0.25">
      <c r="A19" s="1" t="s">
        <v>18</v>
      </c>
      <c r="B19" s="1" t="str">
        <f>LEFT(Услуги[[#This Row],[Соц. Услуги]],Ограничение[Кол-во симв.])</f>
        <v>18. Помощь при гигиенической обработке р</v>
      </c>
      <c r="C19" s="52">
        <v>0</v>
      </c>
      <c r="D19" s="51"/>
    </row>
    <row r="20" spans="1:37" x14ac:dyDescent="0.25">
      <c r="A20" s="1" t="s">
        <v>19</v>
      </c>
      <c r="B20" s="1" t="str">
        <f>LEFT(Услуги[[#This Row],[Соц. Услуги]],Ограничение[Кол-во симв.])</f>
        <v>19. Мытье ног</v>
      </c>
      <c r="C20" s="52">
        <v>0</v>
      </c>
      <c r="D20" s="51"/>
      <c r="F20" s="1" t="s">
        <v>109</v>
      </c>
      <c r="G20" s="1" t="s">
        <v>75</v>
      </c>
      <c r="H20" s="1" t="s">
        <v>76</v>
      </c>
      <c r="I20" s="1" t="s">
        <v>77</v>
      </c>
      <c r="J20" s="1" t="s">
        <v>78</v>
      </c>
      <c r="K20" s="1" t="s">
        <v>79</v>
      </c>
      <c r="L20" s="1" t="s">
        <v>80</v>
      </c>
      <c r="M20" s="1" t="s">
        <v>81</v>
      </c>
      <c r="N20" s="1" t="s">
        <v>82</v>
      </c>
      <c r="O20" s="1" t="s">
        <v>83</v>
      </c>
      <c r="P20" s="1" t="s">
        <v>84</v>
      </c>
      <c r="Q20" s="1" t="s">
        <v>85</v>
      </c>
      <c r="R20" s="1" t="s">
        <v>86</v>
      </c>
      <c r="S20" s="1" t="s">
        <v>87</v>
      </c>
      <c r="T20" s="1" t="s">
        <v>88</v>
      </c>
      <c r="U20" s="1" t="s">
        <v>89</v>
      </c>
      <c r="V20" s="1" t="s">
        <v>90</v>
      </c>
      <c r="W20" s="1" t="s">
        <v>91</v>
      </c>
      <c r="X20" s="1" t="s">
        <v>92</v>
      </c>
      <c r="Y20" s="1" t="s">
        <v>93</v>
      </c>
      <c r="Z20" s="1" t="s">
        <v>94</v>
      </c>
      <c r="AA20" s="1" t="s">
        <v>95</v>
      </c>
      <c r="AB20" s="1" t="s">
        <v>96</v>
      </c>
      <c r="AC20" s="1" t="s">
        <v>97</v>
      </c>
      <c r="AD20" s="1" t="s">
        <v>98</v>
      </c>
      <c r="AE20" s="1" t="s">
        <v>99</v>
      </c>
      <c r="AF20" s="1" t="s">
        <v>100</v>
      </c>
      <c r="AG20" s="1" t="s">
        <v>101</v>
      </c>
      <c r="AH20" s="1" t="s">
        <v>102</v>
      </c>
      <c r="AI20" s="1" t="s">
        <v>103</v>
      </c>
      <c r="AJ20" s="1" t="s">
        <v>104</v>
      </c>
      <c r="AK20" s="1" t="s">
        <v>113</v>
      </c>
    </row>
    <row r="21" spans="1:37" x14ac:dyDescent="0.25">
      <c r="A21" s="1" t="s">
        <v>20</v>
      </c>
      <c r="B21" s="1" t="str">
        <f>LEFT(Услуги[[#This Row],[Соц. Услуги]],Ограничение[Кол-во симв.])</f>
        <v>20. Помощь при мытье ног</v>
      </c>
      <c r="C21" s="52">
        <v>0</v>
      </c>
      <c r="D21" s="51"/>
      <c r="F21" s="12" t="s">
        <v>119</v>
      </c>
      <c r="G21" s="49">
        <f t="shared" ref="G21:V21" si="0">IF(G7="",0,ROUNDUP(DAY(G7)/7,0)+(WEEKDAY(G7-DAY(G7)+1,11)&gt;WEEKDAY(G7,11)))</f>
        <v>1</v>
      </c>
      <c r="H21" s="49">
        <f t="shared" si="0"/>
        <v>1</v>
      </c>
      <c r="I21" s="49">
        <f t="shared" si="0"/>
        <v>1</v>
      </c>
      <c r="J21" s="49">
        <f t="shared" si="0"/>
        <v>1</v>
      </c>
      <c r="K21" s="49">
        <f t="shared" si="0"/>
        <v>1</v>
      </c>
      <c r="L21" s="49">
        <f t="shared" si="0"/>
        <v>1</v>
      </c>
      <c r="M21" s="49">
        <f t="shared" si="0"/>
        <v>1</v>
      </c>
      <c r="N21" s="49">
        <f t="shared" si="0"/>
        <v>2</v>
      </c>
      <c r="O21" s="49">
        <f t="shared" si="0"/>
        <v>2</v>
      </c>
      <c r="P21" s="49">
        <f t="shared" si="0"/>
        <v>2</v>
      </c>
      <c r="Q21" s="49">
        <f t="shared" si="0"/>
        <v>2</v>
      </c>
      <c r="R21" s="49">
        <f t="shared" si="0"/>
        <v>2</v>
      </c>
      <c r="S21" s="49">
        <f t="shared" si="0"/>
        <v>2</v>
      </c>
      <c r="T21" s="49">
        <f t="shared" si="0"/>
        <v>2</v>
      </c>
      <c r="U21" s="49">
        <f t="shared" si="0"/>
        <v>3</v>
      </c>
      <c r="V21" s="49">
        <f t="shared" si="0"/>
        <v>3</v>
      </c>
      <c r="W21" s="49">
        <f t="shared" ref="H21:AK29" si="1">IF(W7="",0,ROUNDUP(DAY(W7)/7,0)+(WEEKDAY(W7-DAY(W7)+1,11)&gt;WEEKDAY(W7,11)))</f>
        <v>3</v>
      </c>
      <c r="X21" s="49">
        <f t="shared" si="1"/>
        <v>3</v>
      </c>
      <c r="Y21" s="49">
        <f t="shared" si="1"/>
        <v>3</v>
      </c>
      <c r="Z21" s="49">
        <f t="shared" si="1"/>
        <v>3</v>
      </c>
      <c r="AA21" s="49">
        <f t="shared" si="1"/>
        <v>3</v>
      </c>
      <c r="AB21" s="49">
        <f t="shared" si="1"/>
        <v>4</v>
      </c>
      <c r="AC21" s="49">
        <f t="shared" si="1"/>
        <v>4</v>
      </c>
      <c r="AD21" s="49">
        <f t="shared" si="1"/>
        <v>4</v>
      </c>
      <c r="AE21" s="49">
        <f t="shared" si="1"/>
        <v>4</v>
      </c>
      <c r="AF21" s="49">
        <f t="shared" si="1"/>
        <v>4</v>
      </c>
      <c r="AG21" s="49">
        <f t="shared" si="1"/>
        <v>4</v>
      </c>
      <c r="AH21" s="49">
        <f t="shared" si="1"/>
        <v>4</v>
      </c>
      <c r="AI21" s="49">
        <f t="shared" si="1"/>
        <v>5</v>
      </c>
      <c r="AJ21" s="49">
        <f t="shared" si="1"/>
        <v>5</v>
      </c>
      <c r="AK21" s="49">
        <f t="shared" si="1"/>
        <v>5</v>
      </c>
    </row>
    <row r="22" spans="1:37" x14ac:dyDescent="0.25">
      <c r="A22" s="1" t="s">
        <v>21</v>
      </c>
      <c r="B22" s="1" t="str">
        <f>LEFT(Услуги[[#This Row],[Соц. Услуги]],Ограничение[Кол-во симв.])</f>
        <v>21. Гигиеническая обработка ног и ногтей</v>
      </c>
      <c r="C22" s="52">
        <v>0</v>
      </c>
      <c r="D22" s="51"/>
      <c r="F22" s="12" t="s">
        <v>118</v>
      </c>
      <c r="G22" s="49">
        <f t="shared" ref="G22:G32" si="2">IF(G8="",0,ROUNDUP(DAY(G8)/7,0)+(WEEKDAY(G8-DAY(G8)+1,11)&gt;WEEKDAY(G8,11)))</f>
        <v>1</v>
      </c>
      <c r="H22" s="49">
        <f t="shared" si="1"/>
        <v>1</v>
      </c>
      <c r="I22" s="49">
        <f t="shared" si="1"/>
        <v>1</v>
      </c>
      <c r="J22" s="49">
        <f t="shared" si="1"/>
        <v>1</v>
      </c>
      <c r="K22" s="49">
        <f t="shared" si="1"/>
        <v>2</v>
      </c>
      <c r="L22" s="49">
        <f t="shared" si="1"/>
        <v>2</v>
      </c>
      <c r="M22" s="49">
        <f t="shared" si="1"/>
        <v>2</v>
      </c>
      <c r="N22" s="49">
        <f t="shared" si="1"/>
        <v>2</v>
      </c>
      <c r="O22" s="49">
        <f t="shared" si="1"/>
        <v>2</v>
      </c>
      <c r="P22" s="49">
        <f t="shared" si="1"/>
        <v>2</v>
      </c>
      <c r="Q22" s="49">
        <f t="shared" si="1"/>
        <v>2</v>
      </c>
      <c r="R22" s="49">
        <f t="shared" si="1"/>
        <v>3</v>
      </c>
      <c r="S22" s="49">
        <f t="shared" si="1"/>
        <v>3</v>
      </c>
      <c r="T22" s="49">
        <f t="shared" si="1"/>
        <v>3</v>
      </c>
      <c r="U22" s="49">
        <f t="shared" si="1"/>
        <v>3</v>
      </c>
      <c r="V22" s="49">
        <f t="shared" si="1"/>
        <v>3</v>
      </c>
      <c r="W22" s="49">
        <f t="shared" si="1"/>
        <v>3</v>
      </c>
      <c r="X22" s="49">
        <f t="shared" si="1"/>
        <v>3</v>
      </c>
      <c r="Y22" s="49">
        <f t="shared" si="1"/>
        <v>4</v>
      </c>
      <c r="Z22" s="49">
        <f t="shared" si="1"/>
        <v>4</v>
      </c>
      <c r="AA22" s="49">
        <f t="shared" si="1"/>
        <v>4</v>
      </c>
      <c r="AB22" s="49">
        <f t="shared" si="1"/>
        <v>4</v>
      </c>
      <c r="AC22" s="49">
        <f t="shared" si="1"/>
        <v>4</v>
      </c>
      <c r="AD22" s="49">
        <f t="shared" si="1"/>
        <v>4</v>
      </c>
      <c r="AE22" s="49">
        <f t="shared" si="1"/>
        <v>4</v>
      </c>
      <c r="AF22" s="49">
        <f t="shared" si="1"/>
        <v>5</v>
      </c>
      <c r="AG22" s="49">
        <f t="shared" si="1"/>
        <v>5</v>
      </c>
      <c r="AH22" s="49">
        <f t="shared" si="1"/>
        <v>5</v>
      </c>
      <c r="AI22" s="49">
        <f t="shared" si="1"/>
        <v>5</v>
      </c>
      <c r="AJ22" s="49">
        <f t="shared" si="1"/>
        <v>0</v>
      </c>
      <c r="AK22" s="49">
        <f t="shared" si="1"/>
        <v>0</v>
      </c>
    </row>
    <row r="23" spans="1:37" x14ac:dyDescent="0.25">
      <c r="A23" s="1" t="s">
        <v>22</v>
      </c>
      <c r="B23" s="1" t="str">
        <f>LEFT(Услуги[[#This Row],[Соц. Услуги]],Ограничение[Кол-во симв.])</f>
        <v>22. Помощь при гигиенической обработка н</v>
      </c>
      <c r="C23" s="52">
        <v>0</v>
      </c>
      <c r="D23" s="51"/>
      <c r="F23" s="12" t="s">
        <v>117</v>
      </c>
      <c r="G23" s="49">
        <f t="shared" si="2"/>
        <v>1</v>
      </c>
      <c r="H23" s="49">
        <f t="shared" si="1"/>
        <v>1</v>
      </c>
      <c r="I23" s="49">
        <f t="shared" si="1"/>
        <v>1</v>
      </c>
      <c r="J23" s="49">
        <f t="shared" si="1"/>
        <v>2</v>
      </c>
      <c r="K23" s="49">
        <f t="shared" si="1"/>
        <v>2</v>
      </c>
      <c r="L23" s="49">
        <f t="shared" si="1"/>
        <v>2</v>
      </c>
      <c r="M23" s="49">
        <f t="shared" si="1"/>
        <v>2</v>
      </c>
      <c r="N23" s="49">
        <f t="shared" si="1"/>
        <v>2</v>
      </c>
      <c r="O23" s="49">
        <f t="shared" si="1"/>
        <v>2</v>
      </c>
      <c r="P23" s="49">
        <f t="shared" si="1"/>
        <v>2</v>
      </c>
      <c r="Q23" s="49">
        <f t="shared" si="1"/>
        <v>3</v>
      </c>
      <c r="R23" s="49">
        <f t="shared" si="1"/>
        <v>3</v>
      </c>
      <c r="S23" s="49">
        <f t="shared" si="1"/>
        <v>3</v>
      </c>
      <c r="T23" s="49">
        <f t="shared" si="1"/>
        <v>3</v>
      </c>
      <c r="U23" s="49">
        <f t="shared" si="1"/>
        <v>3</v>
      </c>
      <c r="V23" s="49">
        <f t="shared" si="1"/>
        <v>3</v>
      </c>
      <c r="W23" s="49">
        <f t="shared" si="1"/>
        <v>3</v>
      </c>
      <c r="X23" s="49">
        <f t="shared" si="1"/>
        <v>4</v>
      </c>
      <c r="Y23" s="49">
        <f t="shared" si="1"/>
        <v>4</v>
      </c>
      <c r="Z23" s="49">
        <f t="shared" si="1"/>
        <v>4</v>
      </c>
      <c r="AA23" s="49">
        <f t="shared" si="1"/>
        <v>4</v>
      </c>
      <c r="AB23" s="49">
        <f t="shared" si="1"/>
        <v>4</v>
      </c>
      <c r="AC23" s="49">
        <f t="shared" si="1"/>
        <v>4</v>
      </c>
      <c r="AD23" s="49">
        <f t="shared" si="1"/>
        <v>4</v>
      </c>
      <c r="AE23" s="49">
        <f t="shared" si="1"/>
        <v>5</v>
      </c>
      <c r="AF23" s="49">
        <f t="shared" si="1"/>
        <v>5</v>
      </c>
      <c r="AG23" s="49">
        <f t="shared" si="1"/>
        <v>5</v>
      </c>
      <c r="AH23" s="49">
        <f t="shared" si="1"/>
        <v>5</v>
      </c>
      <c r="AI23" s="49">
        <f t="shared" si="1"/>
        <v>5</v>
      </c>
      <c r="AJ23" s="49">
        <f t="shared" si="1"/>
        <v>5</v>
      </c>
      <c r="AK23" s="49">
        <f t="shared" si="1"/>
        <v>5</v>
      </c>
    </row>
    <row r="24" spans="1:37" x14ac:dyDescent="0.25">
      <c r="A24" s="1" t="s">
        <v>23</v>
      </c>
      <c r="B24" s="1" t="str">
        <f>LEFT(Услуги[[#This Row],[Соц. Услуги]],Ограничение[Кол-во симв.])</f>
        <v>23. Гигиенииеское бритье</v>
      </c>
      <c r="C24" s="52">
        <v>0</v>
      </c>
      <c r="D24" s="51"/>
      <c r="F24" s="12" t="s">
        <v>116</v>
      </c>
      <c r="G24" s="49">
        <f t="shared" si="2"/>
        <v>1</v>
      </c>
      <c r="H24" s="49">
        <f t="shared" si="1"/>
        <v>1</v>
      </c>
      <c r="I24" s="49">
        <f t="shared" si="1"/>
        <v>1</v>
      </c>
      <c r="J24" s="49">
        <f t="shared" si="1"/>
        <v>1</v>
      </c>
      <c r="K24" s="49">
        <f t="shared" si="1"/>
        <v>1</v>
      </c>
      <c r="L24" s="49">
        <f t="shared" si="1"/>
        <v>1</v>
      </c>
      <c r="M24" s="49">
        <f t="shared" si="1"/>
        <v>1</v>
      </c>
      <c r="N24" s="49">
        <f t="shared" si="1"/>
        <v>2</v>
      </c>
      <c r="O24" s="49">
        <f t="shared" si="1"/>
        <v>2</v>
      </c>
      <c r="P24" s="49">
        <f t="shared" si="1"/>
        <v>2</v>
      </c>
      <c r="Q24" s="49">
        <f t="shared" si="1"/>
        <v>2</v>
      </c>
      <c r="R24" s="49">
        <f t="shared" si="1"/>
        <v>2</v>
      </c>
      <c r="S24" s="49">
        <f t="shared" si="1"/>
        <v>2</v>
      </c>
      <c r="T24" s="49">
        <f t="shared" si="1"/>
        <v>2</v>
      </c>
      <c r="U24" s="49">
        <f t="shared" si="1"/>
        <v>3</v>
      </c>
      <c r="V24" s="49">
        <f t="shared" si="1"/>
        <v>3</v>
      </c>
      <c r="W24" s="49">
        <f t="shared" si="1"/>
        <v>3</v>
      </c>
      <c r="X24" s="49">
        <f t="shared" si="1"/>
        <v>3</v>
      </c>
      <c r="Y24" s="49">
        <f t="shared" si="1"/>
        <v>3</v>
      </c>
      <c r="Z24" s="49">
        <f t="shared" si="1"/>
        <v>3</v>
      </c>
      <c r="AA24" s="49">
        <f t="shared" si="1"/>
        <v>3</v>
      </c>
      <c r="AB24" s="49">
        <f t="shared" si="1"/>
        <v>4</v>
      </c>
      <c r="AC24" s="49">
        <f t="shared" si="1"/>
        <v>4</v>
      </c>
      <c r="AD24" s="49">
        <f t="shared" si="1"/>
        <v>4</v>
      </c>
      <c r="AE24" s="49">
        <f t="shared" si="1"/>
        <v>4</v>
      </c>
      <c r="AF24" s="49">
        <f t="shared" si="1"/>
        <v>4</v>
      </c>
      <c r="AG24" s="49">
        <f t="shared" si="1"/>
        <v>4</v>
      </c>
      <c r="AH24" s="49">
        <f t="shared" si="1"/>
        <v>4</v>
      </c>
      <c r="AI24" s="49">
        <f t="shared" si="1"/>
        <v>5</v>
      </c>
      <c r="AJ24" s="49">
        <f t="shared" si="1"/>
        <v>5</v>
      </c>
      <c r="AK24" s="49">
        <f t="shared" si="1"/>
        <v>0</v>
      </c>
    </row>
    <row r="25" spans="1:37" x14ac:dyDescent="0.25">
      <c r="A25" s="1" t="s">
        <v>24</v>
      </c>
      <c r="B25" s="1" t="str">
        <f>LEFT(Услуги[[#This Row],[Соц. Услуги]],Ограничение[Кол-во симв.])</f>
        <v>24. Гигиеническая стрижка</v>
      </c>
      <c r="C25" s="52">
        <v>0</v>
      </c>
      <c r="D25" s="51"/>
      <c r="F25" s="12" t="s">
        <v>115</v>
      </c>
      <c r="G25" s="49">
        <f t="shared" si="2"/>
        <v>1</v>
      </c>
      <c r="H25" s="49">
        <f t="shared" si="1"/>
        <v>1</v>
      </c>
      <c r="I25" s="49">
        <f t="shared" si="1"/>
        <v>1</v>
      </c>
      <c r="J25" s="49">
        <f t="shared" si="1"/>
        <v>1</v>
      </c>
      <c r="K25" s="49">
        <f t="shared" si="1"/>
        <v>1</v>
      </c>
      <c r="L25" s="49">
        <f t="shared" si="1"/>
        <v>2</v>
      </c>
      <c r="M25" s="49">
        <f t="shared" si="1"/>
        <v>2</v>
      </c>
      <c r="N25" s="49">
        <f t="shared" si="1"/>
        <v>2</v>
      </c>
      <c r="O25" s="49">
        <f t="shared" si="1"/>
        <v>2</v>
      </c>
      <c r="P25" s="49">
        <f t="shared" si="1"/>
        <v>2</v>
      </c>
      <c r="Q25" s="49">
        <f t="shared" si="1"/>
        <v>2</v>
      </c>
      <c r="R25" s="49">
        <f t="shared" si="1"/>
        <v>2</v>
      </c>
      <c r="S25" s="49">
        <f t="shared" si="1"/>
        <v>3</v>
      </c>
      <c r="T25" s="49">
        <f t="shared" si="1"/>
        <v>3</v>
      </c>
      <c r="U25" s="49">
        <f t="shared" si="1"/>
        <v>3</v>
      </c>
      <c r="V25" s="49">
        <f t="shared" si="1"/>
        <v>3</v>
      </c>
      <c r="W25" s="49">
        <f t="shared" si="1"/>
        <v>3</v>
      </c>
      <c r="X25" s="49">
        <f t="shared" si="1"/>
        <v>3</v>
      </c>
      <c r="Y25" s="49">
        <f t="shared" si="1"/>
        <v>3</v>
      </c>
      <c r="Z25" s="49">
        <f t="shared" si="1"/>
        <v>4</v>
      </c>
      <c r="AA25" s="49">
        <f t="shared" si="1"/>
        <v>4</v>
      </c>
      <c r="AB25" s="49">
        <f t="shared" si="1"/>
        <v>4</v>
      </c>
      <c r="AC25" s="49">
        <f t="shared" si="1"/>
        <v>4</v>
      </c>
      <c r="AD25" s="49">
        <f t="shared" si="1"/>
        <v>4</v>
      </c>
      <c r="AE25" s="49">
        <f t="shared" si="1"/>
        <v>4</v>
      </c>
      <c r="AF25" s="49">
        <f t="shared" si="1"/>
        <v>4</v>
      </c>
      <c r="AG25" s="49">
        <f t="shared" si="1"/>
        <v>5</v>
      </c>
      <c r="AH25" s="49">
        <f t="shared" si="1"/>
        <v>5</v>
      </c>
      <c r="AI25" s="49">
        <f t="shared" si="1"/>
        <v>5</v>
      </c>
      <c r="AJ25" s="49">
        <f t="shared" si="1"/>
        <v>5</v>
      </c>
      <c r="AK25" s="49">
        <f t="shared" si="1"/>
        <v>5</v>
      </c>
    </row>
    <row r="26" spans="1:37" x14ac:dyDescent="0.25">
      <c r="A26" s="1" t="s">
        <v>25</v>
      </c>
      <c r="B26" s="1" t="str">
        <f>LEFT(Услуги[[#This Row],[Соц. Услуги]],Ограничение[Кол-во симв.])</f>
        <v>25. Смена одежды (обуви)</v>
      </c>
      <c r="C26" s="52">
        <v>0</v>
      </c>
      <c r="D26" s="51"/>
      <c r="F26" s="12" t="s">
        <v>114</v>
      </c>
      <c r="G26" s="49">
        <f t="shared" si="2"/>
        <v>1</v>
      </c>
      <c r="H26" s="49">
        <f t="shared" si="1"/>
        <v>1</v>
      </c>
      <c r="I26" s="49">
        <f t="shared" si="1"/>
        <v>2</v>
      </c>
      <c r="J26" s="49">
        <f t="shared" si="1"/>
        <v>2</v>
      </c>
      <c r="K26" s="49">
        <f t="shared" si="1"/>
        <v>2</v>
      </c>
      <c r="L26" s="49">
        <f t="shared" si="1"/>
        <v>2</v>
      </c>
      <c r="M26" s="49">
        <f t="shared" si="1"/>
        <v>2</v>
      </c>
      <c r="N26" s="49">
        <f t="shared" si="1"/>
        <v>2</v>
      </c>
      <c r="O26" s="49">
        <f t="shared" si="1"/>
        <v>2</v>
      </c>
      <c r="P26" s="49">
        <f t="shared" si="1"/>
        <v>3</v>
      </c>
      <c r="Q26" s="49">
        <f t="shared" si="1"/>
        <v>3</v>
      </c>
      <c r="R26" s="49">
        <f t="shared" si="1"/>
        <v>3</v>
      </c>
      <c r="S26" s="49">
        <f t="shared" si="1"/>
        <v>3</v>
      </c>
      <c r="T26" s="49">
        <f t="shared" si="1"/>
        <v>3</v>
      </c>
      <c r="U26" s="49">
        <f t="shared" si="1"/>
        <v>3</v>
      </c>
      <c r="V26" s="49">
        <f t="shared" si="1"/>
        <v>3</v>
      </c>
      <c r="W26" s="49">
        <f t="shared" si="1"/>
        <v>4</v>
      </c>
      <c r="X26" s="49">
        <f t="shared" si="1"/>
        <v>4</v>
      </c>
      <c r="Y26" s="49">
        <f t="shared" si="1"/>
        <v>4</v>
      </c>
      <c r="Z26" s="49">
        <f t="shared" si="1"/>
        <v>4</v>
      </c>
      <c r="AA26" s="49">
        <f t="shared" si="1"/>
        <v>4</v>
      </c>
      <c r="AB26" s="49">
        <f t="shared" si="1"/>
        <v>4</v>
      </c>
      <c r="AC26" s="49">
        <f t="shared" si="1"/>
        <v>4</v>
      </c>
      <c r="AD26" s="49">
        <f t="shared" si="1"/>
        <v>5</v>
      </c>
      <c r="AE26" s="49">
        <f t="shared" si="1"/>
        <v>5</v>
      </c>
      <c r="AF26" s="49">
        <f t="shared" si="1"/>
        <v>5</v>
      </c>
      <c r="AG26" s="49">
        <f t="shared" si="1"/>
        <v>5</v>
      </c>
      <c r="AH26" s="49">
        <f t="shared" si="1"/>
        <v>5</v>
      </c>
      <c r="AI26" s="49">
        <f t="shared" si="1"/>
        <v>5</v>
      </c>
      <c r="AJ26" s="49">
        <f t="shared" si="1"/>
        <v>5</v>
      </c>
      <c r="AK26" s="49">
        <f t="shared" si="1"/>
        <v>0</v>
      </c>
    </row>
    <row r="27" spans="1:37" x14ac:dyDescent="0.25">
      <c r="A27" s="1" t="s">
        <v>26</v>
      </c>
      <c r="B27" s="1" t="str">
        <f>LEFT(Услуги[[#This Row],[Соц. Услуги]],Ограничение[Кол-во симв.])</f>
        <v>26. Помощь при смене одежды (обуви)</v>
      </c>
      <c r="C27" s="52">
        <v>0</v>
      </c>
      <c r="D27" s="51"/>
      <c r="F27" s="12" t="s">
        <v>112</v>
      </c>
      <c r="G27" s="49">
        <f t="shared" si="2"/>
        <v>1</v>
      </c>
      <c r="H27" s="49">
        <f t="shared" si="1"/>
        <v>1</v>
      </c>
      <c r="I27" s="49">
        <f t="shared" si="1"/>
        <v>1</v>
      </c>
      <c r="J27" s="49">
        <f t="shared" si="1"/>
        <v>1</v>
      </c>
      <c r="K27" s="49">
        <f t="shared" si="1"/>
        <v>1</v>
      </c>
      <c r="L27" s="49">
        <f t="shared" si="1"/>
        <v>1</v>
      </c>
      <c r="M27" s="49">
        <f t="shared" si="1"/>
        <v>1</v>
      </c>
      <c r="N27" s="49">
        <f t="shared" si="1"/>
        <v>2</v>
      </c>
      <c r="O27" s="49">
        <f t="shared" si="1"/>
        <v>2</v>
      </c>
      <c r="P27" s="49">
        <f t="shared" si="1"/>
        <v>2</v>
      </c>
      <c r="Q27" s="49">
        <f t="shared" si="1"/>
        <v>2</v>
      </c>
      <c r="R27" s="49">
        <f t="shared" si="1"/>
        <v>2</v>
      </c>
      <c r="S27" s="49">
        <f t="shared" si="1"/>
        <v>2</v>
      </c>
      <c r="T27" s="49">
        <f t="shared" si="1"/>
        <v>2</v>
      </c>
      <c r="U27" s="49">
        <f t="shared" si="1"/>
        <v>3</v>
      </c>
      <c r="V27" s="49">
        <f t="shared" si="1"/>
        <v>3</v>
      </c>
      <c r="W27" s="49">
        <f t="shared" si="1"/>
        <v>3</v>
      </c>
      <c r="X27" s="49">
        <f t="shared" si="1"/>
        <v>3</v>
      </c>
      <c r="Y27" s="49">
        <f t="shared" si="1"/>
        <v>3</v>
      </c>
      <c r="Z27" s="49">
        <f t="shared" si="1"/>
        <v>3</v>
      </c>
      <c r="AA27" s="49">
        <f t="shared" si="1"/>
        <v>3</v>
      </c>
      <c r="AB27" s="49">
        <f t="shared" si="1"/>
        <v>4</v>
      </c>
      <c r="AC27" s="49">
        <f t="shared" si="1"/>
        <v>4</v>
      </c>
      <c r="AD27" s="49">
        <f t="shared" si="1"/>
        <v>4</v>
      </c>
      <c r="AE27" s="49">
        <f t="shared" si="1"/>
        <v>4</v>
      </c>
      <c r="AF27" s="49">
        <f t="shared" si="1"/>
        <v>4</v>
      </c>
      <c r="AG27" s="49">
        <f t="shared" si="1"/>
        <v>4</v>
      </c>
      <c r="AH27" s="49">
        <f t="shared" si="1"/>
        <v>4</v>
      </c>
      <c r="AI27" s="49">
        <f t="shared" si="1"/>
        <v>5</v>
      </c>
      <c r="AJ27" s="49">
        <f t="shared" si="1"/>
        <v>5</v>
      </c>
      <c r="AK27" s="49">
        <f t="shared" si="1"/>
        <v>5</v>
      </c>
    </row>
    <row r="28" spans="1:37" x14ac:dyDescent="0.25">
      <c r="A28" s="1" t="s">
        <v>27</v>
      </c>
      <c r="B28" s="1" t="str">
        <f>LEFT(Услуги[[#This Row],[Соц. Услуги]],Ограничение[Кол-во симв.])</f>
        <v>27. Смена нательного белья</v>
      </c>
      <c r="C28" s="52">
        <v>0</v>
      </c>
      <c r="D28" s="51"/>
      <c r="F28" s="12" t="s">
        <v>111</v>
      </c>
      <c r="G28" s="49">
        <f t="shared" si="2"/>
        <v>1</v>
      </c>
      <c r="H28" s="49">
        <f t="shared" si="1"/>
        <v>1</v>
      </c>
      <c r="I28" s="49">
        <f t="shared" si="1"/>
        <v>1</v>
      </c>
      <c r="J28" s="49">
        <f t="shared" si="1"/>
        <v>1</v>
      </c>
      <c r="K28" s="49">
        <f t="shared" si="1"/>
        <v>2</v>
      </c>
      <c r="L28" s="49">
        <f t="shared" si="1"/>
        <v>2</v>
      </c>
      <c r="M28" s="49">
        <f t="shared" si="1"/>
        <v>2</v>
      </c>
      <c r="N28" s="49">
        <f t="shared" si="1"/>
        <v>2</v>
      </c>
      <c r="O28" s="49">
        <f t="shared" si="1"/>
        <v>2</v>
      </c>
      <c r="P28" s="49">
        <f t="shared" si="1"/>
        <v>2</v>
      </c>
      <c r="Q28" s="49">
        <f t="shared" si="1"/>
        <v>2</v>
      </c>
      <c r="R28" s="49">
        <f t="shared" si="1"/>
        <v>3</v>
      </c>
      <c r="S28" s="49">
        <f t="shared" si="1"/>
        <v>3</v>
      </c>
      <c r="T28" s="49">
        <f t="shared" si="1"/>
        <v>3</v>
      </c>
      <c r="U28" s="49">
        <f t="shared" si="1"/>
        <v>3</v>
      </c>
      <c r="V28" s="49">
        <f t="shared" si="1"/>
        <v>3</v>
      </c>
      <c r="W28" s="49">
        <f t="shared" si="1"/>
        <v>3</v>
      </c>
      <c r="X28" s="49">
        <f t="shared" si="1"/>
        <v>3</v>
      </c>
      <c r="Y28" s="49">
        <f t="shared" si="1"/>
        <v>4</v>
      </c>
      <c r="Z28" s="49">
        <f t="shared" si="1"/>
        <v>4</v>
      </c>
      <c r="AA28" s="49">
        <f t="shared" si="1"/>
        <v>4</v>
      </c>
      <c r="AB28" s="49">
        <f t="shared" si="1"/>
        <v>4</v>
      </c>
      <c r="AC28" s="49">
        <f t="shared" si="1"/>
        <v>4</v>
      </c>
      <c r="AD28" s="49">
        <f t="shared" si="1"/>
        <v>4</v>
      </c>
      <c r="AE28" s="49">
        <f t="shared" si="1"/>
        <v>4</v>
      </c>
      <c r="AF28" s="49">
        <f t="shared" si="1"/>
        <v>5</v>
      </c>
      <c r="AG28" s="49">
        <f t="shared" si="1"/>
        <v>5</v>
      </c>
      <c r="AH28" s="49">
        <f t="shared" si="1"/>
        <v>5</v>
      </c>
      <c r="AI28" s="49">
        <f t="shared" si="1"/>
        <v>5</v>
      </c>
      <c r="AJ28" s="49">
        <f t="shared" si="1"/>
        <v>5</v>
      </c>
      <c r="AK28" s="49">
        <f t="shared" si="1"/>
        <v>5</v>
      </c>
    </row>
    <row r="29" spans="1:37" x14ac:dyDescent="0.25">
      <c r="A29" s="1" t="s">
        <v>28</v>
      </c>
      <c r="B29" s="1" t="str">
        <f>LEFT(Услуги[[#This Row],[Соц. Услуги]],Ограничение[Кол-во симв.])</f>
        <v>28. Помощь при смене нательного белья</v>
      </c>
      <c r="C29" s="52">
        <v>0</v>
      </c>
      <c r="D29" s="51"/>
      <c r="F29" s="12" t="s">
        <v>108</v>
      </c>
      <c r="G29" s="49">
        <f t="shared" si="2"/>
        <v>1</v>
      </c>
      <c r="H29" s="49">
        <f t="shared" si="1"/>
        <v>2</v>
      </c>
      <c r="I29" s="49">
        <f t="shared" si="1"/>
        <v>2</v>
      </c>
      <c r="J29" s="49">
        <f t="shared" si="1"/>
        <v>2</v>
      </c>
      <c r="K29" s="49">
        <f t="shared" si="1"/>
        <v>2</v>
      </c>
      <c r="L29" s="49">
        <f t="shared" si="1"/>
        <v>2</v>
      </c>
      <c r="M29" s="49">
        <f t="shared" si="1"/>
        <v>2</v>
      </c>
      <c r="N29" s="49">
        <f t="shared" si="1"/>
        <v>2</v>
      </c>
      <c r="O29" s="49">
        <f t="shared" si="1"/>
        <v>3</v>
      </c>
      <c r="P29" s="49">
        <f t="shared" si="1"/>
        <v>3</v>
      </c>
      <c r="Q29" s="49">
        <f t="shared" si="1"/>
        <v>3</v>
      </c>
      <c r="R29" s="49">
        <f t="shared" si="1"/>
        <v>3</v>
      </c>
      <c r="S29" s="49">
        <f t="shared" si="1"/>
        <v>3</v>
      </c>
      <c r="T29" s="49">
        <f t="shared" si="1"/>
        <v>3</v>
      </c>
      <c r="U29" s="49">
        <f t="shared" si="1"/>
        <v>3</v>
      </c>
      <c r="V29" s="49">
        <f t="shared" si="1"/>
        <v>4</v>
      </c>
      <c r="W29" s="49">
        <f t="shared" si="1"/>
        <v>4</v>
      </c>
      <c r="X29" s="49">
        <f t="shared" si="1"/>
        <v>4</v>
      </c>
      <c r="Y29" s="49">
        <f t="shared" si="1"/>
        <v>4</v>
      </c>
      <c r="Z29" s="49">
        <f t="shared" si="1"/>
        <v>4</v>
      </c>
      <c r="AA29" s="49">
        <f t="shared" si="1"/>
        <v>4</v>
      </c>
      <c r="AB29" s="49">
        <f t="shared" si="1"/>
        <v>4</v>
      </c>
      <c r="AC29" s="49">
        <f t="shared" si="1"/>
        <v>5</v>
      </c>
      <c r="AD29" s="49">
        <f t="shared" si="1"/>
        <v>5</v>
      </c>
      <c r="AE29" s="49">
        <f t="shared" si="1"/>
        <v>5</v>
      </c>
      <c r="AF29" s="49">
        <f t="shared" si="1"/>
        <v>5</v>
      </c>
      <c r="AG29" s="49">
        <f t="shared" si="1"/>
        <v>5</v>
      </c>
      <c r="AH29" s="49">
        <f t="shared" si="1"/>
        <v>5</v>
      </c>
      <c r="AI29" s="49">
        <f t="shared" si="1"/>
        <v>5</v>
      </c>
      <c r="AJ29" s="49">
        <f t="shared" si="1"/>
        <v>6</v>
      </c>
      <c r="AK29" s="49">
        <f t="shared" si="1"/>
        <v>0</v>
      </c>
    </row>
    <row r="30" spans="1:37" x14ac:dyDescent="0.25">
      <c r="A30" s="1" t="s">
        <v>29</v>
      </c>
      <c r="B30" s="1" t="str">
        <f>LEFT(Услуги[[#This Row],[Соц. Услуги]],Ограничение[Кол-во симв.])</f>
        <v>29. Смена постельного белья</v>
      </c>
      <c r="C30" s="52">
        <v>0</v>
      </c>
      <c r="D30" s="51"/>
      <c r="F30" s="12" t="s">
        <v>110</v>
      </c>
      <c r="G30" s="49">
        <f t="shared" si="2"/>
        <v>1</v>
      </c>
      <c r="H30" s="49">
        <f t="shared" ref="H30:AK32" si="3">IF(H16="",0,ROUNDUP(DAY(H16)/7,0)+(WEEKDAY(H16-DAY(H16)+1,11)&gt;WEEKDAY(H16,11)))</f>
        <v>1</v>
      </c>
      <c r="I30" s="49">
        <f t="shared" si="3"/>
        <v>1</v>
      </c>
      <c r="J30" s="49">
        <f t="shared" si="3"/>
        <v>1</v>
      </c>
      <c r="K30" s="49">
        <f t="shared" si="3"/>
        <v>1</v>
      </c>
      <c r="L30" s="49">
        <f t="shared" si="3"/>
        <v>1</v>
      </c>
      <c r="M30" s="49">
        <f t="shared" si="3"/>
        <v>2</v>
      </c>
      <c r="N30" s="49">
        <f t="shared" si="3"/>
        <v>2</v>
      </c>
      <c r="O30" s="49">
        <f t="shared" si="3"/>
        <v>2</v>
      </c>
      <c r="P30" s="49">
        <f t="shared" si="3"/>
        <v>2</v>
      </c>
      <c r="Q30" s="49">
        <f t="shared" si="3"/>
        <v>2</v>
      </c>
      <c r="R30" s="49">
        <f t="shared" si="3"/>
        <v>2</v>
      </c>
      <c r="S30" s="49">
        <f t="shared" si="3"/>
        <v>2</v>
      </c>
      <c r="T30" s="49">
        <f t="shared" si="3"/>
        <v>3</v>
      </c>
      <c r="U30" s="49">
        <f t="shared" si="3"/>
        <v>3</v>
      </c>
      <c r="V30" s="49">
        <f t="shared" si="3"/>
        <v>3</v>
      </c>
      <c r="W30" s="49">
        <f t="shared" si="3"/>
        <v>3</v>
      </c>
      <c r="X30" s="49">
        <f t="shared" si="3"/>
        <v>3</v>
      </c>
      <c r="Y30" s="49">
        <f t="shared" si="3"/>
        <v>3</v>
      </c>
      <c r="Z30" s="49">
        <f t="shared" si="3"/>
        <v>3</v>
      </c>
      <c r="AA30" s="49">
        <f t="shared" si="3"/>
        <v>4</v>
      </c>
      <c r="AB30" s="49">
        <f t="shared" si="3"/>
        <v>4</v>
      </c>
      <c r="AC30" s="49">
        <f t="shared" si="3"/>
        <v>4</v>
      </c>
      <c r="AD30" s="49">
        <f t="shared" si="3"/>
        <v>4</v>
      </c>
      <c r="AE30" s="49">
        <f t="shared" si="3"/>
        <v>4</v>
      </c>
      <c r="AF30" s="49">
        <f t="shared" si="3"/>
        <v>4</v>
      </c>
      <c r="AG30" s="49">
        <f t="shared" si="3"/>
        <v>4</v>
      </c>
      <c r="AH30" s="49">
        <f t="shared" si="3"/>
        <v>5</v>
      </c>
      <c r="AI30" s="49">
        <f t="shared" si="3"/>
        <v>5</v>
      </c>
      <c r="AJ30" s="49">
        <f t="shared" si="3"/>
        <v>5</v>
      </c>
      <c r="AK30" s="49">
        <f t="shared" si="3"/>
        <v>5</v>
      </c>
    </row>
    <row r="31" spans="1:37" x14ac:dyDescent="0.25">
      <c r="A31" s="1" t="s">
        <v>30</v>
      </c>
      <c r="B31" s="1" t="str">
        <f>LEFT(Услуги[[#This Row],[Соц. Услуги]],Ограничение[Кол-во симв.])</f>
        <v>30. Помощь при смене постельного белья</v>
      </c>
      <c r="C31" s="52">
        <v>0</v>
      </c>
      <c r="D31" s="51"/>
      <c r="F31" s="12" t="s">
        <v>120</v>
      </c>
      <c r="G31" s="49">
        <f t="shared" si="2"/>
        <v>1</v>
      </c>
      <c r="H31" s="49">
        <f t="shared" si="3"/>
        <v>1</v>
      </c>
      <c r="I31" s="49">
        <f t="shared" si="3"/>
        <v>1</v>
      </c>
      <c r="J31" s="49">
        <f t="shared" si="3"/>
        <v>2</v>
      </c>
      <c r="K31" s="49">
        <f t="shared" si="3"/>
        <v>2</v>
      </c>
      <c r="L31" s="49">
        <f t="shared" si="3"/>
        <v>2</v>
      </c>
      <c r="M31" s="49">
        <f t="shared" si="3"/>
        <v>2</v>
      </c>
      <c r="N31" s="49">
        <f t="shared" si="3"/>
        <v>2</v>
      </c>
      <c r="O31" s="49">
        <f t="shared" si="3"/>
        <v>2</v>
      </c>
      <c r="P31" s="49">
        <f t="shared" si="3"/>
        <v>2</v>
      </c>
      <c r="Q31" s="49">
        <f t="shared" si="3"/>
        <v>3</v>
      </c>
      <c r="R31" s="49">
        <f t="shared" si="3"/>
        <v>3</v>
      </c>
      <c r="S31" s="49">
        <f t="shared" si="3"/>
        <v>3</v>
      </c>
      <c r="T31" s="49">
        <f t="shared" si="3"/>
        <v>3</v>
      </c>
      <c r="U31" s="49">
        <f t="shared" si="3"/>
        <v>3</v>
      </c>
      <c r="V31" s="49">
        <f t="shared" si="3"/>
        <v>3</v>
      </c>
      <c r="W31" s="49">
        <f t="shared" si="3"/>
        <v>3</v>
      </c>
      <c r="X31" s="49">
        <f t="shared" si="3"/>
        <v>4</v>
      </c>
      <c r="Y31" s="49">
        <f t="shared" si="3"/>
        <v>4</v>
      </c>
      <c r="Z31" s="49">
        <f t="shared" si="3"/>
        <v>4</v>
      </c>
      <c r="AA31" s="49">
        <f t="shared" si="3"/>
        <v>4</v>
      </c>
      <c r="AB31" s="49">
        <f t="shared" si="3"/>
        <v>4</v>
      </c>
      <c r="AC31" s="49">
        <f t="shared" si="3"/>
        <v>4</v>
      </c>
      <c r="AD31" s="49">
        <f t="shared" si="3"/>
        <v>4</v>
      </c>
      <c r="AE31" s="49">
        <f t="shared" si="3"/>
        <v>5</v>
      </c>
      <c r="AF31" s="49">
        <f t="shared" si="3"/>
        <v>5</v>
      </c>
      <c r="AG31" s="49">
        <f t="shared" si="3"/>
        <v>5</v>
      </c>
      <c r="AH31" s="49">
        <f t="shared" si="3"/>
        <v>5</v>
      </c>
      <c r="AI31" s="49">
        <f t="shared" si="3"/>
        <v>5</v>
      </c>
      <c r="AJ31" s="49">
        <f t="shared" si="3"/>
        <v>5</v>
      </c>
      <c r="AK31" s="49">
        <f t="shared" si="3"/>
        <v>0</v>
      </c>
    </row>
    <row r="32" spans="1:37" x14ac:dyDescent="0.25">
      <c r="A32" s="1" t="s">
        <v>31</v>
      </c>
      <c r="B32" s="1" t="str">
        <f>LEFT(Услуги[[#This Row],[Соц. Услуги]],Ограничение[Кол-во симв.])</f>
        <v xml:space="preserve">31. Смена абсорбирующего белья, включая </v>
      </c>
      <c r="C32" s="52">
        <v>0</v>
      </c>
      <c r="D32" s="51"/>
      <c r="F32" s="12" t="s">
        <v>121</v>
      </c>
      <c r="G32" s="49">
        <f t="shared" si="2"/>
        <v>1</v>
      </c>
      <c r="H32" s="49">
        <f t="shared" si="3"/>
        <v>2</v>
      </c>
      <c r="I32" s="49">
        <f t="shared" si="3"/>
        <v>2</v>
      </c>
      <c r="J32" s="49">
        <f t="shared" si="3"/>
        <v>2</v>
      </c>
      <c r="K32" s="49">
        <f t="shared" si="3"/>
        <v>2</v>
      </c>
      <c r="L32" s="49">
        <f t="shared" si="3"/>
        <v>2</v>
      </c>
      <c r="M32" s="49">
        <f t="shared" si="3"/>
        <v>2</v>
      </c>
      <c r="N32" s="49">
        <f t="shared" si="3"/>
        <v>2</v>
      </c>
      <c r="O32" s="49">
        <f t="shared" si="3"/>
        <v>3</v>
      </c>
      <c r="P32" s="49">
        <f t="shared" si="3"/>
        <v>3</v>
      </c>
      <c r="Q32" s="49">
        <f t="shared" si="3"/>
        <v>3</v>
      </c>
      <c r="R32" s="49">
        <f t="shared" si="3"/>
        <v>3</v>
      </c>
      <c r="S32" s="49">
        <f t="shared" si="3"/>
        <v>3</v>
      </c>
      <c r="T32" s="49">
        <f t="shared" si="3"/>
        <v>3</v>
      </c>
      <c r="U32" s="49">
        <f t="shared" si="3"/>
        <v>3</v>
      </c>
      <c r="V32" s="49">
        <f t="shared" si="3"/>
        <v>4</v>
      </c>
      <c r="W32" s="49">
        <f t="shared" si="3"/>
        <v>4</v>
      </c>
      <c r="X32" s="49">
        <f t="shared" si="3"/>
        <v>4</v>
      </c>
      <c r="Y32" s="49">
        <f t="shared" si="3"/>
        <v>4</v>
      </c>
      <c r="Z32" s="49">
        <f t="shared" si="3"/>
        <v>4</v>
      </c>
      <c r="AA32" s="49">
        <f t="shared" si="3"/>
        <v>4</v>
      </c>
      <c r="AB32" s="49">
        <f t="shared" si="3"/>
        <v>4</v>
      </c>
      <c r="AC32" s="49">
        <f t="shared" si="3"/>
        <v>5</v>
      </c>
      <c r="AD32" s="49">
        <f t="shared" si="3"/>
        <v>5</v>
      </c>
      <c r="AE32" s="49">
        <f t="shared" si="3"/>
        <v>5</v>
      </c>
      <c r="AF32" s="49">
        <f t="shared" si="3"/>
        <v>5</v>
      </c>
      <c r="AG32" s="49">
        <f t="shared" si="3"/>
        <v>5</v>
      </c>
      <c r="AH32" s="49">
        <f t="shared" si="3"/>
        <v>5</v>
      </c>
      <c r="AI32" s="49">
        <f t="shared" si="3"/>
        <v>5</v>
      </c>
      <c r="AJ32" s="49">
        <f t="shared" si="3"/>
        <v>6</v>
      </c>
      <c r="AK32" s="49">
        <f t="shared" si="3"/>
        <v>6</v>
      </c>
    </row>
    <row r="33" spans="1:38" x14ac:dyDescent="0.25">
      <c r="A33" s="1" t="s">
        <v>32</v>
      </c>
      <c r="B33" s="1" t="str">
        <f>LEFT(Услуги[[#This Row],[Соц. Услуги]],Ограничение[Кол-во симв.])</f>
        <v>32. Помощь при смене абсорбирующего бель</v>
      </c>
      <c r="C33" s="52">
        <v>0</v>
      </c>
      <c r="D33" s="51"/>
    </row>
    <row r="34" spans="1:38" x14ac:dyDescent="0.25">
      <c r="A34" s="1" t="s">
        <v>33</v>
      </c>
      <c r="B34" s="1" t="str">
        <f>LEFT(Услуги[[#This Row],[Соц. Услуги]],Ограничение[Кол-во симв.])</f>
        <v>33. Помощь при пользовании туалетом (ины</v>
      </c>
      <c r="C34" s="52">
        <v>0</v>
      </c>
      <c r="D34" s="51"/>
    </row>
    <row r="35" spans="1:38" x14ac:dyDescent="0.25">
      <c r="A35" s="1" t="s">
        <v>34</v>
      </c>
      <c r="B35" s="1" t="str">
        <f>LEFT(Услуги[[#This Row],[Соц. Услуги]],Ограничение[Кол-во симв.])</f>
        <v>34. Замена мочеприемника и (или) калопри</v>
      </c>
      <c r="C35" s="52">
        <v>0</v>
      </c>
      <c r="D35" s="51"/>
    </row>
    <row r="36" spans="1:38" x14ac:dyDescent="0.25">
      <c r="A36" s="1" t="s">
        <v>35</v>
      </c>
      <c r="B36" s="1" t="str">
        <f>LEFT(Услуги[[#This Row],[Соц. Услуги]],Ограничение[Кол-во симв.])</f>
        <v>35. Помощь при замене мочеприемника и (и</v>
      </c>
      <c r="C36" s="52">
        <v>0</v>
      </c>
      <c r="D36" s="51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</row>
    <row r="37" spans="1:38" x14ac:dyDescent="0.25">
      <c r="A37" s="1" t="s">
        <v>36</v>
      </c>
      <c r="B37" s="1" t="str">
        <f>LEFT(Услуги[[#This Row],[Соц. Услуги]],Ограничение[Кол-во симв.])</f>
        <v>36. Позиционирование</v>
      </c>
      <c r="C37" s="52">
        <v>0</v>
      </c>
      <c r="D37" s="51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</row>
    <row r="38" spans="1:38" x14ac:dyDescent="0.25">
      <c r="A38" s="1" t="s">
        <v>37</v>
      </c>
      <c r="B38" s="1" t="str">
        <f>LEFT(Услуги[[#This Row],[Соц. Услуги]],Ограничение[Кол-во симв.])</f>
        <v>37. Помощь при позиционировании</v>
      </c>
      <c r="C38" s="52">
        <v>0</v>
      </c>
      <c r="D38" s="51"/>
    </row>
    <row r="39" spans="1:38" x14ac:dyDescent="0.25">
      <c r="A39" s="1" t="s">
        <v>38</v>
      </c>
      <c r="B39" s="1" t="str">
        <f>LEFT(Услуги[[#This Row],[Соц. Услуги]],Ограничение[Кол-во симв.])</f>
        <v>38. Пересаживание</v>
      </c>
      <c r="C39" s="52">
        <v>0</v>
      </c>
      <c r="D39" s="51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</row>
    <row r="40" spans="1:38" x14ac:dyDescent="0.25">
      <c r="A40" s="1" t="s">
        <v>39</v>
      </c>
      <c r="B40" s="1" t="str">
        <f>LEFT(Услуги[[#This Row],[Соц. Услуги]],Ограничение[Кол-во симв.])</f>
        <v>39. Помощь при пересаживании.</v>
      </c>
      <c r="C40" s="52">
        <v>0</v>
      </c>
      <c r="D40" s="51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</row>
    <row r="41" spans="1:38" x14ac:dyDescent="0.25">
      <c r="A41" s="1" t="s">
        <v>40</v>
      </c>
      <c r="B41" s="1" t="str">
        <f>LEFT(Услуги[[#This Row],[Соц. Услуги]],Ограничение[Кол-во симв.])</f>
        <v>40. Помощь при передвижении по помещению</v>
      </c>
      <c r="C41" s="52">
        <v>0</v>
      </c>
      <c r="D41" s="51"/>
    </row>
    <row r="42" spans="1:38" x14ac:dyDescent="0.25">
      <c r="A42" s="1" t="s">
        <v>41</v>
      </c>
      <c r="B42" s="1" t="str">
        <f>LEFT(Услуги[[#This Row],[Соц. Услуги]],Ограничение[Кол-во симв.])</f>
        <v>41. Измерение температуры тела, артериал</v>
      </c>
      <c r="C42" s="52">
        <v>0</v>
      </c>
      <c r="D42" s="51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</row>
    <row r="43" spans="1:38" x14ac:dyDescent="0.25">
      <c r="A43" s="1" t="s">
        <v>42</v>
      </c>
      <c r="B43" s="1" t="str">
        <f>LEFT(Услуги[[#This Row],[Соц. Услуги]],Ограничение[Кол-во симв.])</f>
        <v>42. Помощь в соблюдении медицинских реко</v>
      </c>
      <c r="C43" s="52">
        <v>0</v>
      </c>
      <c r="D43" s="51"/>
    </row>
    <row r="44" spans="1:38" x14ac:dyDescent="0.25">
      <c r="A44" s="1" t="s">
        <v>43</v>
      </c>
      <c r="B44" s="1" t="str">
        <f>LEFT(Услуги[[#This Row],[Соц. Услуги]],Ограничение[Кол-во симв.])</f>
        <v xml:space="preserve">43. Подготовка лекарственных препаратов </v>
      </c>
      <c r="C44" s="52">
        <v>0</v>
      </c>
      <c r="D44" s="51"/>
    </row>
    <row r="45" spans="1:38" x14ac:dyDescent="0.25">
      <c r="A45" s="1" t="s">
        <v>44</v>
      </c>
      <c r="B45" s="1" t="str">
        <f>LEFT(Услуги[[#This Row],[Соц. Услуги]],Ограничение[Кол-во симв.])</f>
        <v>44. Помощь в соблюдении приема лекарстве</v>
      </c>
      <c r="C45" s="52">
        <v>0</v>
      </c>
      <c r="D45" s="51"/>
    </row>
    <row r="46" spans="1:38" x14ac:dyDescent="0.25">
      <c r="A46" s="1" t="s">
        <v>45</v>
      </c>
      <c r="B46" s="1" t="str">
        <f>LEFT(Услуги[[#This Row],[Соц. Услуги]],Ограничение[Кол-во симв.])</f>
        <v>45. Помощь в использовании очков и (или)</v>
      </c>
      <c r="C46" s="52">
        <v>0</v>
      </c>
      <c r="D46" s="51"/>
    </row>
    <row r="47" spans="1:38" x14ac:dyDescent="0.25">
      <c r="A47" s="1" t="s">
        <v>46</v>
      </c>
      <c r="B47" s="1" t="str">
        <f>LEFT(Услуги[[#This Row],[Соц. Услуги]],Ограничение[Кол-во симв.])</f>
        <v xml:space="preserve">46. Помощь в использовании протезов или </v>
      </c>
      <c r="C47" s="52">
        <v>0</v>
      </c>
      <c r="D47" s="51"/>
    </row>
    <row r="48" spans="1:38" x14ac:dyDescent="0.25">
      <c r="A48" s="1" t="s">
        <v>47</v>
      </c>
      <c r="B48" s="1" t="str">
        <f>LEFT(Услуги[[#This Row],[Соц. Услуги]],Ограничение[Кол-во симв.])</f>
        <v>47. Помощь в поддержании посильной социа</v>
      </c>
      <c r="C48" s="52">
        <v>0</v>
      </c>
      <c r="D48" s="51"/>
    </row>
    <row r="49" spans="1:4" x14ac:dyDescent="0.25">
      <c r="A49" s="1" t="s">
        <v>48</v>
      </c>
      <c r="B49" s="1" t="str">
        <f>LEFT(Услуги[[#This Row],[Соц. Услуги]],Ограничение[Кол-во симв.])</f>
        <v>48. Помощь в поддержании  посильной физи</v>
      </c>
      <c r="C49" s="52">
        <v>0</v>
      </c>
      <c r="D49" s="51"/>
    </row>
    <row r="50" spans="1:4" x14ac:dyDescent="0.25">
      <c r="A50" s="1" t="s">
        <v>49</v>
      </c>
      <c r="B50" s="1" t="str">
        <f>LEFT(Услуги[[#This Row],[Соц. Услуги]],Ограничение[Кол-во симв.])</f>
        <v>49. Помощь в поддержании посильной бытов</v>
      </c>
      <c r="C50" s="52">
        <v>0</v>
      </c>
      <c r="D50" s="51"/>
    </row>
    <row r="51" spans="1:4" x14ac:dyDescent="0.25">
      <c r="A51" s="1" t="s">
        <v>50</v>
      </c>
      <c r="B51" s="1" t="str">
        <f>LEFT(Услуги[[#This Row],[Соц. Услуги]],Ограничение[Кол-во симв.])</f>
        <v>50. Помощь в поддержании когнитивных фун</v>
      </c>
      <c r="C51" s="52">
        <v>0</v>
      </c>
      <c r="D51" s="51"/>
    </row>
  </sheetData>
  <pageMargins left="0.7" right="0.7" top="0.75" bottom="0.75" header="0.3" footer="0.3"/>
  <pageSetup paperSize="9" orientation="portrait" horizontalDpi="0" verticalDpi="0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A2"/>
  <sheetViews>
    <sheetView workbookViewId="0">
      <selection activeCell="C1" sqref="C1"/>
    </sheetView>
  </sheetViews>
  <sheetFormatPr defaultRowHeight="15" x14ac:dyDescent="0.25"/>
  <cols>
    <col min="1" max="1" width="50" customWidth="1"/>
  </cols>
  <sheetData>
    <row r="1" spans="1:1" x14ac:dyDescent="0.25">
      <c r="A1" t="s">
        <v>139</v>
      </c>
    </row>
    <row r="2" spans="1:1" x14ac:dyDescent="0.25">
      <c r="A2" t="s">
        <v>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4" tint="0.39997558519241921"/>
    <pageSetUpPr fitToPage="1"/>
  </sheetPr>
  <dimension ref="A2:AL29"/>
  <sheetViews>
    <sheetView tabSelected="1"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2" style="3" bestFit="1" customWidth="1"/>
    <col min="3" max="3" width="18.28515625" style="3" bestFit="1" customWidth="1"/>
    <col min="4" max="4" width="8.7109375" style="3" customWidth="1"/>
    <col min="5" max="17" width="4.42578125" style="3" bestFit="1" customWidth="1"/>
    <col min="18" max="18" width="6.42578125" style="3" bestFit="1" customWidth="1"/>
    <col min="19" max="35" width="4.42578125" style="3" bestFit="1" customWidth="1"/>
    <col min="36" max="36" width="9.5703125" style="3" bestFit="1" customWidth="1"/>
    <col min="37" max="37" width="10" style="3" bestFit="1" customWidth="1"/>
    <col min="38" max="38" width="14" style="3" bestFit="1" customWidth="1"/>
    <col min="39" max="16384" width="9.140625" style="3"/>
  </cols>
  <sheetData>
    <row r="2" spans="1:38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8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8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8" ht="18.75" x14ac:dyDescent="0.25">
      <c r="L5" s="11" t="s">
        <v>69</v>
      </c>
      <c r="M5" s="77" t="s">
        <v>128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7" spans="1:38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9"/>
      <c r="AJ7" s="53" t="s">
        <v>64</v>
      </c>
      <c r="AK7" s="54" t="s">
        <v>64</v>
      </c>
    </row>
    <row r="8" spans="1:38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9"/>
      <c r="AJ8" s="53"/>
      <c r="AK8" s="55"/>
    </row>
    <row r="9" spans="1:38" x14ac:dyDescent="0.25">
      <c r="A9" s="63"/>
      <c r="B9" s="66"/>
      <c r="C9" s="66"/>
      <c r="D9" s="73"/>
      <c r="E9" s="18">
        <f>Настройки!G7</f>
        <v>45292</v>
      </c>
      <c r="F9" s="18">
        <f>Настройки!H7</f>
        <v>45293</v>
      </c>
      <c r="G9" s="18">
        <f>Настройки!I7</f>
        <v>45294</v>
      </c>
      <c r="H9" s="18">
        <f>Настройки!J7</f>
        <v>45295</v>
      </c>
      <c r="I9" s="18">
        <f>Настройки!K7</f>
        <v>45296</v>
      </c>
      <c r="J9" s="18">
        <f>Настройки!L7</f>
        <v>45297</v>
      </c>
      <c r="K9" s="18">
        <f>Настройки!M7</f>
        <v>45298</v>
      </c>
      <c r="L9" s="18">
        <f>Настройки!N7</f>
        <v>45299</v>
      </c>
      <c r="M9" s="18">
        <f>Настройки!O7</f>
        <v>45300</v>
      </c>
      <c r="N9" s="18">
        <f>Настройки!P7</f>
        <v>45301</v>
      </c>
      <c r="O9" s="18">
        <f>Настройки!Q7</f>
        <v>45302</v>
      </c>
      <c r="P9" s="18">
        <f>Настройки!R7</f>
        <v>45303</v>
      </c>
      <c r="Q9" s="18">
        <f>Настройки!S7</f>
        <v>45304</v>
      </c>
      <c r="R9" s="18">
        <f>Настройки!T7</f>
        <v>45305</v>
      </c>
      <c r="S9" s="18">
        <f>Настройки!U7</f>
        <v>45306</v>
      </c>
      <c r="T9" s="18">
        <f>Настройки!V7</f>
        <v>45307</v>
      </c>
      <c r="U9" s="18">
        <f>Настройки!W7</f>
        <v>45308</v>
      </c>
      <c r="V9" s="18">
        <f>Настройки!X7</f>
        <v>45309</v>
      </c>
      <c r="W9" s="18">
        <f>Настройки!Y7</f>
        <v>45310</v>
      </c>
      <c r="X9" s="18">
        <f>Настройки!Z7</f>
        <v>45311</v>
      </c>
      <c r="Y9" s="18">
        <f>Настройки!AA7</f>
        <v>45312</v>
      </c>
      <c r="Z9" s="18">
        <f>Настройки!AB7</f>
        <v>45313</v>
      </c>
      <c r="AA9" s="18">
        <f>Настройки!AC7</f>
        <v>45314</v>
      </c>
      <c r="AB9" s="18">
        <f>Настройки!AD7</f>
        <v>45315</v>
      </c>
      <c r="AC9" s="18">
        <f>Настройки!AE7</f>
        <v>45316</v>
      </c>
      <c r="AD9" s="18">
        <f>Настройки!AF7</f>
        <v>45317</v>
      </c>
      <c r="AE9" s="18">
        <f>Настройки!AG7</f>
        <v>45318</v>
      </c>
      <c r="AF9" s="18">
        <f>Настройки!AH7</f>
        <v>45319</v>
      </c>
      <c r="AG9" s="18">
        <f>Настройки!AI7</f>
        <v>45320</v>
      </c>
      <c r="AH9" s="18">
        <f>Настройки!AJ7</f>
        <v>45321</v>
      </c>
      <c r="AI9" s="18">
        <f>Настройки!AK7</f>
        <v>45322</v>
      </c>
      <c r="AJ9" s="53"/>
      <c r="AK9" s="55"/>
    </row>
    <row r="10" spans="1:38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9"/>
      <c r="AJ10" s="53"/>
      <c r="AK10" s="55"/>
    </row>
    <row r="11" spans="1:38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2"/>
      <c r="AJ11" s="53"/>
      <c r="AK11" s="56"/>
    </row>
    <row r="12" spans="1:38" ht="17.25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SUMPRODUCT((Настройки!$G$21:$AK$21=1)*E16:AI16)</f>
        <v>0</v>
      </c>
      <c r="D13" s="5">
        <v>1</v>
      </c>
      <c r="E13" s="24">
        <f>SUMPRODUCT((Январь[№]=1)*Январь[1],Январь[Периодичность])</f>
        <v>0</v>
      </c>
      <c r="F13" s="24">
        <f>SUMPRODUCT((Январь[№]=1)*Январь[2],Январь[Периодичность])</f>
        <v>0</v>
      </c>
      <c r="G13" s="24">
        <f>SUMPRODUCT((Январь[№]=1)*Январь[3],Январь[Периодичность])</f>
        <v>0</v>
      </c>
      <c r="H13" s="24">
        <f>SUMPRODUCT((Январь[№]=1)*Январь[4],Январь[Периодичность])</f>
        <v>0</v>
      </c>
      <c r="I13" s="24">
        <f>SUMPRODUCT((Январь[№]=1)*Январь[5],Январь[Периодичность])</f>
        <v>0</v>
      </c>
      <c r="J13" s="24">
        <f>SUMPRODUCT((Январь[№]=1)*Январь[6],Январь[Периодичность])</f>
        <v>0</v>
      </c>
      <c r="K13" s="24">
        <f>SUMPRODUCT((Январь[№]=1)*Январь[7],Январь[Периодичность])</f>
        <v>0</v>
      </c>
      <c r="L13" s="24">
        <f>SUMPRODUCT((Январь[№]=1)*Январь[8],Январь[Периодичность])</f>
        <v>0</v>
      </c>
      <c r="M13" s="24">
        <f>SUMPRODUCT((Январь[№]=1)*Январь[9],Январь[Периодичность])</f>
        <v>0</v>
      </c>
      <c r="N13" s="24">
        <f>SUMPRODUCT((Январь[№]=1)*Январь[10],Январь[Периодичность])</f>
        <v>0</v>
      </c>
      <c r="O13" s="24">
        <f>SUMPRODUCT((Январь[№]=1)*Январь[11],Январь[Периодичность])</f>
        <v>0</v>
      </c>
      <c r="P13" s="24">
        <f>SUMPRODUCT((Январь[№]=1)*Январь[12],Январь[Периодичность])</f>
        <v>0</v>
      </c>
      <c r="Q13" s="24">
        <f>SUMPRODUCT((Январь[№]=1)*Январь[13],Январь[Периодичность])</f>
        <v>0</v>
      </c>
      <c r="R13" s="24">
        <f>SUMPRODUCT((Январь[№]=1)*Январь[14],Январь[Периодичность])</f>
        <v>0</v>
      </c>
      <c r="S13" s="24">
        <f>SUMPRODUCT((Январь[№]=1)*Январь[15],Январь[Периодичность])</f>
        <v>0</v>
      </c>
      <c r="T13" s="24">
        <f>SUMPRODUCT((Январь[№]=1)*Январь[16],Январь[Периодичность])</f>
        <v>0</v>
      </c>
      <c r="U13" s="24">
        <f>SUMPRODUCT((Январь[№]=1)*Январь[17],Январь[Периодичность])</f>
        <v>0</v>
      </c>
      <c r="V13" s="24">
        <f>SUMPRODUCT((Январь[№]=1)*Январь[18],Январь[Периодичность])</f>
        <v>0</v>
      </c>
      <c r="W13" s="24">
        <f>SUMPRODUCT((Январь[№]=1)*Январь[19],Январь[Периодичность])</f>
        <v>0</v>
      </c>
      <c r="X13" s="24">
        <f>SUMPRODUCT((Январь[№]=1)*Январь[20],Январь[Периодичность])</f>
        <v>0</v>
      </c>
      <c r="Y13" s="24">
        <f>SUMPRODUCT((Январь[№]=1)*Январь[21],Январь[Периодичность])</f>
        <v>0</v>
      </c>
      <c r="Z13" s="24">
        <f>SUMPRODUCT((Январь[№]=1)*Январь[22],Январь[Периодичность])</f>
        <v>0</v>
      </c>
      <c r="AA13" s="24">
        <f>SUMPRODUCT((Январь[№]=1)*Январь[23],Январь[Периодичность])</f>
        <v>0</v>
      </c>
      <c r="AB13" s="24">
        <f>SUMPRODUCT((Январь[№]=1)*Январь[24],Январь[Периодичность])</f>
        <v>0</v>
      </c>
      <c r="AC13" s="24">
        <f>SUMPRODUCT((Январь[№]=1)*Январь[25],Январь[Периодичность])</f>
        <v>0</v>
      </c>
      <c r="AD13" s="24">
        <f>SUMPRODUCT((Январь[№]=1)*Январь[26],Январь[Периодичность])</f>
        <v>0</v>
      </c>
      <c r="AE13" s="24">
        <f>SUMPRODUCT((Январь[№]=1)*Январь[27],Январь[Периодичность])</f>
        <v>0</v>
      </c>
      <c r="AF13" s="24">
        <f>SUMPRODUCT((Январь[№]=1)*Январь[28],Январь[Периодичность])</f>
        <v>0</v>
      </c>
      <c r="AG13" s="24">
        <f>SUMPRODUCT((Январь[№]=1)*Январь[29],Январь[Периодичность])</f>
        <v>0</v>
      </c>
      <c r="AH13" s="24">
        <f>SUMPRODUCT((Январь[№]=1)*Январь[30],Январь[Периодичность])</f>
        <v>0</v>
      </c>
      <c r="AI13" s="24">
        <f>SUMPRODUCT((Январь[№]=1)*Январь[31],Январь[Периодичность])</f>
        <v>0</v>
      </c>
      <c r="AL13" s="4"/>
    </row>
    <row r="14" spans="1:38" x14ac:dyDescent="0.25">
      <c r="B14" s="3">
        <f ca="1">SUMPRODUCT((Настройки!$G$21:$AK$21=2)*E16:AI16)</f>
        <v>0</v>
      </c>
      <c r="D14" s="5">
        <v>2</v>
      </c>
      <c r="E14" s="24">
        <f ca="1">SUMPRODUCT((Январь[№]=2)*Январь[1],OFFSET(Январь[Периодичность],-1,0))</f>
        <v>0</v>
      </c>
      <c r="F14" s="24">
        <f ca="1">SUMPRODUCT((Январь[№]=2)*Январь[2],OFFSET(Январь[Периодичность],-1,0))</f>
        <v>0</v>
      </c>
      <c r="G14" s="24">
        <f ca="1">SUMPRODUCT((Январь[№]=2)*Январь[3],OFFSET(Январь[Периодичность],-1,0))</f>
        <v>0</v>
      </c>
      <c r="H14" s="24">
        <f ca="1">SUMPRODUCT((Январь[№]=2)*Январь[4],OFFSET(Январь[Периодичность],-1,0))</f>
        <v>0</v>
      </c>
      <c r="I14" s="24">
        <f ca="1">SUMPRODUCT((Январь[№]=2)*Январь[5],OFFSET(Январь[Периодичность],-1,0))</f>
        <v>0</v>
      </c>
      <c r="J14" s="24">
        <f ca="1">SUMPRODUCT((Январь[№]=2)*Январь[6],OFFSET(Январь[Периодичность],-1,0))</f>
        <v>0</v>
      </c>
      <c r="K14" s="24">
        <f ca="1">SUMPRODUCT((Январь[№]=2)*Январь[7],OFFSET(Январь[Периодичность],-1,0))</f>
        <v>0</v>
      </c>
      <c r="L14" s="24">
        <f ca="1">SUMPRODUCT((Январь[№]=2)*Январь[8],OFFSET(Январь[Периодичность],-1,0))</f>
        <v>0</v>
      </c>
      <c r="M14" s="24">
        <f ca="1">SUMPRODUCT((Январь[№]=2)*Январь[9],OFFSET(Январь[Периодичность],-1,0))</f>
        <v>0</v>
      </c>
      <c r="N14" s="24">
        <f ca="1">SUMPRODUCT((Январь[№]=2)*Январь[10],OFFSET(Январь[Периодичность],-1,0))</f>
        <v>0</v>
      </c>
      <c r="O14" s="24">
        <f ca="1">SUMPRODUCT((Январь[№]=2)*Январь[11],OFFSET(Январь[Периодичность],-1,0))</f>
        <v>0</v>
      </c>
      <c r="P14" s="24">
        <f ca="1">SUMPRODUCT((Январь[№]=2)*Январь[12],OFFSET(Январь[Периодичность],-1,0))</f>
        <v>0</v>
      </c>
      <c r="Q14" s="24">
        <f ca="1">SUMPRODUCT((Январь[№]=2)*Январь[13],OFFSET(Январь[Периодичность],-1,0))</f>
        <v>0</v>
      </c>
      <c r="R14" s="24">
        <f ca="1">SUMPRODUCT((Январь[№]=2)*Январь[14],OFFSET(Январь[Периодичность],-1,0))</f>
        <v>0</v>
      </c>
      <c r="S14" s="24">
        <f ca="1">SUMPRODUCT((Январь[№]=2)*Январь[15],OFFSET(Январь[Периодичность],-1,0))</f>
        <v>0</v>
      </c>
      <c r="T14" s="24">
        <f ca="1">SUMPRODUCT((Январь[№]=2)*Январь[16],OFFSET(Январь[Периодичность],-1,0))</f>
        <v>0</v>
      </c>
      <c r="U14" s="24">
        <f ca="1">SUMPRODUCT((Январь[№]=2)*Январь[17],OFFSET(Январь[Периодичность],-1,0))</f>
        <v>0</v>
      </c>
      <c r="V14" s="24">
        <f ca="1">SUMPRODUCT((Январь[№]=2)*Январь[18],OFFSET(Январь[Периодичность],-1,0))</f>
        <v>0</v>
      </c>
      <c r="W14" s="24">
        <f ca="1">SUMPRODUCT((Январь[№]=2)*Январь[19],OFFSET(Январь[Периодичность],-1,0))</f>
        <v>0</v>
      </c>
      <c r="X14" s="24">
        <f ca="1">SUMPRODUCT((Январь[№]=2)*Январь[20],OFFSET(Январь[Периодичность],-1,0))</f>
        <v>0</v>
      </c>
      <c r="Y14" s="24">
        <f ca="1">SUMPRODUCT((Январь[№]=2)*Январь[21],OFFSET(Январь[Периодичность],-1,0))</f>
        <v>0</v>
      </c>
      <c r="Z14" s="24">
        <f ca="1">SUMPRODUCT((Январь[№]=2)*Январь[22],OFFSET(Январь[Периодичность],-1,0))</f>
        <v>0</v>
      </c>
      <c r="AA14" s="24">
        <f ca="1">SUMPRODUCT((Январь[№]=2)*Январь[23],OFFSET(Январь[Периодичность],-1,0))</f>
        <v>0</v>
      </c>
      <c r="AB14" s="24">
        <f ca="1">SUMPRODUCT((Январь[№]=2)*Январь[24],OFFSET(Январь[Периодичность],-1,0))</f>
        <v>0</v>
      </c>
      <c r="AC14" s="24">
        <f ca="1">SUMPRODUCT((Январь[№]=2)*Январь[25],OFFSET(Январь[Периодичность],-1,0))</f>
        <v>0</v>
      </c>
      <c r="AD14" s="24">
        <f ca="1">SUMPRODUCT((Январь[№]=2)*Январь[26],OFFSET(Январь[Периодичность],-1,0))</f>
        <v>0</v>
      </c>
      <c r="AE14" s="24">
        <f ca="1">SUMPRODUCT((Январь[№]=2)*Январь[27],OFFSET(Январь[Периодичность],-1,0))</f>
        <v>0</v>
      </c>
      <c r="AF14" s="24">
        <f ca="1">SUMPRODUCT((Январь[№]=2)*Январь[28],OFFSET(Январь[Периодичность],-1,0))</f>
        <v>0</v>
      </c>
      <c r="AG14" s="24">
        <f ca="1">SUMPRODUCT((Январь[№]=2)*Январь[29],OFFSET(Январь[Периодичность],-1,0))</f>
        <v>0</v>
      </c>
      <c r="AH14" s="24">
        <f ca="1">SUMPRODUCT((Январь[№]=2)*Январь[30],OFFSET(Январь[Периодичность],-1,0))</f>
        <v>0</v>
      </c>
      <c r="AI14" s="24">
        <f ca="1">SUMPRODUCT((Январь[№]=2)*Январь[31],OFFSET(Январь[Периодичность],-1,0))</f>
        <v>0</v>
      </c>
      <c r="AL14" s="4"/>
    </row>
    <row r="15" spans="1:38" x14ac:dyDescent="0.25">
      <c r="B15" s="3">
        <f ca="1">SUMPRODUCT((Настройки!$G$21:$AK$21=3)*E16:AI16)</f>
        <v>0</v>
      </c>
      <c r="D15" s="5">
        <v>3</v>
      </c>
      <c r="E15" s="24">
        <f ca="1">SUMPRODUCT((Январь[№]=3)*Январь[1],OFFSET(Январь[Периодичность],-2,0))</f>
        <v>0</v>
      </c>
      <c r="F15" s="24">
        <f ca="1">SUMPRODUCT((Январь[№]=3)*Январь[2],OFFSET(Январь[Периодичность],-2,0))</f>
        <v>0</v>
      </c>
      <c r="G15" s="24">
        <f ca="1">SUMPRODUCT((Январь[№]=3)*Январь[3],OFFSET(Январь[Периодичность],-2,0))</f>
        <v>0</v>
      </c>
      <c r="H15" s="24">
        <f ca="1">SUMPRODUCT((Январь[№]=3)*Январь[4],OFFSET(Январь[Периодичность],-2,0))</f>
        <v>0</v>
      </c>
      <c r="I15" s="24">
        <f ca="1">SUMPRODUCT((Январь[№]=3)*Январь[5],OFFSET(Январь[Периодичность],-2,0))</f>
        <v>0</v>
      </c>
      <c r="J15" s="24">
        <f ca="1">SUMPRODUCT((Январь[№]=3)*Январь[6],OFFSET(Январь[Периодичность],-2,0))</f>
        <v>0</v>
      </c>
      <c r="K15" s="24">
        <f ca="1">SUMPRODUCT((Январь[№]=3)*Январь[7],OFFSET(Январь[Периодичность],-2,0))</f>
        <v>0</v>
      </c>
      <c r="L15" s="24">
        <f ca="1">SUMPRODUCT((Январь[№]=3)*Январь[8],OFFSET(Январь[Периодичность],-2,0))</f>
        <v>0</v>
      </c>
      <c r="M15" s="24">
        <f ca="1">SUMPRODUCT((Январь[№]=3)*Январь[9],OFFSET(Январь[Периодичность],-2,0))</f>
        <v>0</v>
      </c>
      <c r="N15" s="24">
        <f ca="1">SUMPRODUCT((Январь[№]=3)*Январь[10],OFFSET(Январь[Периодичность],-2,0))</f>
        <v>0</v>
      </c>
      <c r="O15" s="24">
        <f ca="1">SUMPRODUCT((Январь[№]=3)*Январь[11],OFFSET(Январь[Периодичность],-2,0))</f>
        <v>0</v>
      </c>
      <c r="P15" s="24">
        <f ca="1">SUMPRODUCT((Январь[№]=3)*Январь[12],OFFSET(Январь[Периодичность],-2,0))</f>
        <v>0</v>
      </c>
      <c r="Q15" s="24">
        <f ca="1">SUMPRODUCT((Январь[№]=3)*Январь[13],OFFSET(Январь[Периодичность],-2,0))</f>
        <v>0</v>
      </c>
      <c r="R15" s="24">
        <f ca="1">SUMPRODUCT((Январь[№]=3)*Январь[14],OFFSET(Январь[Периодичность],-2,0))</f>
        <v>0</v>
      </c>
      <c r="S15" s="24">
        <f ca="1">SUMPRODUCT((Январь[№]=3)*Январь[15],OFFSET(Январь[Периодичность],-2,0))</f>
        <v>0</v>
      </c>
      <c r="T15" s="24">
        <f ca="1">SUMPRODUCT((Январь[№]=3)*Январь[16],OFFSET(Январь[Периодичность],-2,0))</f>
        <v>0</v>
      </c>
      <c r="U15" s="24">
        <f ca="1">SUMPRODUCT((Январь[№]=3)*Январь[17],OFFSET(Январь[Периодичность],-2,0))</f>
        <v>0</v>
      </c>
      <c r="V15" s="24">
        <f ca="1">SUMPRODUCT((Январь[№]=3)*Январь[18],OFFSET(Январь[Периодичность],-2,0))</f>
        <v>0</v>
      </c>
      <c r="W15" s="24">
        <f ca="1">SUMPRODUCT((Январь[№]=3)*Январь[19],OFFSET(Январь[Периодичность],-2,0))</f>
        <v>0</v>
      </c>
      <c r="X15" s="24">
        <f ca="1">SUMPRODUCT((Январь[№]=3)*Январь[20],OFFSET(Январь[Периодичность],-2,0))</f>
        <v>0</v>
      </c>
      <c r="Y15" s="24">
        <f ca="1">SUMPRODUCT((Январь[№]=3)*Январь[21],OFFSET(Январь[Периодичность],-2,0))</f>
        <v>0</v>
      </c>
      <c r="Z15" s="24">
        <f ca="1">SUMPRODUCT((Январь[№]=3)*Январь[22],OFFSET(Январь[Периодичность],-2,0))</f>
        <v>0</v>
      </c>
      <c r="AA15" s="24">
        <f ca="1">SUMPRODUCT((Январь[№]=3)*Январь[23],OFFSET(Январь[Периодичность],-2,0))</f>
        <v>0</v>
      </c>
      <c r="AB15" s="24">
        <f ca="1">SUMPRODUCT((Январь[№]=3)*Январь[24],OFFSET(Январь[Периодичность],-2,0))</f>
        <v>0</v>
      </c>
      <c r="AC15" s="24">
        <f ca="1">SUMPRODUCT((Январь[№]=3)*Январь[25],OFFSET(Январь[Периодичность],-2,0))</f>
        <v>0</v>
      </c>
      <c r="AD15" s="24">
        <f ca="1">SUMPRODUCT((Январь[№]=3)*Январь[26],OFFSET(Январь[Периодичность],-2,0))</f>
        <v>0</v>
      </c>
      <c r="AE15" s="24">
        <f ca="1">SUMPRODUCT((Январь[№]=3)*Январь[27],OFFSET(Январь[Периодичность],-2,0))</f>
        <v>0</v>
      </c>
      <c r="AF15" s="24">
        <f ca="1">SUMPRODUCT((Январь[№]=3)*Январь[28],OFFSET(Январь[Периодичность],-2,0))</f>
        <v>0</v>
      </c>
      <c r="AG15" s="24">
        <f ca="1">SUMPRODUCT((Январь[№]=3)*Январь[29],OFFSET(Январь[Периодичность],-2,0))</f>
        <v>0</v>
      </c>
      <c r="AH15" s="24">
        <f ca="1">SUMPRODUCT((Январь[№]=3)*Январь[30],OFFSET(Январь[Периодичность],-2,0))</f>
        <v>0</v>
      </c>
      <c r="AI15" s="24">
        <f ca="1">SUMPRODUCT((Январь[№]=3)*Январь[31],OFFSET(Январь[Периодичность],-2,0))</f>
        <v>0</v>
      </c>
      <c r="AK15" s="10"/>
    </row>
    <row r="16" spans="1:38" x14ac:dyDescent="0.25">
      <c r="B16" s="3">
        <f ca="1">SUMPRODUCT((Настройки!$G$21:$AK$21=4)*E16:AI16)</f>
        <v>0</v>
      </c>
      <c r="D16" s="5"/>
      <c r="E16" s="24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I16" s="24">
        <f ca="1">SUM(AI13:AI15)</f>
        <v>0</v>
      </c>
      <c r="AK16" s="10"/>
    </row>
    <row r="17" spans="1:37" x14ac:dyDescent="0.25">
      <c r="B17" s="3">
        <f ca="1">SUMPRODUCT((Настройки!$G$21:$AK$21=5)*E16:AI16)</f>
        <v>0</v>
      </c>
      <c r="C17" s="5">
        <f ca="1">ЯнварьИтоги[[#This Row],[№]]*60</f>
        <v>0</v>
      </c>
      <c r="D17" s="7">
        <f ca="1">SUM(ЯнварьИтоги[[#This Row],[1]:[31]])</f>
        <v>0</v>
      </c>
      <c r="E17" s="25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25">
        <f ca="1">AI16/60</f>
        <v>0</v>
      </c>
      <c r="AJ17" s="5">
        <f ca="1">SUM(Январь[УСЛУГ])</f>
        <v>0</v>
      </c>
      <c r="AK17" s="16">
        <f ca="1">SUM(Январь[МИНУТ])</f>
        <v>0</v>
      </c>
    </row>
    <row r="18" spans="1:37" x14ac:dyDescent="0.25">
      <c r="A18" s="40"/>
      <c r="B18" s="41">
        <f ca="1">SUMPRODUCT((Настройки!$G$21:$AK$21=6)*E16:AI16)</f>
        <v>0</v>
      </c>
      <c r="C18" s="41"/>
      <c r="D18" s="42"/>
      <c r="E18" s="43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3"/>
      <c r="AJ18" s="41"/>
      <c r="AK18" s="45"/>
    </row>
    <row r="20" spans="1:37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9"/>
      <c r="AJ20" s="53" t="s">
        <v>64</v>
      </c>
      <c r="AK20" s="54" t="s">
        <v>64</v>
      </c>
    </row>
    <row r="21" spans="1:37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9"/>
      <c r="AJ21" s="53"/>
      <c r="AK21" s="55"/>
    </row>
    <row r="22" spans="1:37" x14ac:dyDescent="0.25">
      <c r="A22" s="63"/>
      <c r="B22" s="63"/>
      <c r="C22" s="64"/>
      <c r="D22" s="66"/>
      <c r="E22" s="21">
        <f>Настройки!G7</f>
        <v>45292</v>
      </c>
      <c r="F22" s="21">
        <f>Настройки!H7</f>
        <v>45293</v>
      </c>
      <c r="G22" s="21">
        <f>Настройки!I7</f>
        <v>45294</v>
      </c>
      <c r="H22" s="21">
        <f>Настройки!J7</f>
        <v>45295</v>
      </c>
      <c r="I22" s="21">
        <f>Настройки!K7</f>
        <v>45296</v>
      </c>
      <c r="J22" s="21">
        <f>Настройки!L7</f>
        <v>45297</v>
      </c>
      <c r="K22" s="21">
        <f>Настройки!M7</f>
        <v>45298</v>
      </c>
      <c r="L22" s="21">
        <f>Настройки!N7</f>
        <v>45299</v>
      </c>
      <c r="M22" s="21">
        <f>Настройки!O7</f>
        <v>45300</v>
      </c>
      <c r="N22" s="21">
        <f>Настройки!P7</f>
        <v>45301</v>
      </c>
      <c r="O22" s="21">
        <f>Настройки!Q7</f>
        <v>45302</v>
      </c>
      <c r="P22" s="21">
        <f>Настройки!R7</f>
        <v>45303</v>
      </c>
      <c r="Q22" s="21">
        <f>Настройки!S7</f>
        <v>45304</v>
      </c>
      <c r="R22" s="21">
        <f>Настройки!T7</f>
        <v>45305</v>
      </c>
      <c r="S22" s="21">
        <f>Настройки!U7</f>
        <v>45306</v>
      </c>
      <c r="T22" s="21">
        <f>Настройки!V7</f>
        <v>45307</v>
      </c>
      <c r="U22" s="21">
        <f>Настройки!W7</f>
        <v>45308</v>
      </c>
      <c r="V22" s="21">
        <f>Настройки!X7</f>
        <v>45309</v>
      </c>
      <c r="W22" s="21">
        <f>Настройки!Y7</f>
        <v>45310</v>
      </c>
      <c r="X22" s="21">
        <f>Настройки!Z7</f>
        <v>45311</v>
      </c>
      <c r="Y22" s="21">
        <f>Настройки!AA7</f>
        <v>45312</v>
      </c>
      <c r="Z22" s="21">
        <f>Настройки!AB7</f>
        <v>45313</v>
      </c>
      <c r="AA22" s="21">
        <f>Настройки!AC7</f>
        <v>45314</v>
      </c>
      <c r="AB22" s="21">
        <f>Настройки!AD7</f>
        <v>45315</v>
      </c>
      <c r="AC22" s="21">
        <f>Настройки!AE7</f>
        <v>45316</v>
      </c>
      <c r="AD22" s="21">
        <f>Настройки!AF7</f>
        <v>45317</v>
      </c>
      <c r="AE22" s="21">
        <f>Настройки!AG7</f>
        <v>45318</v>
      </c>
      <c r="AF22" s="21">
        <f>Настройки!AH7</f>
        <v>45319</v>
      </c>
      <c r="AG22" s="21">
        <f>Настройки!AI7</f>
        <v>45320</v>
      </c>
      <c r="AH22" s="21">
        <f>Настройки!AJ7</f>
        <v>45321</v>
      </c>
      <c r="AI22" s="21">
        <f>Настройки!AK7</f>
        <v>45322</v>
      </c>
      <c r="AJ22" s="53"/>
      <c r="AK22" s="55"/>
    </row>
    <row r="23" spans="1:37" x14ac:dyDescent="0.25">
      <c r="A23" s="63"/>
      <c r="B23" s="63"/>
      <c r="C23" s="64"/>
      <c r="D23" s="66"/>
      <c r="E23" s="63" t="s">
        <v>54</v>
      </c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70"/>
      <c r="AJ23" s="53"/>
      <c r="AK23" s="55"/>
    </row>
    <row r="24" spans="1:37" x14ac:dyDescent="0.25">
      <c r="A24" s="63"/>
      <c r="B24" s="63"/>
      <c r="C24" s="64"/>
      <c r="D24" s="66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70"/>
      <c r="AJ24" s="53"/>
      <c r="AK24" s="56"/>
    </row>
    <row r="25" spans="1:37" ht="17.25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50" t="s">
        <v>1</v>
      </c>
      <c r="B26" s="2">
        <f>IF(Январь[[#This Row],[№]]=1,INDEX(Услуги[],MATCH(Январь[[#This Row],[Услуга]],Услуги[Кратко],0),4),"")</f>
        <v>0</v>
      </c>
      <c r="C26" s="8">
        <f>IF(Январь[[#This Row],[№]]=1,INDEX(Услуги[],MATCH(Январь[[#This Row],[Услуга]],Услуги[Кратко],0),3),"")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IF(Январь[[#This Row],[№]]=1,SUM(Январь[[#This Row],[1]:[31]])+SUM(OFFSET(Январь[[#This Row],[1]:[31]],1,0))+SUM(OFFSET(Январь[[#This Row],[1]:[31]],2,0)),"")</f>
        <v>0</v>
      </c>
      <c r="AK26" s="5">
        <f ca="1">IF(Январь[[#This Row],[УСЛУГ]]&lt;&gt;"",Январь[[#This Row],[УСЛУГ]]*Январь[[#This Row],[Периодичность]],"")</f>
        <v>0</v>
      </c>
    </row>
    <row r="27" spans="1:37" x14ac:dyDescent="0.25">
      <c r="A27" s="50"/>
      <c r="B27" s="2" t="str">
        <f>IF(Январь[[#This Row],[№]]=1,INDEX(Услуги[],MATCH(Январь[[#This Row],[Услуга]],Услуги[Кратко],0),4),"")</f>
        <v/>
      </c>
      <c r="C27" s="8" t="str">
        <f>IF(Январь[[#This Row],[№]]=1,INDEX(Услуги[],MATCH(Январь[[#This Row],[Услуга]],Услуги[Кратко],0),3),"")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IF(Январь[[#This Row],[№]]=1,SUM(Январь[[#This Row],[1]:[31]])+SUM(OFFSET(Январь[[#This Row],[1]:[31]],1,0))+SUM(OFFSET(Январь[[#This Row],[1]:[31]],2,0)),"")</f>
        <v/>
      </c>
      <c r="AK27" s="5" t="str">
        <f ca="1">IF(Январь[[#This Row],[УСЛУГ]]&lt;&gt;"",Январь[[#This Row],[УСЛУГ]]*Январь[[#This Row],[Периодичность]],"")</f>
        <v/>
      </c>
    </row>
    <row r="28" spans="1:37" x14ac:dyDescent="0.25">
      <c r="A28" s="50"/>
      <c r="B28" s="2" t="str">
        <f>IF(Январь[[#This Row],[№]]=1,INDEX(Услуги[],MATCH(Январь[[#This Row],[Услуга]],Услуги[Кратко],0),4),"")</f>
        <v/>
      </c>
      <c r="C28" s="8" t="str">
        <f>IF(Январь[[#This Row],[№]]=1,INDEX(Услуги[],MATCH(Январь[[#This Row],[Услуга]],Услуги[Кратко],0),3),"")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IF(Январь[[#This Row],[№]]=1,SUM(Январь[[#This Row],[1]:[31]])+SUM(OFFSET(Январь[[#This Row],[1]:[31]],1,0))+SUM(OFFSET(Январь[[#This Row],[1]:[31]],2,0)),"")</f>
        <v/>
      </c>
      <c r="AK28" s="5" t="str">
        <f ca="1">IF(Январь[[#This Row],[УСЛУГ]]&lt;&gt;"",Январь[[#This Row],[УСЛУГ]]*Январь[[#This Row],[Периодичность]],"")</f>
        <v/>
      </c>
    </row>
    <row r="29" spans="1:37" x14ac:dyDescent="0.25"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</sheetData>
  <mergeCells count="20">
    <mergeCell ref="A2:AJ2"/>
    <mergeCell ref="A3:AJ3"/>
    <mergeCell ref="J4:L4"/>
    <mergeCell ref="M4:U4"/>
    <mergeCell ref="M5:Q5"/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</mergeCells>
  <conditionalFormatting sqref="E9:AI9">
    <cfRule type="expression" dxfId="1306" priority="2">
      <formula>WEEKDAY(E9:AI9,2)&gt;5</formula>
    </cfRule>
  </conditionalFormatting>
  <conditionalFormatting sqref="E22:AI22">
    <cfRule type="expression" dxfId="1305" priority="1">
      <formula>WEEKDAY(E22:AI22,2)&gt;5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AI13:AK13 B13:B18 E16:E17 E14:I14 E15:I15 AI16:AK17 AJ14:AK14 AJ15:AK15 AI14:AI15" calculatedColumn="1"/>
  </ignoredError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  <pageSetUpPr fitToPage="1"/>
  </sheetPr>
  <dimension ref="A2:AF36"/>
  <sheetViews>
    <sheetView zoomScale="90" zoomScaleNormal="90" workbookViewId="0">
      <selection activeCell="A14" sqref="A14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128</v>
      </c>
      <c r="I4" s="38" t="str">
        <f>Год[Год]&amp;" г."</f>
        <v>2024 г.</v>
      </c>
      <c r="J4" s="36"/>
    </row>
    <row r="6" spans="1:32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Настройки!G7</f>
        <v>45292</v>
      </c>
      <c r="C10" s="30">
        <f>Настройки!H7</f>
        <v>45293</v>
      </c>
      <c r="D10" s="30">
        <f>Настройки!I7</f>
        <v>45294</v>
      </c>
      <c r="E10" s="30">
        <f>Настройки!J7</f>
        <v>45295</v>
      </c>
      <c r="F10" s="30">
        <f>Настройки!K7</f>
        <v>45296</v>
      </c>
      <c r="G10" s="30">
        <f>Настройки!L7</f>
        <v>45297</v>
      </c>
      <c r="H10" s="30">
        <f>Настройки!M7</f>
        <v>45298</v>
      </c>
      <c r="I10" s="30">
        <f>Настройки!N7</f>
        <v>45299</v>
      </c>
      <c r="J10" s="30">
        <f>Настройки!O7</f>
        <v>45300</v>
      </c>
      <c r="K10" s="30">
        <f>Настройки!P7</f>
        <v>45301</v>
      </c>
      <c r="L10" s="30">
        <f>Настройки!Q7</f>
        <v>45302</v>
      </c>
      <c r="M10" s="30">
        <f>Настройки!R7</f>
        <v>45303</v>
      </c>
      <c r="N10" s="30">
        <f>Настройки!S7</f>
        <v>45304</v>
      </c>
      <c r="O10" s="30">
        <f>Настройки!T7</f>
        <v>45305</v>
      </c>
      <c r="P10" s="30">
        <f>Настройки!U7</f>
        <v>45306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IF(Настройки!J2&lt;&gt;"",TEXT(Настройки!J2,"ч:мм")&amp;"-"&amp;TEXT(Настройки!J2+TIME(0,MAX(Январь!E13:AI13),0),"ч:мм"),"")</f>
        <v>9:00-9:00</v>
      </c>
      <c r="B14" s="31" t="str">
        <f>IF(TEXT(Настройки!$J2+TIME(0,Январь!E13,0),"ч::мм")=TEXT(Настройки!$J2,"ч:мм"),"",TEXT(Настройки!$J2,"ч:мм")&amp;"-"&amp;TEXT(Настройки!$J2+TIME(0,Январь!E13,0),"ч::мм"))</f>
        <v/>
      </c>
      <c r="C14" s="31" t="str">
        <f>IF(TEXT(Настройки!$J2+TIME(0,Январь!F13,0),"ч::мм")=TEXT(Настройки!$J2,"ч:мм"),"",TEXT(Настройки!$J2,"ч:мм")&amp;"-"&amp;TEXT(Настройки!$J2+TIME(0,Январь!F13,0),"ч::мм"))</f>
        <v/>
      </c>
      <c r="D14" s="31" t="str">
        <f>IF(TEXT(Настройки!$J2+TIME(0,Январь!G13,0),"ч::мм")=TEXT(Настройки!$J2,"ч:мм"),"",TEXT(Настройки!$J2,"ч:мм")&amp;"-"&amp;TEXT(Настройки!$J2+TIME(0,Январь!G13,0),"ч::мм"))</f>
        <v/>
      </c>
      <c r="E14" s="31" t="str">
        <f>IF(TEXT(Настройки!$J2+TIME(0,Январь!H13,0),"ч::мм")=TEXT(Настройки!$J2,"ч:мм"),"",TEXT(Настройки!$J2,"ч:мм")&amp;"-"&amp;TEXT(Настройки!$J2+TIME(0,Январь!H13,0),"ч::мм"))</f>
        <v/>
      </c>
      <c r="F14" s="31" t="str">
        <f>IF(TEXT(Настройки!$J2+TIME(0,Январь!I13,0),"ч::мм")=TEXT(Настройки!$J2,"ч:мм"),"",TEXT(Настройки!$J2,"ч:мм")&amp;"-"&amp;TEXT(Настройки!$J2+TIME(0,Январь!I13,0),"ч::мм"))</f>
        <v/>
      </c>
      <c r="G14" s="31" t="str">
        <f>IF(TEXT(Настройки!$J2+TIME(0,Январь!J13,0),"ч::мм")=TEXT(Настройки!$J2,"ч:мм"),"",TEXT(Настройки!$J2,"ч:мм")&amp;"-"&amp;TEXT(Настройки!$J2+TIME(0,Январь!J13,0),"ч::мм"))</f>
        <v/>
      </c>
      <c r="H14" s="31" t="str">
        <f>IF(TEXT(Настройки!$J2+TIME(0,Январь!K13,0),"ч::мм")=TEXT(Настройки!$J2,"ч:мм"),"",TEXT(Настройки!$J2,"ч:мм")&amp;"-"&amp;TEXT(Настройки!$J2+TIME(0,Январь!K13,0),"ч::мм"))</f>
        <v/>
      </c>
      <c r="I14" s="31" t="str">
        <f>IF(TEXT(Настройки!$J2+TIME(0,Январь!L13,0),"ч::мм")=TEXT(Настройки!$J2,"ч:мм"),"",TEXT(Настройки!$J2,"ч:мм")&amp;"-"&amp;TEXT(Настройки!$J2+TIME(0,Январь!L13,0),"ч::мм"))</f>
        <v/>
      </c>
      <c r="J14" s="31" t="str">
        <f>IF(TEXT(Настройки!$J2+TIME(0,Январь!M13,0),"ч::мм")=TEXT(Настройки!$J2,"ч:мм"),"",TEXT(Настройки!$J2,"ч:мм")&amp;"-"&amp;TEXT(Настройки!$J2+TIME(0,Январь!M13,0),"ч::мм"))</f>
        <v/>
      </c>
      <c r="K14" s="31" t="str">
        <f>IF(TEXT(Настройки!$J2+TIME(0,Январь!N13,0),"ч::мм")=TEXT(Настройки!$J2,"ч:мм"),"",TEXT(Настройки!$J2,"ч:мм")&amp;"-"&amp;TEXT(Настройки!$J2+TIME(0,Январь!N13,0),"ч::мм"))</f>
        <v/>
      </c>
      <c r="L14" s="31" t="str">
        <f>IF(TEXT(Настройки!$J2+TIME(0,Январь!O13,0),"ч::мм")=TEXT(Настройки!$J2,"ч:мм"),"",TEXT(Настройки!$J2,"ч:мм")&amp;"-"&amp;TEXT(Настройки!$J2+TIME(0,Январь!O13,0),"ч::мм"))</f>
        <v/>
      </c>
      <c r="M14" s="31" t="str">
        <f>IF(TEXT(Настройки!$J2+TIME(0,Январь!P13,0),"ч::мм")=TEXT(Настройки!$J2,"ч:мм"),"",TEXT(Настройки!$J2,"ч:мм")&amp;"-"&amp;TEXT(Настройки!$J2+TIME(0,Январь!P13,0),"ч::мм"))</f>
        <v/>
      </c>
      <c r="N14" s="31" t="str">
        <f>IF(TEXT(Настройки!$J2+TIME(0,Январь!Q13,0),"ч::мм")=TEXT(Настройки!$J2,"ч:мм"),"",TEXT(Настройки!$J2,"ч:мм")&amp;"-"&amp;TEXT(Настройки!$J2+TIME(0,Январь!Q13,0),"ч::мм"))</f>
        <v/>
      </c>
      <c r="O14" s="31" t="str">
        <f>IF(TEXT(Настройки!$J2+TIME(0,Январь!R13,0),"ч::мм")=TEXT(Настройки!$J2,"ч:мм"),"",TEXT(Настройки!$J2,"ч:мм")&amp;"-"&amp;TEXT(Настройки!$J2+TIME(0,Январь!R13,0),"ч::мм"))</f>
        <v/>
      </c>
      <c r="P14" s="31" t="str">
        <f>IF(TEXT(Настройки!$J2+TIME(0,Январь!S13,0),"ч::мм")=TEXT(Настройки!$J2,"ч:мм"),"",TEXT(Настройки!$J2,"ч:мм")&amp;"-"&amp;TEXT(Настройки!$J2+TIME(0,Январь!S13,0),"ч::мм"))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IF(Настройки!J3&lt;&gt;"",TEXT(Настройки!J3,"ч:мм")&amp;"-"&amp;TEXT(Настройки!J3+TIME(0,MAX(Январь!E14:AI14),0),"ч:мм"),"")</f>
        <v>13:00-13:00</v>
      </c>
      <c r="B15" s="31" t="str">
        <f ca="1">IF(TEXT(Настройки!$J3+TIME(0,Январь!E14,0),"ч::мм")=TEXT(Настройки!$J3,"ч:мм"),"",TEXT(Настройки!$J3,"ч:мм")&amp;"-"&amp;TEXT(Настройки!$J3+TIME(0,Январь!E14,0),"ч::мм"))</f>
        <v/>
      </c>
      <c r="C15" s="31" t="str">
        <f ca="1">IF(TEXT(Настройки!$J3+TIME(0,Январь!F14,0),"ч::мм")=TEXT(Настройки!$J3,"ч:мм"),"",TEXT(Настройки!$J3,"ч:мм")&amp;"-"&amp;TEXT(Настройки!$J3+TIME(0,Январь!F14,0),"ч::мм"))</f>
        <v/>
      </c>
      <c r="D15" s="31" t="str">
        <f ca="1">IF(TEXT(Настройки!$J3+TIME(0,Январь!G14,0),"ч::мм")=TEXT(Настройки!$J3,"ч:мм"),"",TEXT(Настройки!$J3,"ч:мм")&amp;"-"&amp;TEXT(Настройки!$J3+TIME(0,Январь!G14,0),"ч::мм"))</f>
        <v/>
      </c>
      <c r="E15" s="31" t="str">
        <f ca="1">IF(TEXT(Настройки!$J3+TIME(0,Январь!H14,0),"ч::мм")=TEXT(Настройки!$J3,"ч:мм"),"",TEXT(Настройки!$J3,"ч:мм")&amp;"-"&amp;TEXT(Настройки!$J3+TIME(0,Январь!H14,0),"ч::мм"))</f>
        <v/>
      </c>
      <c r="F15" s="31" t="str">
        <f ca="1">IF(TEXT(Настройки!$J3+TIME(0,Январь!I14,0),"ч::мм")=TEXT(Настройки!$J3,"ч:мм"),"",TEXT(Настройки!$J3,"ч:мм")&amp;"-"&amp;TEXT(Настройки!$J3+TIME(0,Январь!I14,0),"ч::мм"))</f>
        <v/>
      </c>
      <c r="G15" s="31" t="str">
        <f ca="1">IF(TEXT(Настройки!$J3+TIME(0,Январь!J14,0),"ч::мм")=TEXT(Настройки!$J3,"ч:мм"),"",TEXT(Настройки!$J3,"ч:мм")&amp;"-"&amp;TEXT(Настройки!$J3+TIME(0,Январь!J14,0),"ч::мм"))</f>
        <v/>
      </c>
      <c r="H15" s="31" t="str">
        <f ca="1">IF(TEXT(Настройки!$J3+TIME(0,Январь!K14,0),"ч::мм")=TEXT(Настройки!$J3,"ч:мм"),"",TEXT(Настройки!$J3,"ч:мм")&amp;"-"&amp;TEXT(Настройки!$J3+TIME(0,Январь!K14,0),"ч::мм"))</f>
        <v/>
      </c>
      <c r="I15" s="31" t="str">
        <f ca="1">IF(TEXT(Настройки!$J3+TIME(0,Январь!L14,0),"ч::мм")=TEXT(Настройки!$J3,"ч:мм"),"",TEXT(Настройки!$J3,"ч:мм")&amp;"-"&amp;TEXT(Настройки!$J3+TIME(0,Январь!L14,0),"ч::мм"))</f>
        <v/>
      </c>
      <c r="J15" s="31" t="str">
        <f ca="1">IF(TEXT(Настройки!$J3+TIME(0,Январь!M14,0),"ч::мм")=TEXT(Настройки!$J3,"ч:мм"),"",TEXT(Настройки!$J3,"ч:мм")&amp;"-"&amp;TEXT(Настройки!$J3+TIME(0,Январь!M14,0),"ч::мм"))</f>
        <v/>
      </c>
      <c r="K15" s="31" t="str">
        <f ca="1">IF(TEXT(Настройки!$J3+TIME(0,Январь!N14,0),"ч::мм")=TEXT(Настройки!$J3,"ч:мм"),"",TEXT(Настройки!$J3,"ч:мм")&amp;"-"&amp;TEXT(Настройки!$J3+TIME(0,Январь!N14,0),"ч::мм"))</f>
        <v/>
      </c>
      <c r="L15" s="31" t="str">
        <f ca="1">IF(TEXT(Настройки!$J3+TIME(0,Январь!O14,0),"ч::мм")=TEXT(Настройки!$J3,"ч:мм"),"",TEXT(Настройки!$J3,"ч:мм")&amp;"-"&amp;TEXT(Настройки!$J3+TIME(0,Январь!O14,0),"ч::мм"))</f>
        <v/>
      </c>
      <c r="M15" s="31" t="str">
        <f ca="1">IF(TEXT(Настройки!$J3+TIME(0,Январь!P14,0),"ч::мм")=TEXT(Настройки!$J3,"ч:мм"),"",TEXT(Настройки!$J3,"ч:мм")&amp;"-"&amp;TEXT(Настройки!$J3+TIME(0,Январь!P14,0),"ч::мм"))</f>
        <v/>
      </c>
      <c r="N15" s="31" t="str">
        <f ca="1">IF(TEXT(Настройки!$J3+TIME(0,Январь!Q14,0),"ч::мм")=TEXT(Настройки!$J3,"ч:мм"),"",TEXT(Настройки!$J3,"ч:мм")&amp;"-"&amp;TEXT(Настройки!$J3+TIME(0,Январь!Q14,0),"ч::мм"))</f>
        <v/>
      </c>
      <c r="O15" s="31" t="str">
        <f ca="1">IF(TEXT(Настройки!$J3+TIME(0,Январь!R14,0),"ч::мм")=TEXT(Настройки!$J3,"ч:мм"),"",TEXT(Настройки!$J3,"ч:мм")&amp;"-"&amp;TEXT(Настройки!$J3+TIME(0,Январь!R14,0),"ч::мм"))</f>
        <v/>
      </c>
      <c r="P15" s="31" t="str">
        <f ca="1">IF(TEXT(Настройки!$J3+TIME(0,Январь!S14,0),"ч::мм")=TEXT(Настройки!$J3,"ч:мм"),"",TEXT(Настройки!$J3,"ч:мм")&amp;"-"&amp;TEXT(Настройки!$J3+TIME(0,Январь!S14,0),"ч::мм"))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IF(Настройки!J4&lt;&gt;"",TEXT(Настройки!J4,"ч:мм")&amp;"-"&amp;TEXT(Настройки!J4+TIME(0,MAX(Январь!E15:AI15),0),"ч:мм"),"")</f>
        <v>16:00-16:00</v>
      </c>
      <c r="B16" s="31" t="str">
        <f ca="1">IF(TEXT(Настройки!$J4+TIME(0,Январь!E15,0),"ч::мм")=TEXT(Настройки!$J4,"ч:мм"),"",TEXT(Настройки!$J4,"ч:мм")&amp;"-"&amp;TEXT(Настройки!$J4+TIME(0,Январь!E15,0),"ч::мм"))</f>
        <v/>
      </c>
      <c r="C16" s="31" t="str">
        <f ca="1">IF(TEXT(Настройки!$J4+TIME(0,Январь!F15,0),"ч::мм")=TEXT(Настройки!$J4,"ч:мм"),"",TEXT(Настройки!$J4,"ч:мм")&amp;"-"&amp;TEXT(Настройки!$J4+TIME(0,Январь!F15,0),"ч::мм"))</f>
        <v/>
      </c>
      <c r="D16" s="31" t="str">
        <f ca="1">IF(TEXT(Настройки!$J4+TIME(0,Январь!G15,0),"ч::мм")=TEXT(Настройки!$J4,"ч:мм"),"",TEXT(Настройки!$J4,"ч:мм")&amp;"-"&amp;TEXT(Настройки!$J4+TIME(0,Январь!G15,0),"ч::мм"))</f>
        <v/>
      </c>
      <c r="E16" s="31" t="str">
        <f ca="1">IF(TEXT(Настройки!$J4+TIME(0,Январь!H15,0),"ч::мм")=TEXT(Настройки!$J4,"ч:мм"),"",TEXT(Настройки!$J4,"ч:мм")&amp;"-"&amp;TEXT(Настройки!$J4+TIME(0,Январь!H15,0),"ч::мм"))</f>
        <v/>
      </c>
      <c r="F16" s="31" t="str">
        <f ca="1">IF(TEXT(Настройки!$J4+TIME(0,Январь!I15,0),"ч::мм")=TEXT(Настройки!$J4,"ч:мм"),"",TEXT(Настройки!$J4,"ч:мм")&amp;"-"&amp;TEXT(Настройки!$J4+TIME(0,Январь!I15,0),"ч::мм"))</f>
        <v/>
      </c>
      <c r="G16" s="31" t="str">
        <f ca="1">IF(TEXT(Настройки!$J4+TIME(0,Январь!J15,0),"ч::мм")=TEXT(Настройки!$J4,"ч:мм"),"",TEXT(Настройки!$J4,"ч:мм")&amp;"-"&amp;TEXT(Настройки!$J4+TIME(0,Январь!J15,0),"ч::мм"))</f>
        <v/>
      </c>
      <c r="H16" s="31" t="str">
        <f ca="1">IF(TEXT(Настройки!$J4+TIME(0,Январь!K15,0),"ч::мм")=TEXT(Настройки!$J4,"ч:мм"),"",TEXT(Настройки!$J4,"ч:мм")&amp;"-"&amp;TEXT(Настройки!$J4+TIME(0,Январь!K15,0),"ч::мм"))</f>
        <v/>
      </c>
      <c r="I16" s="31" t="str">
        <f ca="1">IF(TEXT(Настройки!$J4+TIME(0,Январь!L15,0),"ч::мм")=TEXT(Настройки!$J4,"ч:мм"),"",TEXT(Настройки!$J4,"ч:мм")&amp;"-"&amp;TEXT(Настройки!$J4+TIME(0,Январь!L15,0),"ч::мм"))</f>
        <v/>
      </c>
      <c r="J16" s="31" t="str">
        <f ca="1">IF(TEXT(Настройки!$J4+TIME(0,Январь!M15,0),"ч::мм")=TEXT(Настройки!$J4,"ч:мм"),"",TEXT(Настройки!$J4,"ч:мм")&amp;"-"&amp;TEXT(Настройки!$J4+TIME(0,Январь!M15,0),"ч::мм"))</f>
        <v/>
      </c>
      <c r="K16" s="31" t="str">
        <f ca="1">IF(TEXT(Настройки!$J4+TIME(0,Январь!N15,0),"ч::мм")=TEXT(Настройки!$J4,"ч:мм"),"",TEXT(Настройки!$J4,"ч:мм")&amp;"-"&amp;TEXT(Настройки!$J4+TIME(0,Январь!N15,0),"ч::мм"))</f>
        <v/>
      </c>
      <c r="L16" s="31" t="str">
        <f ca="1">IF(TEXT(Настройки!$J4+TIME(0,Январь!O15,0),"ч::мм")=TEXT(Настройки!$J4,"ч:мм"),"",TEXT(Настройки!$J4,"ч:мм")&amp;"-"&amp;TEXT(Настройки!$J4+TIME(0,Январь!O15,0),"ч::мм"))</f>
        <v/>
      </c>
      <c r="M16" s="31" t="str">
        <f ca="1">IF(TEXT(Настройки!$J4+TIME(0,Январь!P15,0),"ч::мм")=TEXT(Настройки!$J4,"ч:мм"),"",TEXT(Настройки!$J4,"ч:мм")&amp;"-"&amp;TEXT(Настройки!$J4+TIME(0,Январь!P15,0),"ч::мм"))</f>
        <v/>
      </c>
      <c r="N16" s="31" t="str">
        <f ca="1">IF(TEXT(Настройки!$J4+TIME(0,Январь!Q15,0),"ч::мм")=TEXT(Настройки!$J4,"ч:мм"),"",TEXT(Настройки!$J4,"ч:мм")&amp;"-"&amp;TEXT(Настройки!$J4+TIME(0,Январь!Q15,0),"ч::мм"))</f>
        <v/>
      </c>
      <c r="O16" s="31" t="str">
        <f ca="1">IF(TEXT(Настройки!$J4+TIME(0,Январь!R15,0),"ч::мм")=TEXT(Настройки!$J4,"ч:мм"),"",TEXT(Настройки!$J4,"ч:мм")&amp;"-"&amp;TEXT(Настройки!$J4+TIME(0,Январь!R15,0),"ч::мм"))</f>
        <v/>
      </c>
      <c r="P16" s="31" t="str">
        <f ca="1">IF(TEXT(Настройки!$J4+TIME(0,Январь!S15,0),"ч::мм")=TEXT(Настройки!$J4,"ч:мм"),"",TEXT(Настройки!$J4,"ч:мм")&amp;"-"&amp;TEXT(Настройки!$J4+TIME(0,Январь!S15,0),"ч::мм"))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Настройки!V7</f>
        <v>45307</v>
      </c>
      <c r="C20" s="30">
        <f>Настройки!W7</f>
        <v>45308</v>
      </c>
      <c r="D20" s="30">
        <f>Настройки!X7</f>
        <v>45309</v>
      </c>
      <c r="E20" s="30">
        <f>Настройки!Y7</f>
        <v>45310</v>
      </c>
      <c r="F20" s="30">
        <f>Настройки!Z7</f>
        <v>45311</v>
      </c>
      <c r="G20" s="30">
        <f>Настройки!AA7</f>
        <v>45312</v>
      </c>
      <c r="H20" s="30">
        <f>Настройки!AB7</f>
        <v>45313</v>
      </c>
      <c r="I20" s="30">
        <f>Настройки!AC7</f>
        <v>45314</v>
      </c>
      <c r="J20" s="30">
        <f>Настройки!AD7</f>
        <v>45315</v>
      </c>
      <c r="K20" s="30">
        <f>Настройки!AE7</f>
        <v>45316</v>
      </c>
      <c r="L20" s="30">
        <f>Настройки!AF7</f>
        <v>45317</v>
      </c>
      <c r="M20" s="30">
        <f>Настройки!AG7</f>
        <v>45318</v>
      </c>
      <c r="N20" s="30">
        <f>Настройки!AH7</f>
        <v>45319</v>
      </c>
      <c r="O20" s="30">
        <f>Настройки!AI7</f>
        <v>45320</v>
      </c>
      <c r="P20" s="30">
        <f>Настройки!AJ7</f>
        <v>45321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IF(TEXT(Настройки!$J2+TIME(0,Январь!T13,0),"ч::мм")=TEXT(Настройки!$J2,"ч:мм"),"",TEXT(Настройки!$J2,"ч:мм")&amp;"-"&amp;TEXT(Настройки!$J2+TIME(0,Январь!T13,0),"ч::мм"))</f>
        <v/>
      </c>
      <c r="C24" s="3" t="str">
        <f>IF(TEXT(Настройки!$J2+TIME(0,Январь!U13,0),"ч::мм")=TEXT(Настройки!$J2,"ч:мм"),"",TEXT(Настройки!$J2,"ч:мм")&amp;"-"&amp;TEXT(Настройки!$J2+TIME(0,Январь!U13,0),"ч::мм"))</f>
        <v/>
      </c>
      <c r="D24" s="3" t="str">
        <f>IF(TEXT(Настройки!$J2+TIME(0,Январь!V13,0),"ч::мм")=TEXT(Настройки!$J2,"ч:мм"),"",TEXT(Настройки!$J2,"ч:мм")&amp;"-"&amp;TEXT(Настройки!$J2+TIME(0,Январь!V13,0),"ч::мм"))</f>
        <v/>
      </c>
      <c r="E24" s="3" t="str">
        <f>IF(TEXT(Настройки!$J2+TIME(0,Январь!W13,0),"ч::мм")=TEXT(Настройки!$J2,"ч:мм"),"",TEXT(Настройки!$J2,"ч:мм")&amp;"-"&amp;TEXT(Настройки!$J2+TIME(0,Январь!W13,0),"ч::мм"))</f>
        <v/>
      </c>
      <c r="F24" s="3" t="str">
        <f>IF(TEXT(Настройки!$J2+TIME(0,Январь!X13,0),"ч::мм")=TEXT(Настройки!$J2,"ч:мм"),"",TEXT(Настройки!$J2,"ч:мм")&amp;"-"&amp;TEXT(Настройки!$J2+TIME(0,Январь!X13,0),"ч::мм"))</f>
        <v/>
      </c>
      <c r="G24" s="3" t="str">
        <f>IF(TEXT(Настройки!$J2+TIME(0,Январь!Y13,0),"ч::мм")=TEXT(Настройки!$J2,"ч:мм"),"",TEXT(Настройки!$J2,"ч:мм")&amp;"-"&amp;TEXT(Настройки!$J2+TIME(0,Январь!Y13,0),"ч::мм"))</f>
        <v/>
      </c>
      <c r="H24" s="3" t="str">
        <f>IF(TEXT(Настройки!$J2+TIME(0,Январь!Z13,0),"ч::мм")=TEXT(Настройки!$J2,"ч:мм"),"",TEXT(Настройки!$J2,"ч:мм")&amp;"-"&amp;TEXT(Настройки!$J2+TIME(0,Январь!Z13,0),"ч::мм"))</f>
        <v/>
      </c>
      <c r="I24" s="3" t="str">
        <f>IF(TEXT(Настройки!$J2+TIME(0,Январь!AA13,0),"ч::мм")=TEXT(Настройки!$J2,"ч:мм"),"",TEXT(Настройки!$J2,"ч:мм")&amp;"-"&amp;TEXT(Настройки!$J2+TIME(0,Январь!AA13,0),"ч::мм"))</f>
        <v/>
      </c>
      <c r="J24" s="3" t="str">
        <f>IF(TEXT(Настройки!$J2+TIME(0,Январь!AB13,0),"ч::мм")=TEXT(Настройки!$J2,"ч:мм"),"",TEXT(Настройки!$J2,"ч:мм")&amp;"-"&amp;TEXT(Настройки!$J2+TIME(0,Январь!AB13,0),"ч::мм"))</f>
        <v/>
      </c>
      <c r="K24" s="3" t="str">
        <f>IF(TEXT(Настройки!$J2+TIME(0,Январь!AC13,0),"ч::мм")=TEXT(Настройки!$J2,"ч:мм"),"",TEXT(Настройки!$J2,"ч:мм")&amp;"-"&amp;TEXT(Настройки!$J2+TIME(0,Январь!AC13,0),"ч::мм"))</f>
        <v/>
      </c>
      <c r="L24" s="3" t="str">
        <f>IF(TEXT(Настройки!$J2+TIME(0,Январь!AD13,0),"ч::мм")=TEXT(Настройки!$J2,"ч:мм"),"",TEXT(Настройки!$J2,"ч:мм")&amp;"-"&amp;TEXT(Настройки!$J2+TIME(0,Январь!AD13,0),"ч::мм"))</f>
        <v/>
      </c>
      <c r="M24" s="3" t="str">
        <f>IF(TEXT(Настройки!$J2+TIME(0,Январь!AE13,0),"ч::мм")=TEXT(Настройки!$J2,"ч:мм"),"",TEXT(Настройки!$J2,"ч:мм")&amp;"-"&amp;TEXT(Настройки!$J2+TIME(0,Январь!AE13,0),"ч::мм"))</f>
        <v/>
      </c>
      <c r="N24" s="3" t="str">
        <f>IF(TEXT(Настройки!$J2+TIME(0,Январь!AF13,0),"ч::мм")=TEXT(Настройки!$J2,"ч:мм"),"",TEXT(Настройки!$J2,"ч:мм")&amp;"-"&amp;TEXT(Настройки!$J2+TIME(0,Январь!AF13,0),"ч::мм"))</f>
        <v/>
      </c>
      <c r="O24" s="3" t="str">
        <f>IF(TEXT(Настройки!$J2+TIME(0,Январь!AG13,0),"ч::мм")=TEXT(Настройки!$J2,"ч:мм"),"",TEXT(Настройки!$J2,"ч:мм")&amp;"-"&amp;TEXT(Настройки!$J2+TIME(0,Январь!AG13,0),"ч::мм"))</f>
        <v/>
      </c>
      <c r="P24" s="3" t="str">
        <f>IF(TEXT(Настройки!$J2+TIME(0,Январь!AH13,0),"ч::мм")=TEXT(Настройки!$J2,"ч:мм"),"",TEXT(Настройки!$J2,"ч:мм")&amp;"-"&amp;TEXT(Настройки!$J2+TIME(0,Январь!AH13,0),"ч::мм"))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IF(TEXT(Настройки!$J3+TIME(0,Январь!T14,0),"ч::мм")=TEXT(Настройки!$J3,"ч:мм"),"",TEXT(Настройки!$J3,"ч:мм")&amp;"-"&amp;TEXT(Настройки!$J3+TIME(0,Январь!T14,0),"ч::мм"))</f>
        <v/>
      </c>
      <c r="C25" s="3" t="str">
        <f ca="1">IF(TEXT(Настройки!$J3+TIME(0,Январь!U14,0),"ч::мм")=TEXT(Настройки!$J3,"ч:мм"),"",TEXT(Настройки!$J3,"ч:мм")&amp;"-"&amp;TEXT(Настройки!$J3+TIME(0,Январь!U14,0),"ч::мм"))</f>
        <v/>
      </c>
      <c r="D25" s="3" t="str">
        <f ca="1">IF(TEXT(Настройки!$J3+TIME(0,Январь!V14,0),"ч::мм")=TEXT(Настройки!$J3,"ч:мм"),"",TEXT(Настройки!$J3,"ч:мм")&amp;"-"&amp;TEXT(Настройки!$J3+TIME(0,Январь!V14,0),"ч::мм"))</f>
        <v/>
      </c>
      <c r="E25" s="3" t="str">
        <f ca="1">IF(TEXT(Настройки!$J3+TIME(0,Январь!W14,0),"ч::мм")=TEXT(Настройки!$J3,"ч:мм"),"",TEXT(Настройки!$J3,"ч:мм")&amp;"-"&amp;TEXT(Настройки!$J3+TIME(0,Январь!W14,0),"ч::мм"))</f>
        <v/>
      </c>
      <c r="F25" s="3" t="str">
        <f ca="1">IF(TEXT(Настройки!$J3+TIME(0,Январь!X14,0),"ч::мм")=TEXT(Настройки!$J3,"ч:мм"),"",TEXT(Настройки!$J3,"ч:мм")&amp;"-"&amp;TEXT(Настройки!$J3+TIME(0,Январь!X14,0),"ч::мм"))</f>
        <v/>
      </c>
      <c r="G25" s="3" t="str">
        <f ca="1">IF(TEXT(Настройки!$J3+TIME(0,Январь!Y14,0),"ч::мм")=TEXT(Настройки!$J3,"ч:мм"),"",TEXT(Настройки!$J3,"ч:мм")&amp;"-"&amp;TEXT(Настройки!$J3+TIME(0,Январь!Y14,0),"ч::мм"))</f>
        <v/>
      </c>
      <c r="H25" s="3" t="str">
        <f ca="1">IF(TEXT(Настройки!$J3+TIME(0,Январь!Z14,0),"ч::мм")=TEXT(Настройки!$J3,"ч:мм"),"",TEXT(Настройки!$J3,"ч:мм")&amp;"-"&amp;TEXT(Настройки!$J3+TIME(0,Январь!Z14,0),"ч::мм"))</f>
        <v/>
      </c>
      <c r="I25" s="3" t="str">
        <f ca="1">IF(TEXT(Настройки!$J3+TIME(0,Январь!AA14,0),"ч::мм")=TEXT(Настройки!$J3,"ч:мм"),"",TEXT(Настройки!$J3,"ч:мм")&amp;"-"&amp;TEXT(Настройки!$J3+TIME(0,Январь!AA14,0),"ч::мм"))</f>
        <v/>
      </c>
      <c r="J25" s="3" t="str">
        <f ca="1">IF(TEXT(Настройки!$J3+TIME(0,Январь!AB14,0),"ч::мм")=TEXT(Настройки!$J3,"ч:мм"),"",TEXT(Настройки!$J3,"ч:мм")&amp;"-"&amp;TEXT(Настройки!$J3+TIME(0,Январь!AB14,0),"ч::мм"))</f>
        <v/>
      </c>
      <c r="K25" s="3" t="str">
        <f ca="1">IF(TEXT(Настройки!$J3+TIME(0,Январь!AC14,0),"ч::мм")=TEXT(Настройки!$J3,"ч:мм"),"",TEXT(Настройки!$J3,"ч:мм")&amp;"-"&amp;TEXT(Настройки!$J3+TIME(0,Январь!AC14,0),"ч::мм"))</f>
        <v/>
      </c>
      <c r="L25" s="3" t="str">
        <f ca="1">IF(TEXT(Настройки!$J3+TIME(0,Январь!AD14,0),"ч::мм")=TEXT(Настройки!$J3,"ч:мм"),"",TEXT(Настройки!$J3,"ч:мм")&amp;"-"&amp;TEXT(Настройки!$J3+TIME(0,Январь!AD14,0),"ч::мм"))</f>
        <v/>
      </c>
      <c r="M25" s="3" t="str">
        <f ca="1">IF(TEXT(Настройки!$J3+TIME(0,Январь!AE14,0),"ч::мм")=TEXT(Настройки!$J3,"ч:мм"),"",TEXT(Настройки!$J3,"ч:мм")&amp;"-"&amp;TEXT(Настройки!$J3+TIME(0,Январь!AE14,0),"ч::мм"))</f>
        <v/>
      </c>
      <c r="N25" s="3" t="str">
        <f ca="1">IF(TEXT(Настройки!$J3+TIME(0,Январь!AF14,0),"ч::мм")=TEXT(Настройки!$J3,"ч:мм"),"",TEXT(Настройки!$J3,"ч:мм")&amp;"-"&amp;TEXT(Настройки!$J3+TIME(0,Январь!AF14,0),"ч::мм"))</f>
        <v/>
      </c>
      <c r="O25" s="3" t="str">
        <f ca="1">IF(TEXT(Настройки!$J3+TIME(0,Январь!AG14,0),"ч::мм")=TEXT(Настройки!$J3,"ч:мм"),"",TEXT(Настройки!$J3,"ч:мм")&amp;"-"&amp;TEXT(Настройки!$J3+TIME(0,Январь!AG14,0),"ч::мм"))</f>
        <v/>
      </c>
      <c r="P25" s="3" t="str">
        <f ca="1">IF(TEXT(Настройки!$J3+TIME(0,Январь!AH14,0),"ч::мм")=TEXT(Настройки!$J3,"ч:мм"),"",TEXT(Настройки!$J3,"ч:мм")&amp;"-"&amp;TEXT(Настройки!$J3+TIME(0,Январь!AH14,0),"ч::мм"))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IF(TEXT(Настройки!$J4+TIME(0,Январь!T15,0),"ч::мм")=TEXT(Настройки!$J4,"ч:мм"),"",TEXT(Настройки!$J4,"ч:мм")&amp;"-"&amp;TEXT(Настройки!$J4+TIME(0,Январь!T15,0),"ч::мм"))</f>
        <v/>
      </c>
      <c r="C26" s="3" t="str">
        <f ca="1">IF(TEXT(Настройки!$J4+TIME(0,Январь!U15,0),"ч::мм")=TEXT(Настройки!$J4,"ч:мм"),"",TEXT(Настройки!$J4,"ч:мм")&amp;"-"&amp;TEXT(Настройки!$J4+TIME(0,Январь!U15,0),"ч::мм"))</f>
        <v/>
      </c>
      <c r="D26" s="3" t="str">
        <f ca="1">IF(TEXT(Настройки!$J4+TIME(0,Январь!V15,0),"ч::мм")=TEXT(Настройки!$J4,"ч:мм"),"",TEXT(Настройки!$J4,"ч:мм")&amp;"-"&amp;TEXT(Настройки!$J4+TIME(0,Январь!V15,0),"ч::мм"))</f>
        <v/>
      </c>
      <c r="E26" s="3" t="str">
        <f ca="1">IF(TEXT(Настройки!$J4+TIME(0,Январь!W15,0),"ч::мм")=TEXT(Настройки!$J4,"ч:мм"),"",TEXT(Настройки!$J4,"ч:мм")&amp;"-"&amp;TEXT(Настройки!$J4+TIME(0,Январь!W15,0),"ч::мм"))</f>
        <v/>
      </c>
      <c r="F26" s="3" t="str">
        <f ca="1">IF(TEXT(Настройки!$J4+TIME(0,Январь!X15,0),"ч::мм")=TEXT(Настройки!$J4,"ч:мм"),"",TEXT(Настройки!$J4,"ч:мм")&amp;"-"&amp;TEXT(Настройки!$J4+TIME(0,Январь!X15,0),"ч::мм"))</f>
        <v/>
      </c>
      <c r="G26" s="3" t="str">
        <f ca="1">IF(TEXT(Настройки!$J4+TIME(0,Январь!Y15,0),"ч::мм")=TEXT(Настройки!$J4,"ч:мм"),"",TEXT(Настройки!$J4,"ч:мм")&amp;"-"&amp;TEXT(Настройки!$J4+TIME(0,Январь!Y15,0),"ч::мм"))</f>
        <v/>
      </c>
      <c r="H26" s="3" t="str">
        <f ca="1">IF(TEXT(Настройки!$J4+TIME(0,Январь!Z15,0),"ч::мм")=TEXT(Настройки!$J4,"ч:мм"),"",TEXT(Настройки!$J4,"ч:мм")&amp;"-"&amp;TEXT(Настройки!$J4+TIME(0,Январь!Z15,0),"ч::мм"))</f>
        <v/>
      </c>
      <c r="I26" s="3" t="str">
        <f ca="1">IF(TEXT(Настройки!$J4+TIME(0,Январь!AA15,0),"ч::мм")=TEXT(Настройки!$J4,"ч:мм"),"",TEXT(Настройки!$J4,"ч:мм")&amp;"-"&amp;TEXT(Настройки!$J4+TIME(0,Январь!AA15,0),"ч::мм"))</f>
        <v/>
      </c>
      <c r="J26" s="3" t="str">
        <f ca="1">IF(TEXT(Настройки!$J4+TIME(0,Январь!AB15,0),"ч::мм")=TEXT(Настройки!$J4,"ч:мм"),"",TEXT(Настройки!$J4,"ч:мм")&amp;"-"&amp;TEXT(Настройки!$J4+TIME(0,Январь!AB15,0),"ч::мм"))</f>
        <v/>
      </c>
      <c r="K26" s="3" t="str">
        <f ca="1">IF(TEXT(Настройки!$J4+TIME(0,Январь!AC15,0),"ч::мм")=TEXT(Настройки!$J4,"ч:мм"),"",TEXT(Настройки!$J4,"ч:мм")&amp;"-"&amp;TEXT(Настройки!$J4+TIME(0,Январь!AC15,0),"ч::мм"))</f>
        <v/>
      </c>
      <c r="L26" s="3" t="str">
        <f ca="1">IF(TEXT(Настройки!$J4+TIME(0,Январь!AD15,0),"ч::мм")=TEXT(Настройки!$J4,"ч:мм"),"",TEXT(Настройки!$J4,"ч:мм")&amp;"-"&amp;TEXT(Настройки!$J4+TIME(0,Январь!AD15,0),"ч::мм"))</f>
        <v/>
      </c>
      <c r="M26" s="3" t="str">
        <f ca="1">IF(TEXT(Настройки!$J4+TIME(0,Январь!AE15,0),"ч::мм")=TEXT(Настройки!$J4,"ч:мм"),"",TEXT(Настройки!$J4,"ч:мм")&amp;"-"&amp;TEXT(Настройки!$J4+TIME(0,Январь!AE15,0),"ч::мм"))</f>
        <v/>
      </c>
      <c r="N26" s="3" t="str">
        <f ca="1">IF(TEXT(Настройки!$J4+TIME(0,Январь!AF15,0),"ч::мм")=TEXT(Настройки!$J4,"ч:мм"),"",TEXT(Настройки!$J4,"ч:мм")&amp;"-"&amp;TEXT(Настройки!$J4+TIME(0,Январь!AF15,0),"ч::мм"))</f>
        <v/>
      </c>
      <c r="O26" s="3" t="str">
        <f ca="1">IF(TEXT(Настройки!$J4+TIME(0,Январь!AG15,0),"ч::мм")=TEXT(Настройки!$J4,"ч:мм"),"",TEXT(Настройки!$J4,"ч:мм")&amp;"-"&amp;TEXT(Настройки!$J4+TIME(0,Январь!AG15,0),"ч::мм"))</f>
        <v/>
      </c>
      <c r="P26" s="3" t="str">
        <f ca="1">IF(TEXT(Настройки!$J4+TIME(0,Январь!AH15,0),"ч::мм")=TEXT(Настройки!$J4,"ч:мм"),"",TEXT(Настройки!$J4,"ч:мм")&amp;"-"&amp;TEXT(Настройки!$J4+TIME(0,Январь!AH15,0),"ч::мм"))</f>
        <v/>
      </c>
    </row>
    <row r="27" spans="1:18" x14ac:dyDescent="0.25">
      <c r="Q27" s="10"/>
      <c r="R27" s="10"/>
    </row>
    <row r="28" spans="1:18" x14ac:dyDescent="0.25">
      <c r="A28" s="72"/>
      <c r="B28" s="57" t="s">
        <v>55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2"/>
      <c r="Q28" s="34"/>
      <c r="R28" s="10"/>
    </row>
    <row r="29" spans="1:18" x14ac:dyDescent="0.25">
      <c r="A29" s="79"/>
      <c r="B29" s="83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5"/>
      <c r="Q29" s="34"/>
      <c r="R29" s="10"/>
    </row>
    <row r="30" spans="1:18" x14ac:dyDescent="0.25">
      <c r="A30" s="79"/>
      <c r="B30" s="30">
        <f>Настройки!AK7</f>
        <v>45322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2"/>
      <c r="R30" s="10"/>
    </row>
    <row r="31" spans="1:18" x14ac:dyDescent="0.25">
      <c r="A31" s="79"/>
      <c r="B31" s="57" t="s">
        <v>54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2"/>
      <c r="Q31" s="34"/>
      <c r="R31" s="10"/>
    </row>
    <row r="32" spans="1:18" x14ac:dyDescent="0.25">
      <c r="A32" s="80"/>
      <c r="B32" s="83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5"/>
      <c r="Q32" s="34"/>
      <c r="R32" s="10"/>
    </row>
    <row r="33" spans="1:16" x14ac:dyDescent="0.25">
      <c r="A33" s="3" t="s">
        <v>138</v>
      </c>
      <c r="B33" s="3" t="s">
        <v>113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3" t="str">
        <f t="shared" ref="A34:A36" si="1">A14</f>
        <v>9:00-9:00</v>
      </c>
      <c r="B34" s="3" t="str">
        <f>IF(TEXT(Настройки!$J2+TIME(0,Январь!AI13,0),"ч::мм")=TEXT(Настройки!$J2,"ч:мм"),"",TEXT(Настройки!$J2,"ч:мм")&amp;"-"&amp;TEXT(Настройки!$J2+TIME(0,Январь!AI13,0),"ч::мм"))</f>
        <v/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</row>
    <row r="35" spans="1:16" x14ac:dyDescent="0.25">
      <c r="A35" s="33" t="str">
        <f t="shared" ca="1" si="1"/>
        <v>13:00-13:00</v>
      </c>
      <c r="B35" s="3" t="str">
        <f ca="1">IF(TEXT(Настройки!$J3+TIME(0,Январь!AI14,0),"ч::мм")=TEXT(Настройки!$J3,"ч:мм"),"",TEXT(Настройки!$J3,"ч:мм")&amp;"-"&amp;TEXT(Настройки!$J3+TIME(0,Январь!AI14,0),"ч::мм"))</f>
        <v/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1:16" x14ac:dyDescent="0.25">
      <c r="A36" s="33" t="str">
        <f t="shared" ca="1" si="1"/>
        <v>16:00-16:00</v>
      </c>
      <c r="B36" s="3" t="str">
        <f ca="1">IF(TEXT(Настройки!$J4+TIME(0,Январь!AI15,0),"ч::мм")=TEXT(Настройки!$J4,"ч:мм"),"",TEXT(Настройки!$J4,"ч:мм")&amp;"-"&amp;TEXT(Настройки!$J4+TIME(0,Январь!AI15,0),"ч::мм"))</f>
        <v/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</sheetData>
  <mergeCells count="12">
    <mergeCell ref="A8:A12"/>
    <mergeCell ref="B8:P9"/>
    <mergeCell ref="B11:P12"/>
    <mergeCell ref="A2:P2"/>
    <mergeCell ref="F6:G6"/>
    <mergeCell ref="H6:I6"/>
    <mergeCell ref="A28:A32"/>
    <mergeCell ref="B28:P29"/>
    <mergeCell ref="B31:P32"/>
    <mergeCell ref="A18:A22"/>
    <mergeCell ref="B18:P19"/>
    <mergeCell ref="B21:P22"/>
  </mergeCells>
  <conditionalFormatting sqref="B10:P10">
    <cfRule type="expression" dxfId="1238" priority="3">
      <formula>WEEKDAY(B10:P10,2)&gt;5</formula>
    </cfRule>
  </conditionalFormatting>
  <conditionalFormatting sqref="B20:P20">
    <cfRule type="expression" dxfId="1237" priority="2">
      <formula>WEEKDAY(B20:P20,2)&gt;5</formula>
    </cfRule>
  </conditionalFormatting>
  <conditionalFormatting sqref="B30">
    <cfRule type="expression" dxfId="1236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4" tint="0.39997558519241921"/>
    <pageSetUpPr fitToPage="1"/>
  </sheetPr>
  <dimension ref="A2:AK28"/>
  <sheetViews>
    <sheetView zoomScale="60" zoomScaleNormal="60" workbookViewId="0">
      <selection activeCell="G1" sqref="G1"/>
    </sheetView>
  </sheetViews>
  <sheetFormatPr defaultRowHeight="15.75" x14ac:dyDescent="0.25"/>
  <cols>
    <col min="1" max="1" width="21.42578125" style="3" customWidth="1"/>
    <col min="2" max="2" width="14.140625" style="3" customWidth="1"/>
    <col min="3" max="3" width="17.5703125" style="3" customWidth="1"/>
    <col min="4" max="4" width="9.28515625" style="3" customWidth="1"/>
    <col min="5" max="5" width="11.28515625" style="3" bestFit="1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9.5703125" style="3" bestFit="1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7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7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7" ht="18.75" x14ac:dyDescent="0.25">
      <c r="C5" s="15"/>
      <c r="L5" s="11" t="s">
        <v>69</v>
      </c>
      <c r="M5" s="77" t="s">
        <v>127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7" ht="18.75" x14ac:dyDescent="0.25">
      <c r="C6" s="15"/>
      <c r="L6" s="11"/>
      <c r="M6" s="17"/>
      <c r="N6" s="26"/>
      <c r="O6" s="26"/>
      <c r="P6" s="26"/>
      <c r="Q6" s="26"/>
      <c r="R6" s="17"/>
      <c r="S6" s="26"/>
      <c r="T6" s="13"/>
      <c r="U6" s="13"/>
    </row>
    <row r="7" spans="1:37" ht="26.25" customHeight="1" x14ac:dyDescent="0.25">
      <c r="A7" s="63"/>
      <c r="B7" s="71" t="s">
        <v>107</v>
      </c>
      <c r="C7" s="71" t="s">
        <v>106</v>
      </c>
      <c r="D7" s="72" t="s">
        <v>61</v>
      </c>
      <c r="E7" s="63" t="s">
        <v>55</v>
      </c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4" t="s">
        <v>64</v>
      </c>
      <c r="AI7" s="53" t="s">
        <v>64</v>
      </c>
      <c r="AK7" s="4"/>
    </row>
    <row r="8" spans="1:37" ht="15.75" customHeight="1" x14ac:dyDescent="0.25">
      <c r="A8" s="63"/>
      <c r="B8" s="66"/>
      <c r="C8" s="66"/>
      <c r="D8" s="7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5"/>
      <c r="AI8" s="53"/>
      <c r="AK8" s="4"/>
    </row>
    <row r="9" spans="1:37" x14ac:dyDescent="0.25">
      <c r="A9" s="63"/>
      <c r="B9" s="66"/>
      <c r="C9" s="66"/>
      <c r="D9" s="73"/>
      <c r="E9" s="18">
        <f>Настройки!G8</f>
        <v>45323</v>
      </c>
      <c r="F9" s="18">
        <f>Настройки!H8</f>
        <v>45324</v>
      </c>
      <c r="G9" s="18">
        <f>Настройки!I8</f>
        <v>45325</v>
      </c>
      <c r="H9" s="18">
        <f>Настройки!J8</f>
        <v>45326</v>
      </c>
      <c r="I9" s="18">
        <f>Настройки!K8</f>
        <v>45327</v>
      </c>
      <c r="J9" s="18">
        <f>Настройки!L8</f>
        <v>45328</v>
      </c>
      <c r="K9" s="18">
        <f>Настройки!M8</f>
        <v>45329</v>
      </c>
      <c r="L9" s="18">
        <f>Настройки!N8</f>
        <v>45330</v>
      </c>
      <c r="M9" s="18">
        <f>Настройки!O8</f>
        <v>45331</v>
      </c>
      <c r="N9" s="18">
        <f>Настройки!P8</f>
        <v>45332</v>
      </c>
      <c r="O9" s="18">
        <f>Настройки!Q8</f>
        <v>45333</v>
      </c>
      <c r="P9" s="18">
        <f>Настройки!R8</f>
        <v>45334</v>
      </c>
      <c r="Q9" s="18">
        <f>Настройки!S8</f>
        <v>45335</v>
      </c>
      <c r="R9" s="18">
        <f>Настройки!T8</f>
        <v>45336</v>
      </c>
      <c r="S9" s="18">
        <f>Настройки!U8</f>
        <v>45337</v>
      </c>
      <c r="T9" s="18">
        <f>Настройки!V8</f>
        <v>45338</v>
      </c>
      <c r="U9" s="18">
        <f>Настройки!W8</f>
        <v>45339</v>
      </c>
      <c r="V9" s="18">
        <f>Настройки!X8</f>
        <v>45340</v>
      </c>
      <c r="W9" s="18">
        <f>Настройки!Y8</f>
        <v>45341</v>
      </c>
      <c r="X9" s="18">
        <f>Настройки!Z8</f>
        <v>45342</v>
      </c>
      <c r="Y9" s="18">
        <f>Настройки!AA8</f>
        <v>45343</v>
      </c>
      <c r="Z9" s="18">
        <f>Настройки!AB8</f>
        <v>45344</v>
      </c>
      <c r="AA9" s="18">
        <f>Настройки!AC8</f>
        <v>45345</v>
      </c>
      <c r="AB9" s="18">
        <f>Настройки!AD8</f>
        <v>45346</v>
      </c>
      <c r="AC9" s="18">
        <f>Настройки!AE8</f>
        <v>45347</v>
      </c>
      <c r="AD9" s="18">
        <f>Настройки!AF8</f>
        <v>45348</v>
      </c>
      <c r="AE9" s="18">
        <f>Настройки!AG8</f>
        <v>45349</v>
      </c>
      <c r="AF9" s="18">
        <f>Настройки!AH8</f>
        <v>45350</v>
      </c>
      <c r="AG9" s="18">
        <f>Настройки!AI8</f>
        <v>45351</v>
      </c>
      <c r="AH9" s="95"/>
      <c r="AI9" s="53"/>
      <c r="AK9" s="4"/>
    </row>
    <row r="10" spans="1:37" ht="15.75" customHeight="1" x14ac:dyDescent="0.25">
      <c r="A10" s="63"/>
      <c r="B10" s="66"/>
      <c r="C10" s="66"/>
      <c r="D10" s="73"/>
      <c r="E10" s="63" t="s">
        <v>54</v>
      </c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5"/>
      <c r="AI10" s="53"/>
      <c r="AK10" s="4"/>
    </row>
    <row r="11" spans="1:37" x14ac:dyDescent="0.25">
      <c r="A11" s="71"/>
      <c r="B11" s="66"/>
      <c r="C11" s="66"/>
      <c r="D11" s="7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85"/>
      <c r="AI11" s="53"/>
    </row>
    <row r="12" spans="1:37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14" t="s">
        <v>75</v>
      </c>
      <c r="F12" s="14" t="s">
        <v>76</v>
      </c>
      <c r="G12" s="14" t="s">
        <v>77</v>
      </c>
      <c r="H12" s="14" t="s">
        <v>78</v>
      </c>
      <c r="I12" s="14" t="s">
        <v>79</v>
      </c>
      <c r="J12" s="14" t="s">
        <v>80</v>
      </c>
      <c r="K12" s="14" t="s">
        <v>81</v>
      </c>
      <c r="L12" s="14" t="s">
        <v>82</v>
      </c>
      <c r="M12" s="14" t="s">
        <v>83</v>
      </c>
      <c r="N12" s="14" t="s">
        <v>84</v>
      </c>
      <c r="O12" s="14" t="s">
        <v>85</v>
      </c>
      <c r="P12" s="14" t="s">
        <v>86</v>
      </c>
      <c r="Q12" s="14" t="s">
        <v>87</v>
      </c>
      <c r="R12" s="14" t="s">
        <v>88</v>
      </c>
      <c r="S12" s="14" t="s">
        <v>89</v>
      </c>
      <c r="T12" s="14" t="s">
        <v>90</v>
      </c>
      <c r="U12" s="14" t="s">
        <v>91</v>
      </c>
      <c r="V12" s="14" t="s">
        <v>92</v>
      </c>
      <c r="W12" s="14" t="s">
        <v>93</v>
      </c>
      <c r="X12" s="14" t="s">
        <v>94</v>
      </c>
      <c r="Y12" s="14" t="s">
        <v>95</v>
      </c>
      <c r="Z12" s="14" t="s">
        <v>96</v>
      </c>
      <c r="AA12" s="14" t="s">
        <v>97</v>
      </c>
      <c r="AB12" s="14" t="s">
        <v>98</v>
      </c>
      <c r="AC12" s="14" t="s">
        <v>99</v>
      </c>
      <c r="AD12" s="14" t="s">
        <v>100</v>
      </c>
      <c r="AE12" s="14" t="s">
        <v>101</v>
      </c>
      <c r="AF12" s="14" t="s">
        <v>102</v>
      </c>
      <c r="AG12" s="14" t="s">
        <v>103</v>
      </c>
      <c r="AH12" s="3" t="s">
        <v>62</v>
      </c>
      <c r="AI12" s="3" t="s">
        <v>63</v>
      </c>
    </row>
    <row r="13" spans="1:37" ht="22.5" customHeight="1" x14ac:dyDescent="0.25">
      <c r="A13" s="5" t="s">
        <v>56</v>
      </c>
      <c r="B13" s="3">
        <f ca="1">SUMPRODUCT((Настройки!$G$22:$AI$22=1)*E16:AG16)</f>
        <v>0</v>
      </c>
      <c r="C13" s="14"/>
      <c r="D13" s="5">
        <v>1</v>
      </c>
      <c r="E13" s="3">
        <f>SUMPRODUCT((Февраль[№]=1)*Февраль[1],Февраль[Периодичность])</f>
        <v>0</v>
      </c>
      <c r="F13" s="24">
        <f>SUMPRODUCT((Февраль[№]=1)*Февраль[2],Февраль[Периодичность])</f>
        <v>0</v>
      </c>
      <c r="G13" s="24">
        <f>SUMPRODUCT((Февраль[№]=1)*Февраль[3],Февраль[Периодичность])</f>
        <v>0</v>
      </c>
      <c r="H13" s="24">
        <f>SUMPRODUCT((Февраль[№]=1)*Февраль[4],Февраль[Периодичность])</f>
        <v>0</v>
      </c>
      <c r="I13" s="24">
        <f>SUMPRODUCT((Февраль[№]=1)*Февраль[5],Февраль[Периодичность])</f>
        <v>0</v>
      </c>
      <c r="J13" s="24">
        <f>SUMPRODUCT((Февраль[№]=1)*Февраль[6],Февраль[Периодичность])</f>
        <v>0</v>
      </c>
      <c r="K13" s="24">
        <f>SUMPRODUCT((Февраль[№]=1)*Февраль[7],Февраль[Периодичность])</f>
        <v>0</v>
      </c>
      <c r="L13" s="24">
        <f>SUMPRODUCT((Февраль[№]=1)*Февраль[8],Февраль[Периодичность])</f>
        <v>0</v>
      </c>
      <c r="M13" s="24">
        <f>SUMPRODUCT((Февраль[№]=1)*Февраль[9],Февраль[Периодичность])</f>
        <v>0</v>
      </c>
      <c r="N13" s="24">
        <f>SUMPRODUCT((Февраль[№]=1)*Февраль[10],Февраль[Периодичность])</f>
        <v>0</v>
      </c>
      <c r="O13" s="24">
        <f>SUMPRODUCT((Февраль[№]=1)*Февраль[11],Февраль[Периодичность])</f>
        <v>0</v>
      </c>
      <c r="P13" s="24">
        <f>SUMPRODUCT((Февраль[№]=1)*Февраль[12],Февраль[Периодичность])</f>
        <v>0</v>
      </c>
      <c r="Q13" s="24">
        <f>SUMPRODUCT((Февраль[№]=1)*Февраль[13],Февраль[Периодичность])</f>
        <v>0</v>
      </c>
      <c r="R13" s="24">
        <f>SUMPRODUCT((Февраль[№]=1)*Февраль[14],Февраль[Периодичность])</f>
        <v>0</v>
      </c>
      <c r="S13" s="24">
        <f>SUMPRODUCT((Февраль[№]=1)*Февраль[15],Февраль[Периодичность])</f>
        <v>0</v>
      </c>
      <c r="T13" s="24">
        <f>SUMPRODUCT((Февраль[№]=1)*Февраль[16],Февраль[Периодичность])</f>
        <v>0</v>
      </c>
      <c r="U13" s="24">
        <f>SUMPRODUCT((Февраль[№]=1)*Февраль[17],Февраль[Периодичность])</f>
        <v>0</v>
      </c>
      <c r="V13" s="24">
        <f>SUMPRODUCT((Февраль[№]=1)*Февраль[18],Февраль[Периодичность])</f>
        <v>0</v>
      </c>
      <c r="W13" s="24">
        <f>SUMPRODUCT((Февраль[№]=1)*Февраль[19],Февраль[Периодичность])</f>
        <v>0</v>
      </c>
      <c r="X13" s="24">
        <f>SUMPRODUCT((Февраль[№]=1)*Февраль[20],Февраль[Периодичность])</f>
        <v>0</v>
      </c>
      <c r="Y13" s="24">
        <f>SUMPRODUCT((Февраль[№]=1)*Февраль[21],Февраль[Периодичность])</f>
        <v>0</v>
      </c>
      <c r="Z13" s="24">
        <f>SUMPRODUCT((Февраль[№]=1)*Февраль[22],Февраль[Периодичность])</f>
        <v>0</v>
      </c>
      <c r="AA13" s="24">
        <f>SUMPRODUCT((Февраль[№]=1)*Февраль[23],Февраль[Периодичность])</f>
        <v>0</v>
      </c>
      <c r="AB13" s="24">
        <f>SUMPRODUCT((Февраль[№]=1)*Февраль[24],Февраль[Периодичность])</f>
        <v>0</v>
      </c>
      <c r="AC13" s="24">
        <f>SUMPRODUCT((Февраль[№]=1)*Февраль[25],Февраль[Периодичность])</f>
        <v>0</v>
      </c>
      <c r="AD13" s="24">
        <f>SUMPRODUCT((Февраль[№]=1)*Февраль[26],Февраль[Периодичность])</f>
        <v>0</v>
      </c>
      <c r="AE13" s="24">
        <f>SUMPRODUCT((Февраль[№]=1)*Февраль[27],Февраль[Периодичность])</f>
        <v>0</v>
      </c>
      <c r="AF13" s="24">
        <f>SUMPRODUCT((Февраль[№]=1)*Февраль[28],Февраль[Периодичность])</f>
        <v>0</v>
      </c>
      <c r="AG13" s="24">
        <f>SUMPRODUCT((Февраль[№]=1)*Февраль[29],Февраль[Периодичность])</f>
        <v>0</v>
      </c>
    </row>
    <row r="14" spans="1:37" ht="20.25" customHeight="1" x14ac:dyDescent="0.25">
      <c r="B14" s="3">
        <f ca="1">SUMPRODUCT((Настройки!$G$22:$AI$22=2)*E16:AG16)</f>
        <v>0</v>
      </c>
      <c r="D14" s="5">
        <v>2</v>
      </c>
      <c r="E14" s="3">
        <f ca="1">SUMPRODUCT((Февраль[№]=2)*Февраль[1],OFFSET(Февраль[Периодичность],-1,0))</f>
        <v>0</v>
      </c>
      <c r="F14" s="24">
        <f ca="1">SUMPRODUCT((Февраль[№]=2)*Февраль[2],OFFSET(Февраль[Периодичность],-1,0))</f>
        <v>0</v>
      </c>
      <c r="G14" s="24">
        <f ca="1">SUMPRODUCT((Февраль[№]=2)*Февраль[3],OFFSET(Февраль[Периодичность],-1,0))</f>
        <v>0</v>
      </c>
      <c r="H14" s="24">
        <f ca="1">SUMPRODUCT((Февраль[№]=2)*Февраль[4],OFFSET(Февраль[Периодичность],-1,0))</f>
        <v>0</v>
      </c>
      <c r="I14" s="24">
        <f ca="1">SUMPRODUCT((Февраль[№]=2)*Февраль[5],OFFSET(Февраль[Периодичность],-1,0))</f>
        <v>0</v>
      </c>
      <c r="J14" s="24">
        <f ca="1">SUMPRODUCT((Февраль[№]=2)*Февраль[6],OFFSET(Февраль[Периодичность],-1,0))</f>
        <v>0</v>
      </c>
      <c r="K14" s="24">
        <f ca="1">SUMPRODUCT((Февраль[№]=2)*Февраль[7],OFFSET(Февраль[Периодичность],-1,0))</f>
        <v>0</v>
      </c>
      <c r="L14" s="24">
        <f ca="1">SUMPRODUCT((Февраль[№]=2)*Февраль[8],OFFSET(Февраль[Периодичность],-1,0))</f>
        <v>0</v>
      </c>
      <c r="M14" s="24">
        <f ca="1">SUMPRODUCT((Февраль[№]=2)*Февраль[9],OFFSET(Февраль[Периодичность],-1,0))</f>
        <v>0</v>
      </c>
      <c r="N14" s="24">
        <f ca="1">SUMPRODUCT((Февраль[№]=2)*Февраль[10],OFFSET(Февраль[Периодичность],-1,0))</f>
        <v>0</v>
      </c>
      <c r="O14" s="24">
        <f ca="1">SUMPRODUCT((Февраль[№]=2)*Февраль[11],OFFSET(Февраль[Периодичность],-1,0))</f>
        <v>0</v>
      </c>
      <c r="P14" s="24">
        <f ca="1">SUMPRODUCT((Февраль[№]=2)*Февраль[12],OFFSET(Февраль[Периодичность],-1,0))</f>
        <v>0</v>
      </c>
      <c r="Q14" s="24">
        <f ca="1">SUMPRODUCT((Февраль[№]=2)*Февраль[13],OFFSET(Февраль[Периодичность],-1,0))</f>
        <v>0</v>
      </c>
      <c r="R14" s="24">
        <f ca="1">SUMPRODUCT((Февраль[№]=2)*Февраль[14],OFFSET(Февраль[Периодичность],-1,0))</f>
        <v>0</v>
      </c>
      <c r="S14" s="24">
        <f ca="1">SUMPRODUCT((Февраль[№]=2)*Февраль[15],OFFSET(Февраль[Периодичность],-1,0))</f>
        <v>0</v>
      </c>
      <c r="T14" s="24">
        <f ca="1">SUMPRODUCT((Февраль[№]=2)*Февраль[16],OFFSET(Февраль[Периодичность],-1,0))</f>
        <v>0</v>
      </c>
      <c r="U14" s="24">
        <f ca="1">SUMPRODUCT((Февраль[№]=2)*Февраль[17],OFFSET(Февраль[Периодичность],-1,0))</f>
        <v>0</v>
      </c>
      <c r="V14" s="24">
        <f ca="1">SUMPRODUCT((Февраль[№]=2)*Февраль[18],OFFSET(Февраль[Периодичность],-1,0))</f>
        <v>0</v>
      </c>
      <c r="W14" s="24">
        <f ca="1">SUMPRODUCT((Февраль[№]=2)*Февраль[19],OFFSET(Февраль[Периодичность],-1,0))</f>
        <v>0</v>
      </c>
      <c r="X14" s="24">
        <f ca="1">SUMPRODUCT((Февраль[№]=2)*Февраль[20],OFFSET(Февраль[Периодичность],-1,0))</f>
        <v>0</v>
      </c>
      <c r="Y14" s="24">
        <f ca="1">SUMPRODUCT((Февраль[№]=2)*Февраль[21],OFFSET(Февраль[Периодичность],-1,0))</f>
        <v>0</v>
      </c>
      <c r="Z14" s="24">
        <f ca="1">SUMPRODUCT((Февраль[№]=2)*Февраль[22],OFFSET(Февраль[Периодичность],-1,0))</f>
        <v>0</v>
      </c>
      <c r="AA14" s="24">
        <f ca="1">SUMPRODUCT((Февраль[№]=2)*Февраль[23],OFFSET(Февраль[Периодичность],-1,0))</f>
        <v>0</v>
      </c>
      <c r="AB14" s="24">
        <f ca="1">SUMPRODUCT((Февраль[№]=2)*Февраль[24],OFFSET(Февраль[Периодичность],-1,0))</f>
        <v>0</v>
      </c>
      <c r="AC14" s="24">
        <f ca="1">SUMPRODUCT((Февраль[№]=2)*Февраль[25],OFFSET(Февраль[Периодичность],-1,0))</f>
        <v>0</v>
      </c>
      <c r="AD14" s="24">
        <f ca="1">SUMPRODUCT((Февраль[№]=2)*Февраль[26],OFFSET(Февраль[Периодичность],-1,0))</f>
        <v>0</v>
      </c>
      <c r="AE14" s="24">
        <f ca="1">SUMPRODUCT((Февраль[№]=2)*Февраль[27],OFFSET(Февраль[Периодичность],-1,0))</f>
        <v>0</v>
      </c>
      <c r="AF14" s="24">
        <f ca="1">SUMPRODUCT((Февраль[№]=2)*Февраль[28],OFFSET(Февраль[Периодичность],-1,0))</f>
        <v>0</v>
      </c>
      <c r="AG14" s="24">
        <f ca="1">SUMPRODUCT((Февраль[№]=2)*Февраль[29],OFFSET(Февраль[Периодичность],-1,0))</f>
        <v>0</v>
      </c>
    </row>
    <row r="15" spans="1:37" ht="22.5" customHeight="1" x14ac:dyDescent="0.25">
      <c r="B15" s="3">
        <f ca="1">SUMPRODUCT((Настройки!$G$22:$AI$22=3)*E16:AG16)</f>
        <v>0</v>
      </c>
      <c r="D15" s="5">
        <v>3</v>
      </c>
      <c r="E15" s="3">
        <f ca="1">SUMPRODUCT((Февраль[№]=3)*Февраль[1],OFFSET(Февраль[Периодичность],-2,0))</f>
        <v>0</v>
      </c>
      <c r="F15" s="24">
        <f ca="1">SUMPRODUCT((Февраль[№]=3)*Февраль[2],OFFSET(Февраль[Периодичность],-2,0))</f>
        <v>0</v>
      </c>
      <c r="G15" s="24">
        <f ca="1">SUMPRODUCT((Февраль[№]=3)*Февраль[3],OFFSET(Февраль[Периодичность],-2,0))</f>
        <v>0</v>
      </c>
      <c r="H15" s="24">
        <f ca="1">SUMPRODUCT((Февраль[№]=3)*Февраль[4],OFFSET(Февраль[Периодичность],-2,0))</f>
        <v>0</v>
      </c>
      <c r="I15" s="24">
        <f ca="1">SUMPRODUCT((Февраль[№]=3)*Февраль[5],OFFSET(Февраль[Периодичность],-2,0))</f>
        <v>0</v>
      </c>
      <c r="J15" s="24">
        <f ca="1">SUMPRODUCT((Февраль[№]=3)*Февраль[6],OFFSET(Февраль[Периодичность],-2,0))</f>
        <v>0</v>
      </c>
      <c r="K15" s="24">
        <f ca="1">SUMPRODUCT((Февраль[№]=3)*Февраль[7],OFFSET(Февраль[Периодичность],-2,0))</f>
        <v>0</v>
      </c>
      <c r="L15" s="24">
        <f ca="1">SUMPRODUCT((Февраль[№]=3)*Февраль[8],OFFSET(Февраль[Периодичность],-2,0))</f>
        <v>0</v>
      </c>
      <c r="M15" s="24">
        <f ca="1">SUMPRODUCT((Февраль[№]=3)*Февраль[9],OFFSET(Февраль[Периодичность],-2,0))</f>
        <v>0</v>
      </c>
      <c r="N15" s="24">
        <f ca="1">SUMPRODUCT((Февраль[№]=3)*Февраль[10],OFFSET(Февраль[Периодичность],-2,0))</f>
        <v>0</v>
      </c>
      <c r="O15" s="24">
        <f ca="1">SUMPRODUCT((Февраль[№]=3)*Февраль[11],OFFSET(Февраль[Периодичность],-2,0))</f>
        <v>0</v>
      </c>
      <c r="P15" s="24">
        <f ca="1">SUMPRODUCT((Февраль[№]=3)*Февраль[12],OFFSET(Февраль[Периодичность],-2,0))</f>
        <v>0</v>
      </c>
      <c r="Q15" s="24">
        <f ca="1">SUMPRODUCT((Февраль[№]=3)*Февраль[13],OFFSET(Февраль[Периодичность],-2,0))</f>
        <v>0</v>
      </c>
      <c r="R15" s="24">
        <f ca="1">SUMPRODUCT((Февраль[№]=3)*Февраль[14],OFFSET(Февраль[Периодичность],-2,0))</f>
        <v>0</v>
      </c>
      <c r="S15" s="24">
        <f ca="1">SUMPRODUCT((Февраль[№]=3)*Февраль[15],OFFSET(Февраль[Периодичность],-2,0))</f>
        <v>0</v>
      </c>
      <c r="T15" s="24">
        <f ca="1">SUMPRODUCT((Февраль[№]=3)*Февраль[16],OFFSET(Февраль[Периодичность],-2,0))</f>
        <v>0</v>
      </c>
      <c r="U15" s="24">
        <f ca="1">SUMPRODUCT((Февраль[№]=3)*Февраль[17],OFFSET(Февраль[Периодичность],-2,0))</f>
        <v>0</v>
      </c>
      <c r="V15" s="24">
        <f ca="1">SUMPRODUCT((Февраль[№]=3)*Февраль[18],OFFSET(Февраль[Периодичность],-2,0))</f>
        <v>0</v>
      </c>
      <c r="W15" s="24">
        <f ca="1">SUMPRODUCT((Февраль[№]=3)*Февраль[19],OFFSET(Февраль[Периодичность],-2,0))</f>
        <v>0</v>
      </c>
      <c r="X15" s="24">
        <f ca="1">SUMPRODUCT((Февраль[№]=3)*Февраль[20],OFFSET(Февраль[Периодичность],-2,0))</f>
        <v>0</v>
      </c>
      <c r="Y15" s="24">
        <f ca="1">SUMPRODUCT((Февраль[№]=3)*Февраль[21],OFFSET(Февраль[Периодичность],-2,0))</f>
        <v>0</v>
      </c>
      <c r="Z15" s="24">
        <f ca="1">SUMPRODUCT((Февраль[№]=3)*Февраль[22],OFFSET(Февраль[Периодичность],-2,0))</f>
        <v>0</v>
      </c>
      <c r="AA15" s="24">
        <f ca="1">SUMPRODUCT((Февраль[№]=3)*Февраль[23],OFFSET(Февраль[Периодичность],-2,0))</f>
        <v>0</v>
      </c>
      <c r="AB15" s="24">
        <f ca="1">SUMPRODUCT((Февраль[№]=3)*Февраль[24],OFFSET(Февраль[Периодичность],-2,0))</f>
        <v>0</v>
      </c>
      <c r="AC15" s="24">
        <f ca="1">SUMPRODUCT((Февраль[№]=3)*Февраль[25],OFFSET(Февраль[Периодичность],-2,0))</f>
        <v>0</v>
      </c>
      <c r="AD15" s="24">
        <f ca="1">SUMPRODUCT((Февраль[№]=3)*Февраль[26],OFFSET(Февраль[Периодичность],-2,0))</f>
        <v>0</v>
      </c>
      <c r="AE15" s="24">
        <f ca="1">SUMPRODUCT((Февраль[№]=3)*Февраль[27],OFFSET(Февраль[Периодичность],-2,0))</f>
        <v>0</v>
      </c>
      <c r="AF15" s="24">
        <f ca="1">SUMPRODUCT((Февраль[№]=3)*Февраль[28],OFFSET(Февраль[Периодичность],-2,0))</f>
        <v>0</v>
      </c>
      <c r="AG15" s="24">
        <f ca="1">SUMPRODUCT((Февраль[№]=3)*Февраль[29],OFFSET(Февраль[Периодичность],-2,0))</f>
        <v>0</v>
      </c>
      <c r="AI15" s="10"/>
    </row>
    <row r="16" spans="1:37" ht="18" customHeight="1" x14ac:dyDescent="0.25">
      <c r="B16" s="3">
        <f ca="1">SUMPRODUCT((Настройки!$G$22:$AI$22=4)*E16:AG16)</f>
        <v>0</v>
      </c>
      <c r="D16" s="5"/>
      <c r="E16" s="3">
        <f t="shared" ref="E16:AG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I16" s="10"/>
    </row>
    <row r="17" spans="1:35" ht="21.75" customHeight="1" x14ac:dyDescent="0.25">
      <c r="B17" s="3">
        <f ca="1">SUMPRODUCT((Настройки!$G$22:$AI$22=5)*E16:AG16)</f>
        <v>0</v>
      </c>
      <c r="C17" s="5">
        <f ca="1">ФевральИтоги[[#This Row],[№]]*60</f>
        <v>0</v>
      </c>
      <c r="D17" s="7">
        <f ca="1">SUM(ФевральИтоги[[#This Row],[1]:[29]])</f>
        <v>0</v>
      </c>
      <c r="E17" s="6">
        <f ca="1">E16/60</f>
        <v>0</v>
      </c>
      <c r="F17" s="25">
        <f t="shared" ref="F17:AG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5">
        <f ca="1">SUM(Февраль[УСЛУГ])</f>
        <v>0</v>
      </c>
      <c r="AI17" s="16">
        <f ca="1">SUM(Февраль[МИНУТ])</f>
        <v>0</v>
      </c>
    </row>
    <row r="18" spans="1:35" ht="21.75" customHeight="1" x14ac:dyDescent="0.25">
      <c r="B18" s="14">
        <f ca="1">SUMPRODUCT((Настройки!$G$22:$AI$22=6)*E16:AG16)</f>
        <v>0</v>
      </c>
      <c r="C18" s="14"/>
      <c r="D18" s="7"/>
      <c r="E18" s="14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14"/>
      <c r="AI18" s="46"/>
    </row>
    <row r="20" spans="1:35" x14ac:dyDescent="0.25">
      <c r="A20" s="63" t="s">
        <v>52</v>
      </c>
      <c r="B20" s="63" t="s">
        <v>53</v>
      </c>
      <c r="C20" s="64"/>
      <c r="D20" s="65" t="s">
        <v>61</v>
      </c>
      <c r="E20" s="63" t="s">
        <v>55</v>
      </c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53" t="s">
        <v>64</v>
      </c>
      <c r="AI20" s="53" t="s">
        <v>64</v>
      </c>
    </row>
    <row r="21" spans="1:35" ht="15.75" customHeight="1" x14ac:dyDescent="0.25">
      <c r="A21" s="63"/>
      <c r="B21" s="63"/>
      <c r="C21" s="64"/>
      <c r="D21" s="66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53"/>
    </row>
    <row r="22" spans="1:35" x14ac:dyDescent="0.25">
      <c r="A22" s="63"/>
      <c r="B22" s="63"/>
      <c r="C22" s="64"/>
      <c r="D22" s="66"/>
      <c r="E22" s="18">
        <f>Настройки!G8</f>
        <v>45323</v>
      </c>
      <c r="F22" s="18">
        <f>Настройки!H8</f>
        <v>45324</v>
      </c>
      <c r="G22" s="18">
        <f>Настройки!I8</f>
        <v>45325</v>
      </c>
      <c r="H22" s="18">
        <f>Настройки!J8</f>
        <v>45326</v>
      </c>
      <c r="I22" s="18">
        <f>Настройки!K8</f>
        <v>45327</v>
      </c>
      <c r="J22" s="18">
        <f>Настройки!L8</f>
        <v>45328</v>
      </c>
      <c r="K22" s="18">
        <f>Настройки!M8</f>
        <v>45329</v>
      </c>
      <c r="L22" s="18">
        <f>Настройки!N8</f>
        <v>45330</v>
      </c>
      <c r="M22" s="18">
        <f>Настройки!O8</f>
        <v>45331</v>
      </c>
      <c r="N22" s="18">
        <f>Настройки!P8</f>
        <v>45332</v>
      </c>
      <c r="O22" s="18">
        <f>Настройки!Q8</f>
        <v>45333</v>
      </c>
      <c r="P22" s="18">
        <f>Настройки!R8</f>
        <v>45334</v>
      </c>
      <c r="Q22" s="18">
        <f>Настройки!S8</f>
        <v>45335</v>
      </c>
      <c r="R22" s="18">
        <f>Настройки!T8</f>
        <v>45336</v>
      </c>
      <c r="S22" s="18">
        <f>Настройки!U8</f>
        <v>45337</v>
      </c>
      <c r="T22" s="18">
        <f>Настройки!V8</f>
        <v>45338</v>
      </c>
      <c r="U22" s="18">
        <f>Настройки!W8</f>
        <v>45339</v>
      </c>
      <c r="V22" s="18">
        <f>Настройки!X8</f>
        <v>45340</v>
      </c>
      <c r="W22" s="18">
        <f>Настройки!Y8</f>
        <v>45341</v>
      </c>
      <c r="X22" s="18">
        <f>Настройки!Z8</f>
        <v>45342</v>
      </c>
      <c r="Y22" s="18">
        <f>Настройки!AA8</f>
        <v>45343</v>
      </c>
      <c r="Z22" s="18">
        <f>Настройки!AB8</f>
        <v>45344</v>
      </c>
      <c r="AA22" s="18">
        <f>Настройки!AC8</f>
        <v>45345</v>
      </c>
      <c r="AB22" s="18">
        <f>Настройки!AD8</f>
        <v>45346</v>
      </c>
      <c r="AC22" s="18">
        <f>Настройки!AE8</f>
        <v>45347</v>
      </c>
      <c r="AD22" s="18">
        <f>Настройки!AF8</f>
        <v>45348</v>
      </c>
      <c r="AE22" s="18">
        <f>Настройки!AG8</f>
        <v>45349</v>
      </c>
      <c r="AF22" s="18">
        <f>Настройки!AH8</f>
        <v>45350</v>
      </c>
      <c r="AG22" s="18">
        <f>Настройки!AI8</f>
        <v>45351</v>
      </c>
      <c r="AH22" s="93"/>
      <c r="AI22" s="53"/>
    </row>
    <row r="23" spans="1:35" x14ac:dyDescent="0.25">
      <c r="A23" s="63"/>
      <c r="B23" s="63"/>
      <c r="C23" s="64"/>
      <c r="D23" s="66"/>
      <c r="E23" s="63" t="s">
        <v>54</v>
      </c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53"/>
    </row>
    <row r="24" spans="1:35" x14ac:dyDescent="0.25">
      <c r="A24" s="63"/>
      <c r="B24" s="63"/>
      <c r="C24" s="64"/>
      <c r="D24" s="66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53"/>
    </row>
    <row r="25" spans="1:35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62</v>
      </c>
      <c r="AI25" s="3" t="s">
        <v>63</v>
      </c>
    </row>
    <row r="26" spans="1:35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 s="5">
        <f ca="1">IF(Февраль[[#This Row],[№]]=1,SUM(Февраль[[#This Row],[1]:[29]])+SUM(OFFSET(Февраль[[#This Row],[1]:[29]],1,0))+SUM(OFFSET(Февраль[[#This Row],[1]:[29]],2,0)),"")</f>
        <v>0</v>
      </c>
      <c r="AI26" s="5">
        <f ca="1">IF(Февраль[[#This Row],[УСЛУГ]]&lt;&gt;"",Февраль[[#This Row],[УСЛУГ]]*Февраль[[#This Row],[Периодичность]],"")</f>
        <v>0</v>
      </c>
    </row>
    <row r="27" spans="1:35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 s="5" t="str">
        <f ca="1">IF(Февраль[[#This Row],[№]]=1,SUM(Февраль[[#This Row],[1]:[29]])+SUM(OFFSET(Февраль[[#This Row],[1]:[29]],1,0))+SUM(OFFSET(Февраль[[#This Row],[1]:[29]],2,0)),"")</f>
        <v/>
      </c>
      <c r="AI27" s="5" t="str">
        <f ca="1">IF(Февраль[[#This Row],[УСЛУГ]]&lt;&gt;"",Февраль[[#This Row],[УСЛУГ]]*Февраль[[#This Row],[Периодичность]],"")</f>
        <v/>
      </c>
    </row>
    <row r="28" spans="1:35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 s="5" t="str">
        <f ca="1">IF(Февраль[[#This Row],[№]]=1,SUM(Февраль[[#This Row],[1]:[29]])+SUM(OFFSET(Февраль[[#This Row],[1]:[29]],1,0))+SUM(OFFSET(Февраль[[#This Row],[1]:[29]],2,0)),"")</f>
        <v/>
      </c>
      <c r="AI28" s="5" t="str">
        <f ca="1">IF(Февраль[[#This Row],[УСЛУГ]]&lt;&gt;"",Февраль[[#This Row],[УСЛУГ]]*Февраль[[#This Row],[Периодичность]],"")</f>
        <v/>
      </c>
    </row>
  </sheetData>
  <mergeCells count="20">
    <mergeCell ref="AI7:AI11"/>
    <mergeCell ref="A20:A24"/>
    <mergeCell ref="B20:C24"/>
    <mergeCell ref="D20:D24"/>
    <mergeCell ref="AI20:AI24"/>
    <mergeCell ref="A7:A11"/>
    <mergeCell ref="B7:B11"/>
    <mergeCell ref="C7:C11"/>
    <mergeCell ref="D7:D11"/>
    <mergeCell ref="E10:AG11"/>
    <mergeCell ref="E7:AG8"/>
    <mergeCell ref="AH7:AH11"/>
    <mergeCell ref="E23:AG24"/>
    <mergeCell ref="E20:AG21"/>
    <mergeCell ref="AH20:AH24"/>
    <mergeCell ref="A2:AJ2"/>
    <mergeCell ref="A3:AJ3"/>
    <mergeCell ref="J4:L4"/>
    <mergeCell ref="M4:U4"/>
    <mergeCell ref="M5:Q5"/>
  </mergeCells>
  <conditionalFormatting sqref="E9:AG9">
    <cfRule type="expression" dxfId="1194" priority="2">
      <formula>WEEKDAY(E9:AG9,2)&gt;5</formula>
    </cfRule>
  </conditionalFormatting>
  <conditionalFormatting sqref="E22:AG22">
    <cfRule type="expression" dxfId="1193" priority="1">
      <formula>WEEKDAY(E22:AG22,2)&gt;5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1" fitToHeight="0" orientation="landscape" horizontalDpi="300" verticalDpi="300" r:id="rId1"/>
  <ignoredErrors>
    <ignoredError sqref="E13 AH17:AI17 B13:B18 E16:E17 E14:E15" calculatedColumn="1"/>
  </ignoredErrors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  <pageSetUpPr fitToPage="1"/>
  </sheetPr>
  <dimension ref="A2:AF27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127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Настройки!G8</f>
        <v>45323</v>
      </c>
      <c r="C10" s="30">
        <f>Настройки!H8</f>
        <v>45324</v>
      </c>
      <c r="D10" s="30">
        <f>Настройки!I8</f>
        <v>45325</v>
      </c>
      <c r="E10" s="30">
        <f>Настройки!J8</f>
        <v>45326</v>
      </c>
      <c r="F10" s="30">
        <f>Настройки!K8</f>
        <v>45327</v>
      </c>
      <c r="G10" s="30">
        <f>Настройки!L8</f>
        <v>45328</v>
      </c>
      <c r="H10" s="30">
        <f>Настройки!M8</f>
        <v>45329</v>
      </c>
      <c r="I10" s="30">
        <f>Настройки!N8</f>
        <v>45330</v>
      </c>
      <c r="J10" s="30">
        <f>Настройки!O8</f>
        <v>45331</v>
      </c>
      <c r="K10" s="30">
        <f>Настройки!P8</f>
        <v>45332</v>
      </c>
      <c r="L10" s="30">
        <f>Настройки!Q8</f>
        <v>45333</v>
      </c>
      <c r="M10" s="30">
        <f>Настройки!R8</f>
        <v>45334</v>
      </c>
      <c r="N10" s="30">
        <f>Настройки!S8</f>
        <v>45335</v>
      </c>
      <c r="O10" s="30">
        <f>Настройки!T8</f>
        <v>45336</v>
      </c>
      <c r="P10" s="30">
        <f>Настройки!U8</f>
        <v>45337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IF(Настройки!J2&lt;&gt;"",TEXT(Настройки!J2,"ч:мм")&amp;"-"&amp;TEXT(Настройки!J2+TIME(0,MAX(Февраль!E13:AG13),0),"ч:мм"),"")</f>
        <v>9:00-9:00</v>
      </c>
      <c r="B14" s="31" t="str">
        <f>IF(TEXT(Настройки!$J2+TIME(0,Февраль!E13,0),"ч::мм")=TEXT(Настройки!$J2,"ч:мм"),"",TEXT(Настройки!$J2,"ч:мм")&amp;"-"&amp;TEXT(Настройки!$J2+TIME(0,Февраль!E13,0),"ч::мм"))</f>
        <v/>
      </c>
      <c r="C14" s="31" t="str">
        <f>IF(TEXT(Настройки!$J2+TIME(0,Февраль!F13,0),"ч::мм")=TEXT(Настройки!$J2,"ч:мм"),"",TEXT(Настройки!$J2,"ч:мм")&amp;"-"&amp;TEXT(Настройки!$J2+TIME(0,Февраль!F13,0),"ч::мм"))</f>
        <v/>
      </c>
      <c r="D14" s="31" t="str">
        <f>IF(TEXT(Настройки!$J2+TIME(0,Февраль!G13,0),"ч::мм")=TEXT(Настройки!$J2,"ч:мм"),"",TEXT(Настройки!$J2,"ч:мм")&amp;"-"&amp;TEXT(Настройки!$J2+TIME(0,Февраль!G13,0),"ч::мм"))</f>
        <v/>
      </c>
      <c r="E14" s="31" t="str">
        <f>IF(TEXT(Настройки!$J2+TIME(0,Февраль!H13,0),"ч::мм")=TEXT(Настройки!$J2,"ч:мм"),"",TEXT(Настройки!$J2,"ч:мм")&amp;"-"&amp;TEXT(Настройки!$J2+TIME(0,Февраль!H13,0),"ч::мм"))</f>
        <v/>
      </c>
      <c r="F14" s="31" t="str">
        <f>IF(TEXT(Настройки!$J2+TIME(0,Февраль!I13,0),"ч::мм")=TEXT(Настройки!$J2,"ч:мм"),"",TEXT(Настройки!$J2,"ч:мм")&amp;"-"&amp;TEXT(Настройки!$J2+TIME(0,Февраль!I13,0),"ч::мм"))</f>
        <v/>
      </c>
      <c r="G14" s="31" t="str">
        <f>IF(TEXT(Настройки!$J2+TIME(0,Февраль!J13,0),"ч::мм")=TEXT(Настройки!$J2,"ч:мм"),"",TEXT(Настройки!$J2,"ч:мм")&amp;"-"&amp;TEXT(Настройки!$J2+TIME(0,Февраль!J13,0),"ч::мм"))</f>
        <v/>
      </c>
      <c r="H14" s="31" t="str">
        <f>IF(TEXT(Настройки!$J2+TIME(0,Февраль!K13,0),"ч::мм")=TEXT(Настройки!$J2,"ч:мм"),"",TEXT(Настройки!$J2,"ч:мм")&amp;"-"&amp;TEXT(Настройки!$J2+TIME(0,Февраль!K13,0),"ч::мм"))</f>
        <v/>
      </c>
      <c r="I14" s="31" t="str">
        <f>IF(TEXT(Настройки!$J2+TIME(0,Февраль!L13,0),"ч::мм")=TEXT(Настройки!$J2,"ч:мм"),"",TEXT(Настройки!$J2,"ч:мм")&amp;"-"&amp;TEXT(Настройки!$J2+TIME(0,Февраль!L13,0),"ч::мм"))</f>
        <v/>
      </c>
      <c r="J14" s="31" t="str">
        <f>IF(TEXT(Настройки!$J2+TIME(0,Февраль!M13,0),"ч::мм")=TEXT(Настройки!$J2,"ч:мм"),"",TEXT(Настройки!$J2,"ч:мм")&amp;"-"&amp;TEXT(Настройки!$J2+TIME(0,Февраль!M13,0),"ч::мм"))</f>
        <v/>
      </c>
      <c r="K14" s="31" t="str">
        <f>IF(TEXT(Настройки!$J2+TIME(0,Февраль!N13,0),"ч::мм")=TEXT(Настройки!$J2,"ч:мм"),"",TEXT(Настройки!$J2,"ч:мм")&amp;"-"&amp;TEXT(Настройки!$J2+TIME(0,Февраль!N13,0),"ч::мм"))</f>
        <v/>
      </c>
      <c r="L14" s="31" t="str">
        <f>IF(TEXT(Настройки!$J2+TIME(0,Февраль!O13,0),"ч::мм")=TEXT(Настройки!$J2,"ч:мм"),"",TEXT(Настройки!$J2,"ч:мм")&amp;"-"&amp;TEXT(Настройки!$J2+TIME(0,Февраль!O13,0),"ч::мм"))</f>
        <v/>
      </c>
      <c r="M14" s="31" t="str">
        <f>IF(TEXT(Настройки!$J2+TIME(0,Февраль!P13,0),"ч::мм")=TEXT(Настройки!$J2,"ч:мм"),"",TEXT(Настройки!$J2,"ч:мм")&amp;"-"&amp;TEXT(Настройки!$J2+TIME(0,Февраль!P13,0),"ч::мм"))</f>
        <v/>
      </c>
      <c r="N14" s="31" t="str">
        <f>IF(TEXT(Настройки!$J2+TIME(0,Февраль!Q13,0),"ч::мм")=TEXT(Настройки!$J2,"ч:мм"),"",TEXT(Настройки!$J2,"ч:мм")&amp;"-"&amp;TEXT(Настройки!$J2+TIME(0,Февраль!Q13,0),"ч::мм"))</f>
        <v/>
      </c>
      <c r="O14" s="31" t="str">
        <f>IF(TEXT(Настройки!$J2+TIME(0,Февраль!R13,0),"ч::мм")=TEXT(Настройки!$J2,"ч:мм"),"",TEXT(Настройки!$J2,"ч:мм")&amp;"-"&amp;TEXT(Настройки!$J2+TIME(0,Февраль!R13,0),"ч::мм"))</f>
        <v/>
      </c>
      <c r="P14" s="31" t="str">
        <f>IF(TEXT(Настройки!$J2+TIME(0,Февраль!S13,0),"ч::мм")=TEXT(Настройки!$J2,"ч:мм"),"",TEXT(Настройки!$J2,"ч:мм")&amp;"-"&amp;TEXT(Настройки!$J2+TIME(0,Февраль!S13,0),"ч::мм"))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IF(Настройки!J3&lt;&gt;"",TEXT(Настройки!J3,"ч:мм")&amp;"-"&amp;TEXT(Настройки!J3+TIME(0,MAX(Февраль!E14:AG14),0),"ч:мм"),"")</f>
        <v>13:00-13:00</v>
      </c>
      <c r="B15" s="31" t="str">
        <f ca="1">IF(TEXT(Настройки!$J3+TIME(0,Февраль!E14,0),"ч::мм")=TEXT(Настройки!$J3,"ч:мм"),"",TEXT(Настройки!$J3,"ч:мм")&amp;"-"&amp;TEXT(Настройки!$J3+TIME(0,Февраль!E14,0),"ч::мм"))</f>
        <v/>
      </c>
      <c r="C15" s="31" t="str">
        <f ca="1">IF(TEXT(Настройки!$J3+TIME(0,Февраль!F14,0),"ч::мм")=TEXT(Настройки!$J3,"ч:мм"),"",TEXT(Настройки!$J3,"ч:мм")&amp;"-"&amp;TEXT(Настройки!$J3+TIME(0,Февраль!F14,0),"ч::мм"))</f>
        <v/>
      </c>
      <c r="D15" s="31" t="str">
        <f ca="1">IF(TEXT(Настройки!$J3+TIME(0,Февраль!G14,0),"ч::мм")=TEXT(Настройки!$J3,"ч:мм"),"",TEXT(Настройки!$J3,"ч:мм")&amp;"-"&amp;TEXT(Настройки!$J3+TIME(0,Февраль!G14,0),"ч::мм"))</f>
        <v/>
      </c>
      <c r="E15" s="31" t="str">
        <f ca="1">IF(TEXT(Настройки!$J3+TIME(0,Февраль!H14,0),"ч::мм")=TEXT(Настройки!$J3,"ч:мм"),"",TEXT(Настройки!$J3,"ч:мм")&amp;"-"&amp;TEXT(Настройки!$J3+TIME(0,Февраль!H14,0),"ч::мм"))</f>
        <v/>
      </c>
      <c r="F15" s="31" t="str">
        <f ca="1">IF(TEXT(Настройки!$J3+TIME(0,Февраль!I14,0),"ч::мм")=TEXT(Настройки!$J3,"ч:мм"),"",TEXT(Настройки!$J3,"ч:мм")&amp;"-"&amp;TEXT(Настройки!$J3+TIME(0,Февраль!I14,0),"ч::мм"))</f>
        <v/>
      </c>
      <c r="G15" s="31" t="str">
        <f ca="1">IF(TEXT(Настройки!$J3+TIME(0,Февраль!J14,0),"ч::мм")=TEXT(Настройки!$J3,"ч:мм"),"",TEXT(Настройки!$J3,"ч:мм")&amp;"-"&amp;TEXT(Настройки!$J3+TIME(0,Февраль!J14,0),"ч::мм"))</f>
        <v/>
      </c>
      <c r="H15" s="31" t="str">
        <f ca="1">IF(TEXT(Настройки!$J3+TIME(0,Февраль!K14,0),"ч::мм")=TEXT(Настройки!$J3,"ч:мм"),"",TEXT(Настройки!$J3,"ч:мм")&amp;"-"&amp;TEXT(Настройки!$J3+TIME(0,Февраль!K14,0),"ч::мм"))</f>
        <v/>
      </c>
      <c r="I15" s="31" t="str">
        <f ca="1">IF(TEXT(Настройки!$J3+TIME(0,Февраль!L14,0),"ч::мм")=TEXT(Настройки!$J3,"ч:мм"),"",TEXT(Настройки!$J3,"ч:мм")&amp;"-"&amp;TEXT(Настройки!$J3+TIME(0,Февраль!L14,0),"ч::мм"))</f>
        <v/>
      </c>
      <c r="J15" s="31" t="str">
        <f ca="1">IF(TEXT(Настройки!$J3+TIME(0,Февраль!M14,0),"ч::мм")=TEXT(Настройки!$J3,"ч:мм"),"",TEXT(Настройки!$J3,"ч:мм")&amp;"-"&amp;TEXT(Настройки!$J3+TIME(0,Февраль!M14,0),"ч::мм"))</f>
        <v/>
      </c>
      <c r="K15" s="31" t="str">
        <f ca="1">IF(TEXT(Настройки!$J3+TIME(0,Февраль!N14,0),"ч::мм")=TEXT(Настройки!$J3,"ч:мм"),"",TEXT(Настройки!$J3,"ч:мм")&amp;"-"&amp;TEXT(Настройки!$J3+TIME(0,Февраль!N14,0),"ч::мм"))</f>
        <v/>
      </c>
      <c r="L15" s="31" t="str">
        <f ca="1">IF(TEXT(Настройки!$J3+TIME(0,Февраль!O14,0),"ч::мм")=TEXT(Настройки!$J3,"ч:мм"),"",TEXT(Настройки!$J3,"ч:мм")&amp;"-"&amp;TEXT(Настройки!$J3+TIME(0,Февраль!O14,0),"ч::мм"))</f>
        <v/>
      </c>
      <c r="M15" s="31" t="str">
        <f ca="1">IF(TEXT(Настройки!$J3+TIME(0,Февраль!P14,0),"ч::мм")=TEXT(Настройки!$J3,"ч:мм"),"",TEXT(Настройки!$J3,"ч:мм")&amp;"-"&amp;TEXT(Настройки!$J3+TIME(0,Февраль!P14,0),"ч::мм"))</f>
        <v/>
      </c>
      <c r="N15" s="31" t="str">
        <f ca="1">IF(TEXT(Настройки!$J3+TIME(0,Февраль!Q14,0),"ч::мм")=TEXT(Настройки!$J3,"ч:мм"),"",TEXT(Настройки!$J3,"ч:мм")&amp;"-"&amp;TEXT(Настройки!$J3+TIME(0,Февраль!Q14,0),"ч::мм"))</f>
        <v/>
      </c>
      <c r="O15" s="31" t="str">
        <f ca="1">IF(TEXT(Настройки!$J3+TIME(0,Февраль!R14,0),"ч::мм")=TEXT(Настройки!$J3,"ч:мм"),"",TEXT(Настройки!$J3,"ч:мм")&amp;"-"&amp;TEXT(Настройки!$J3+TIME(0,Февраль!R14,0),"ч::мм"))</f>
        <v/>
      </c>
      <c r="P15" s="31" t="str">
        <f ca="1">IF(TEXT(Настройки!$J3+TIME(0,Февраль!S14,0),"ч::мм")=TEXT(Настройки!$J3,"ч:мм"),"",TEXT(Настройки!$J3,"ч:мм")&amp;"-"&amp;TEXT(Настройки!$J3+TIME(0,Февраль!S14,0),"ч::мм"))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IF(Настройки!J4&lt;&gt;"",TEXT(Настройки!J4,"ч:мм")&amp;"-"&amp;TEXT(Настройки!J4+TIME(0,MAX(Февраль!E15:AG15),0),"ч:мм"),"")</f>
        <v>16:00-16:00</v>
      </c>
      <c r="B16" s="31" t="str">
        <f ca="1">IF(TEXT(Настройки!$J4+TIME(0,Февраль!E15,0),"ч::мм")=TEXT(Настройки!$J4,"ч:мм"),"",TEXT(Настройки!$J4,"ч:мм")&amp;"-"&amp;TEXT(Настройки!$J4+TIME(0,Февраль!E15,0),"ч::мм"))</f>
        <v/>
      </c>
      <c r="C16" s="31" t="str">
        <f ca="1">IF(TEXT(Настройки!$J4+TIME(0,Февраль!F15,0),"ч::мм")=TEXT(Настройки!$J4,"ч:мм"),"",TEXT(Настройки!$J4,"ч:мм")&amp;"-"&amp;TEXT(Настройки!$J4+TIME(0,Февраль!F15,0),"ч::мм"))</f>
        <v/>
      </c>
      <c r="D16" s="31" t="str">
        <f ca="1">IF(TEXT(Настройки!$J4+TIME(0,Февраль!G15,0),"ч::мм")=TEXT(Настройки!$J4,"ч:мм"),"",TEXT(Настройки!$J4,"ч:мм")&amp;"-"&amp;TEXT(Настройки!$J4+TIME(0,Февраль!G15,0),"ч::мм"))</f>
        <v/>
      </c>
      <c r="E16" s="31" t="str">
        <f ca="1">IF(TEXT(Настройки!$J4+TIME(0,Февраль!H15,0),"ч::мм")=TEXT(Настройки!$J4,"ч:мм"),"",TEXT(Настройки!$J4,"ч:мм")&amp;"-"&amp;TEXT(Настройки!$J4+TIME(0,Февраль!H15,0),"ч::мм"))</f>
        <v/>
      </c>
      <c r="F16" s="31" t="str">
        <f ca="1">IF(TEXT(Настройки!$J4+TIME(0,Февраль!I15,0),"ч::мм")=TEXT(Настройки!$J4,"ч:мм"),"",TEXT(Настройки!$J4,"ч:мм")&amp;"-"&amp;TEXT(Настройки!$J4+TIME(0,Февраль!I15,0),"ч::мм"))</f>
        <v/>
      </c>
      <c r="G16" s="31" t="str">
        <f ca="1">IF(TEXT(Настройки!$J4+TIME(0,Февраль!J15,0),"ч::мм")=TEXT(Настройки!$J4,"ч:мм"),"",TEXT(Настройки!$J4,"ч:мм")&amp;"-"&amp;TEXT(Настройки!$J4+TIME(0,Февраль!J15,0),"ч::мм"))</f>
        <v/>
      </c>
      <c r="H16" s="31" t="str">
        <f ca="1">IF(TEXT(Настройки!$J4+TIME(0,Февраль!K15,0),"ч::мм")=TEXT(Настройки!$J4,"ч:мм"),"",TEXT(Настройки!$J4,"ч:мм")&amp;"-"&amp;TEXT(Настройки!$J4+TIME(0,Февраль!K15,0),"ч::мм"))</f>
        <v/>
      </c>
      <c r="I16" s="31" t="str">
        <f ca="1">IF(TEXT(Настройки!$J4+TIME(0,Февраль!L15,0),"ч::мм")=TEXT(Настройки!$J4,"ч:мм"),"",TEXT(Настройки!$J4,"ч:мм")&amp;"-"&amp;TEXT(Настройки!$J4+TIME(0,Февраль!L15,0),"ч::мм"))</f>
        <v/>
      </c>
      <c r="J16" s="31" t="str">
        <f ca="1">IF(TEXT(Настройки!$J4+TIME(0,Февраль!M15,0),"ч::мм")=TEXT(Настройки!$J4,"ч:мм"),"",TEXT(Настройки!$J4,"ч:мм")&amp;"-"&amp;TEXT(Настройки!$J4+TIME(0,Февраль!M15,0),"ч::мм"))</f>
        <v/>
      </c>
      <c r="K16" s="31" t="str">
        <f ca="1">IF(TEXT(Настройки!$J4+TIME(0,Февраль!N15,0),"ч::мм")=TEXT(Настройки!$J4,"ч:мм"),"",TEXT(Настройки!$J4,"ч:мм")&amp;"-"&amp;TEXT(Настройки!$J4+TIME(0,Февраль!N15,0),"ч::мм"))</f>
        <v/>
      </c>
      <c r="L16" s="31" t="str">
        <f ca="1">IF(TEXT(Настройки!$J4+TIME(0,Февраль!O15,0),"ч::мм")=TEXT(Настройки!$J4,"ч:мм"),"",TEXT(Настройки!$J4,"ч:мм")&amp;"-"&amp;TEXT(Настройки!$J4+TIME(0,Февраль!O15,0),"ч::мм"))</f>
        <v/>
      </c>
      <c r="M16" s="31" t="str">
        <f ca="1">IF(TEXT(Настройки!$J4+TIME(0,Февраль!P15,0),"ч::мм")=TEXT(Настройки!$J4,"ч:мм"),"",TEXT(Настройки!$J4,"ч:мм")&amp;"-"&amp;TEXT(Настройки!$J4+TIME(0,Февраль!P15,0),"ч::мм"))</f>
        <v/>
      </c>
      <c r="N16" s="31" t="str">
        <f ca="1">IF(TEXT(Настройки!$J4+TIME(0,Февраль!Q15,0),"ч::мм")=TEXT(Настройки!$J4,"ч:мм"),"",TEXT(Настройки!$J4,"ч:мм")&amp;"-"&amp;TEXT(Настройки!$J4+TIME(0,Февраль!Q15,0),"ч::мм"))</f>
        <v/>
      </c>
      <c r="O16" s="31" t="str">
        <f ca="1">IF(TEXT(Настройки!$J4+TIME(0,Февраль!R15,0),"ч::мм")=TEXT(Настройки!$J4,"ч:мм"),"",TEXT(Настройки!$J4,"ч:мм")&amp;"-"&amp;TEXT(Настройки!$J4+TIME(0,Февраль!R15,0),"ч::мм"))</f>
        <v/>
      </c>
      <c r="P16" s="31" t="str">
        <f ca="1">IF(TEXT(Настройки!$J4+TIME(0,Февраль!S15,0),"ч::мм")=TEXT(Настройки!$J4,"ч:мм"),"",TEXT(Настройки!$J4,"ч:мм")&amp;"-"&amp;TEXT(Настройки!$J4+TIME(0,Февраль!S15,0),"ч::мм"))</f>
        <v/>
      </c>
      <c r="S16" s="31"/>
    </row>
    <row r="18" spans="1:18" x14ac:dyDescent="0.25">
      <c r="A18" s="72"/>
      <c r="B18" s="63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34"/>
    </row>
    <row r="19" spans="1:18" x14ac:dyDescent="0.25">
      <c r="A19" s="79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34"/>
    </row>
    <row r="20" spans="1:18" x14ac:dyDescent="0.25">
      <c r="A20" s="79"/>
      <c r="B20" s="30">
        <f>Настройки!V8</f>
        <v>45338</v>
      </c>
      <c r="C20" s="30">
        <f>Настройки!W8</f>
        <v>45339</v>
      </c>
      <c r="D20" s="30">
        <f>Настройки!X8</f>
        <v>45340</v>
      </c>
      <c r="E20" s="30">
        <f>Настройки!Y8</f>
        <v>45341</v>
      </c>
      <c r="F20" s="30">
        <f>Настройки!Z8</f>
        <v>45342</v>
      </c>
      <c r="G20" s="30">
        <f>Настройки!AA8</f>
        <v>45343</v>
      </c>
      <c r="H20" s="30">
        <f>Настройки!AB8</f>
        <v>45344</v>
      </c>
      <c r="I20" s="30">
        <f>Настройки!AC8</f>
        <v>45345</v>
      </c>
      <c r="J20" s="30">
        <f>Настройки!AD8</f>
        <v>45346</v>
      </c>
      <c r="K20" s="30">
        <f>Настройки!AE8</f>
        <v>45347</v>
      </c>
      <c r="L20" s="30">
        <f>Настройки!AF8</f>
        <v>45348</v>
      </c>
      <c r="M20" s="30">
        <f>Настройки!AG8</f>
        <v>45349</v>
      </c>
      <c r="N20" s="30">
        <f>Настройки!AH8</f>
        <v>45350</v>
      </c>
      <c r="O20" s="30">
        <f>Настройки!AI8</f>
        <v>45351</v>
      </c>
      <c r="P20" s="30" t="str">
        <f>Настройки!AJ8</f>
        <v/>
      </c>
      <c r="Q20" s="32"/>
    </row>
    <row r="21" spans="1:18" x14ac:dyDescent="0.25">
      <c r="A21" s="79"/>
      <c r="B21" s="63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34"/>
    </row>
    <row r="22" spans="1:18" x14ac:dyDescent="0.25">
      <c r="A22" s="80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7"/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IF(TEXT(Настройки!$J2+TIME(0,Февраль!T13,0),"ч::мм")=TEXT(Настройки!$J2,"ч:мм"),"",TEXT(Настройки!$J2,"ч:мм")&amp;"-"&amp;TEXT(Настройки!$J2+TIME(0,Февраль!T13,0),"ч::мм"))</f>
        <v/>
      </c>
      <c r="C24" s="3" t="str">
        <f>IF(TEXT(Настройки!$J2+TIME(0,Февраль!U13,0),"ч::мм")=TEXT(Настройки!$J2,"ч:мм"),"",TEXT(Настройки!$J2,"ч:мм")&amp;"-"&amp;TEXT(Настройки!$J2+TIME(0,Февраль!U13,0),"ч::мм"))</f>
        <v/>
      </c>
      <c r="D24" s="3" t="str">
        <f>IF(TEXT(Настройки!$J2+TIME(0,Февраль!V13,0),"ч::мм")=TEXT(Настройки!$J2,"ч:мм"),"",TEXT(Настройки!$J2,"ч:мм")&amp;"-"&amp;TEXT(Настройки!$J2+TIME(0,Февраль!V13,0),"ч::мм"))</f>
        <v/>
      </c>
      <c r="E24" s="3" t="str">
        <f>IF(TEXT(Настройки!$J2+TIME(0,Февраль!W13,0),"ч::мм")=TEXT(Настройки!$J2,"ч:мм"),"",TEXT(Настройки!$J2,"ч:мм")&amp;"-"&amp;TEXT(Настройки!$J2+TIME(0,Февраль!W13,0),"ч::мм"))</f>
        <v/>
      </c>
      <c r="F24" s="3" t="str">
        <f>IF(TEXT(Настройки!$J2+TIME(0,Февраль!X13,0),"ч::мм")=TEXT(Настройки!$J2,"ч:мм"),"",TEXT(Настройки!$J2,"ч:мм")&amp;"-"&amp;TEXT(Настройки!$J2+TIME(0,Февраль!X13,0),"ч::мм"))</f>
        <v/>
      </c>
      <c r="G24" s="3" t="str">
        <f>IF(TEXT(Настройки!$J2+TIME(0,Февраль!Y13,0),"ч::мм")=TEXT(Настройки!$J2,"ч:мм"),"",TEXT(Настройки!$J2,"ч:мм")&amp;"-"&amp;TEXT(Настройки!$J2+TIME(0,Февраль!Y13,0),"ч::мм"))</f>
        <v/>
      </c>
      <c r="H24" s="3" t="str">
        <f>IF(TEXT(Настройки!$J2+TIME(0,Февраль!Z13,0),"ч::мм")=TEXT(Настройки!$J2,"ч:мм"),"",TEXT(Настройки!$J2,"ч:мм")&amp;"-"&amp;TEXT(Настройки!$J2+TIME(0,Февраль!Z13,0),"ч::мм"))</f>
        <v/>
      </c>
      <c r="I24" s="3" t="str">
        <f>IF(TEXT(Настройки!$J2+TIME(0,Февраль!AA13,0),"ч::мм")=TEXT(Настройки!$J2,"ч:мм"),"",TEXT(Настройки!$J2,"ч:мм")&amp;"-"&amp;TEXT(Настройки!$J2+TIME(0,Февраль!AA13,0),"ч::мм"))</f>
        <v/>
      </c>
      <c r="J24" s="3" t="str">
        <f>IF(TEXT(Настройки!$J2+TIME(0,Февраль!AB13,0),"ч::мм")=TEXT(Настройки!$J2,"ч:мм"),"",TEXT(Настройки!$J2,"ч:мм")&amp;"-"&amp;TEXT(Настройки!$J2+TIME(0,Февраль!AB13,0),"ч::мм"))</f>
        <v/>
      </c>
      <c r="K24" s="3" t="str">
        <f>IF(TEXT(Настройки!$J2+TIME(0,Февраль!AC13,0),"ч::мм")=TEXT(Настройки!$J2,"ч:мм"),"",TEXT(Настройки!$J2,"ч:мм")&amp;"-"&amp;TEXT(Настройки!$J2+TIME(0,Февраль!AC13,0),"ч::мм"))</f>
        <v/>
      </c>
      <c r="L24" s="3" t="str">
        <f>IF(TEXT(Настройки!$J2+TIME(0,Февраль!AD13,0),"ч::мм")=TEXT(Настройки!$J2,"ч:мм"),"",TEXT(Настройки!$J2,"ч:мм")&amp;"-"&amp;TEXT(Настройки!$J2+TIME(0,Февраль!AD13,0),"ч::мм"))</f>
        <v/>
      </c>
      <c r="M24" s="3" t="str">
        <f>IF(TEXT(Настройки!$J2+TIME(0,Февраль!AE13,0),"ч::мм")=TEXT(Настройки!$J2,"ч:мм"),"",TEXT(Настройки!$J2,"ч:мм")&amp;"-"&amp;TEXT(Настройки!$J2+TIME(0,Февраль!AE13,0),"ч::мм"))</f>
        <v/>
      </c>
      <c r="N24" s="3" t="str">
        <f>IF(TEXT(Настройки!$J2+TIME(0,Февраль!AF13,0),"ч::мм")=TEXT(Настройки!$J2,"ч:мм"),"",TEXT(Настройки!$J2,"ч:мм")&amp;"-"&amp;TEXT(Настройки!$J2+TIME(0,Февраль!AF13,0),"ч::мм"))</f>
        <v/>
      </c>
      <c r="O24" s="3" t="str">
        <f>IF(TEXT(Настройки!$J2+TIME(0,Февраль!AG13,0),"ч::мм")=TEXT(Настройки!$J2,"ч:мм"),"",TEXT(Настройки!$J2,"ч:мм")&amp;"-"&amp;TEXT(Настройки!$J2+TIME(0,Февраль!AG13,0),"ч::мм"))</f>
        <v/>
      </c>
      <c r="P24" s="37"/>
    </row>
    <row r="25" spans="1:18" x14ac:dyDescent="0.25">
      <c r="A25" s="33" t="str">
        <f t="shared" ca="1" si="0"/>
        <v>13:00-13:00</v>
      </c>
      <c r="B25" s="3" t="str">
        <f ca="1">IF(TEXT(Настройки!$J3+TIME(0,Февраль!T14,0),"ч::мм")=TEXT(Настройки!$J3,"ч:мм"),"",TEXT(Настройки!$J3,"ч:мм")&amp;"-"&amp;TEXT(Настройки!$J3+TIME(0,Февраль!T14,0),"ч::мм"))</f>
        <v/>
      </c>
      <c r="C25" s="3" t="str">
        <f ca="1">IF(TEXT(Настройки!$J3+TIME(0,Февраль!U14,0),"ч::мм")=TEXT(Настройки!$J3,"ч:мм"),"",TEXT(Настройки!$J3,"ч:мм")&amp;"-"&amp;TEXT(Настройки!$J3+TIME(0,Февраль!U14,0),"ч::мм"))</f>
        <v/>
      </c>
      <c r="D25" s="3" t="str">
        <f ca="1">IF(TEXT(Настройки!$J3+TIME(0,Февраль!V14,0),"ч::мм")=TEXT(Настройки!$J3,"ч:мм"),"",TEXT(Настройки!$J3,"ч:мм")&amp;"-"&amp;TEXT(Настройки!$J3+TIME(0,Февраль!V14,0),"ч::мм"))</f>
        <v/>
      </c>
      <c r="E25" s="3" t="str">
        <f ca="1">IF(TEXT(Настройки!$J3+TIME(0,Февраль!W14,0),"ч::мм")=TEXT(Настройки!$J3,"ч:мм"),"",TEXT(Настройки!$J3,"ч:мм")&amp;"-"&amp;TEXT(Настройки!$J3+TIME(0,Февраль!W14,0),"ч::мм"))</f>
        <v/>
      </c>
      <c r="F25" s="3" t="str">
        <f ca="1">IF(TEXT(Настройки!$J3+TIME(0,Февраль!X14,0),"ч::мм")=TEXT(Настройки!$J3,"ч:мм"),"",TEXT(Настройки!$J3,"ч:мм")&amp;"-"&amp;TEXT(Настройки!$J3+TIME(0,Февраль!X14,0),"ч::мм"))</f>
        <v/>
      </c>
      <c r="G25" s="3" t="str">
        <f ca="1">IF(TEXT(Настройки!$J3+TIME(0,Февраль!Y14,0),"ч::мм")=TEXT(Настройки!$J3,"ч:мм"),"",TEXT(Настройки!$J3,"ч:мм")&amp;"-"&amp;TEXT(Настройки!$J3+TIME(0,Февраль!Y14,0),"ч::мм"))</f>
        <v/>
      </c>
      <c r="H25" s="3" t="str">
        <f ca="1">IF(TEXT(Настройки!$J3+TIME(0,Февраль!Z14,0),"ч::мм")=TEXT(Настройки!$J3,"ч:мм"),"",TEXT(Настройки!$J3,"ч:мм")&amp;"-"&amp;TEXT(Настройки!$J3+TIME(0,Февраль!Z14,0),"ч::мм"))</f>
        <v/>
      </c>
      <c r="I25" s="3" t="str">
        <f ca="1">IF(TEXT(Настройки!$J3+TIME(0,Февраль!AA14,0),"ч::мм")=TEXT(Настройки!$J3,"ч:мм"),"",TEXT(Настройки!$J3,"ч:мм")&amp;"-"&amp;TEXT(Настройки!$J3+TIME(0,Февраль!AA14,0),"ч::мм"))</f>
        <v/>
      </c>
      <c r="J25" s="3" t="str">
        <f ca="1">IF(TEXT(Настройки!$J3+TIME(0,Февраль!AB14,0),"ч::мм")=TEXT(Настройки!$J3,"ч:мм"),"",TEXT(Настройки!$J3,"ч:мм")&amp;"-"&amp;TEXT(Настройки!$J3+TIME(0,Февраль!AB14,0),"ч::мм"))</f>
        <v/>
      </c>
      <c r="K25" s="3" t="str">
        <f ca="1">IF(TEXT(Настройки!$J3+TIME(0,Февраль!AC14,0),"ч::мм")=TEXT(Настройки!$J3,"ч:мм"),"",TEXT(Настройки!$J3,"ч:мм")&amp;"-"&amp;TEXT(Настройки!$J3+TIME(0,Февраль!AC14,0),"ч::мм"))</f>
        <v/>
      </c>
      <c r="L25" s="3" t="str">
        <f ca="1">IF(TEXT(Настройки!$J3+TIME(0,Февраль!AD14,0),"ч::мм")=TEXT(Настройки!$J3,"ч:мм"),"",TEXT(Настройки!$J3,"ч:мм")&amp;"-"&amp;TEXT(Настройки!$J3+TIME(0,Февраль!AD14,0),"ч::мм"))</f>
        <v/>
      </c>
      <c r="M25" s="3" t="str">
        <f ca="1">IF(TEXT(Настройки!$J3+TIME(0,Февраль!AE14,0),"ч::мм")=TEXT(Настройки!$J3,"ч:мм"),"",TEXT(Настройки!$J3,"ч:мм")&amp;"-"&amp;TEXT(Настройки!$J3+TIME(0,Февраль!AE14,0),"ч::мм"))</f>
        <v/>
      </c>
      <c r="N25" s="3" t="str">
        <f ca="1">IF(TEXT(Настройки!$J3+TIME(0,Февраль!AF14,0),"ч::мм")=TEXT(Настройки!$J3,"ч:мм"),"",TEXT(Настройки!$J3,"ч:мм")&amp;"-"&amp;TEXT(Настройки!$J3+TIME(0,Февраль!AF14,0),"ч::мм"))</f>
        <v/>
      </c>
      <c r="O25" s="3" t="str">
        <f ca="1">IF(TEXT(Настройки!$J3+TIME(0,Февраль!AG14,0),"ч::мм")=TEXT(Настройки!$J3,"ч:мм"),"",TEXT(Настройки!$J3,"ч:мм")&amp;"-"&amp;TEXT(Настройки!$J3+TIME(0,Февраль!AG14,0),"ч::мм"))</f>
        <v/>
      </c>
      <c r="P25" s="37"/>
    </row>
    <row r="26" spans="1:18" x14ac:dyDescent="0.25">
      <c r="A26" s="33" t="str">
        <f t="shared" ca="1" si="0"/>
        <v>16:00-16:00</v>
      </c>
      <c r="B26" s="3" t="str">
        <f ca="1">IF(TEXT(Настройки!$J4+TIME(0,Февраль!T15,0),"ч::мм")=TEXT(Настройки!$J4,"ч:мм"),"",TEXT(Настройки!$J4,"ч:мм")&amp;"-"&amp;TEXT(Настройки!$J4+TIME(0,Февраль!T15,0),"ч::мм"))</f>
        <v/>
      </c>
      <c r="C26" s="3" t="str">
        <f ca="1">IF(TEXT(Настройки!$J4+TIME(0,Февраль!U15,0),"ч::мм")=TEXT(Настройки!$J4,"ч:мм"),"",TEXT(Настройки!$J4,"ч:мм")&amp;"-"&amp;TEXT(Настройки!$J4+TIME(0,Февраль!U15,0),"ч::мм"))</f>
        <v/>
      </c>
      <c r="D26" s="3" t="str">
        <f ca="1">IF(TEXT(Настройки!$J4+TIME(0,Февраль!V15,0),"ч::мм")=TEXT(Настройки!$J4,"ч:мм"),"",TEXT(Настройки!$J4,"ч:мм")&amp;"-"&amp;TEXT(Настройки!$J4+TIME(0,Февраль!V15,0),"ч::мм"))</f>
        <v/>
      </c>
      <c r="E26" s="3" t="str">
        <f ca="1">IF(TEXT(Настройки!$J4+TIME(0,Февраль!W15,0),"ч::мм")=TEXT(Настройки!$J4,"ч:мм"),"",TEXT(Настройки!$J4,"ч:мм")&amp;"-"&amp;TEXT(Настройки!$J4+TIME(0,Февраль!W15,0),"ч::мм"))</f>
        <v/>
      </c>
      <c r="F26" s="3" t="str">
        <f ca="1">IF(TEXT(Настройки!$J4+TIME(0,Февраль!X15,0),"ч::мм")=TEXT(Настройки!$J4,"ч:мм"),"",TEXT(Настройки!$J4,"ч:мм")&amp;"-"&amp;TEXT(Настройки!$J4+TIME(0,Февраль!X15,0),"ч::мм"))</f>
        <v/>
      </c>
      <c r="G26" s="3" t="str">
        <f ca="1">IF(TEXT(Настройки!$J4+TIME(0,Февраль!Y15,0),"ч::мм")=TEXT(Настройки!$J4,"ч:мм"),"",TEXT(Настройки!$J4,"ч:мм")&amp;"-"&amp;TEXT(Настройки!$J4+TIME(0,Февраль!Y15,0),"ч::мм"))</f>
        <v/>
      </c>
      <c r="H26" s="3" t="str">
        <f ca="1">IF(TEXT(Настройки!$J4+TIME(0,Февраль!Z15,0),"ч::мм")=TEXT(Настройки!$J4,"ч:мм"),"",TEXT(Настройки!$J4,"ч:мм")&amp;"-"&amp;TEXT(Настройки!$J4+TIME(0,Февраль!Z15,0),"ч::мм"))</f>
        <v/>
      </c>
      <c r="I26" s="3" t="str">
        <f ca="1">IF(TEXT(Настройки!$J4+TIME(0,Февраль!AA15,0),"ч::мм")=TEXT(Настройки!$J4,"ч:мм"),"",TEXT(Настройки!$J4,"ч:мм")&amp;"-"&amp;TEXT(Настройки!$J4+TIME(0,Февраль!AA15,0),"ч::мм"))</f>
        <v/>
      </c>
      <c r="J26" s="3" t="str">
        <f ca="1">IF(TEXT(Настройки!$J4+TIME(0,Февраль!AB15,0),"ч::мм")=TEXT(Настройки!$J4,"ч:мм"),"",TEXT(Настройки!$J4,"ч:мм")&amp;"-"&amp;TEXT(Настройки!$J4+TIME(0,Февраль!AB15,0),"ч::мм"))</f>
        <v/>
      </c>
      <c r="K26" s="3" t="str">
        <f ca="1">IF(TEXT(Настройки!$J4+TIME(0,Февраль!AC15,0),"ч::мм")=TEXT(Настройки!$J4,"ч:мм"),"",TEXT(Настройки!$J4,"ч:мм")&amp;"-"&amp;TEXT(Настройки!$J4+TIME(0,Февраль!AC15,0),"ч::мм"))</f>
        <v/>
      </c>
      <c r="L26" s="3" t="str">
        <f ca="1">IF(TEXT(Настройки!$J4+TIME(0,Февраль!AD15,0),"ч::мм")=TEXT(Настройки!$J4,"ч:мм"),"",TEXT(Настройки!$J4,"ч:мм")&amp;"-"&amp;TEXT(Настройки!$J4+TIME(0,Февраль!AD15,0),"ч::мм"))</f>
        <v/>
      </c>
      <c r="M26" s="3" t="str">
        <f ca="1">IF(TEXT(Настройки!$J4+TIME(0,Февраль!AE15,0),"ч::мм")=TEXT(Настройки!$J4,"ч:мм"),"",TEXT(Настройки!$J4,"ч:мм")&amp;"-"&amp;TEXT(Настройки!$J4+TIME(0,Февраль!AE15,0),"ч::мм"))</f>
        <v/>
      </c>
      <c r="N26" s="3" t="str">
        <f ca="1">IF(TEXT(Настройки!$J4+TIME(0,Февраль!AF15,0),"ч::мм")=TEXT(Настройки!$J4,"ч:мм"),"",TEXT(Настройки!$J4,"ч:мм")&amp;"-"&amp;TEXT(Настройки!$J4+TIME(0,Февраль!AF15,0),"ч::мм"))</f>
        <v/>
      </c>
      <c r="O26" s="3" t="str">
        <f ca="1">IF(TEXT(Настройки!$J4+TIME(0,Февраль!AG15,0),"ч::мм")=TEXT(Настройки!$J4,"ч:мм"),"",TEXT(Настройки!$J4,"ч:мм")&amp;"-"&amp;TEXT(Настройки!$J4+TIME(0,Февраль!AG15,0),"ч::мм"))</f>
        <v/>
      </c>
      <c r="P26" s="37"/>
    </row>
    <row r="27" spans="1:18" x14ac:dyDescent="0.25">
      <c r="Q27" s="10"/>
      <c r="R27" s="10"/>
    </row>
  </sheetData>
  <mergeCells count="9">
    <mergeCell ref="A18:A22"/>
    <mergeCell ref="A2:P2"/>
    <mergeCell ref="F6:G6"/>
    <mergeCell ref="A8:A12"/>
    <mergeCell ref="B8:P9"/>
    <mergeCell ref="B11:P12"/>
    <mergeCell ref="B18:P19"/>
    <mergeCell ref="B21:P22"/>
    <mergeCell ref="H6:I6"/>
  </mergeCells>
  <conditionalFormatting sqref="B10:P10">
    <cfRule type="expression" dxfId="1128" priority="3">
      <formula>WEEKDAY(B10:P10,2)&gt;5</formula>
    </cfRule>
  </conditionalFormatting>
  <conditionalFormatting sqref="B20:P20">
    <cfRule type="expression" dxfId="1127" priority="2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4" tint="0.39997558519241921"/>
    <pageSetUpPr fitToPage="1"/>
  </sheetPr>
  <dimension ref="A2:AL28"/>
  <sheetViews>
    <sheetView zoomScale="60" zoomScaleNormal="60" workbookViewId="0">
      <selection activeCell="G26" sqref="G26"/>
    </sheetView>
  </sheetViews>
  <sheetFormatPr defaultRowHeight="15.75" x14ac:dyDescent="0.25"/>
  <cols>
    <col min="1" max="1" width="21.42578125" style="3" customWidth="1"/>
    <col min="2" max="2" width="14.28515625" style="3" customWidth="1"/>
    <col min="3" max="3" width="17.7109375" style="3" customWidth="1"/>
    <col min="4" max="4" width="9.28515625" style="3" customWidth="1"/>
    <col min="5" max="5" width="6.85546875" style="3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8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8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8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8" ht="18.75" x14ac:dyDescent="0.25">
      <c r="L5" s="11" t="s">
        <v>69</v>
      </c>
      <c r="M5" s="77" t="s">
        <v>126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8" ht="17.25" customHeight="1" x14ac:dyDescent="0.25"/>
    <row r="7" spans="1:38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9"/>
      <c r="AJ7" s="53" t="s">
        <v>64</v>
      </c>
      <c r="AK7" s="54" t="s">
        <v>64</v>
      </c>
    </row>
    <row r="8" spans="1:38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9"/>
      <c r="AJ8" s="53"/>
      <c r="AK8" s="55"/>
    </row>
    <row r="9" spans="1:38" x14ac:dyDescent="0.25">
      <c r="A9" s="63"/>
      <c r="B9" s="66"/>
      <c r="C9" s="66"/>
      <c r="D9" s="73"/>
      <c r="E9" s="18">
        <f>Настройки!G9</f>
        <v>45352</v>
      </c>
      <c r="F9" s="18">
        <f>Настройки!H9</f>
        <v>45353</v>
      </c>
      <c r="G9" s="18">
        <f>Настройки!I9</f>
        <v>45354</v>
      </c>
      <c r="H9" s="18">
        <f>Настройки!J9</f>
        <v>45355</v>
      </c>
      <c r="I9" s="18">
        <f>Настройки!K9</f>
        <v>45356</v>
      </c>
      <c r="J9" s="18">
        <f>Настройки!L9</f>
        <v>45357</v>
      </c>
      <c r="K9" s="18">
        <f>Настройки!M9</f>
        <v>45358</v>
      </c>
      <c r="L9" s="18">
        <f>Настройки!N9</f>
        <v>45359</v>
      </c>
      <c r="M9" s="18">
        <f>Настройки!O9</f>
        <v>45360</v>
      </c>
      <c r="N9" s="18">
        <f>Настройки!P9</f>
        <v>45361</v>
      </c>
      <c r="O9" s="18">
        <f>Настройки!Q9</f>
        <v>45362</v>
      </c>
      <c r="P9" s="18">
        <f>Настройки!R9</f>
        <v>45363</v>
      </c>
      <c r="Q9" s="18">
        <f>Настройки!S9</f>
        <v>45364</v>
      </c>
      <c r="R9" s="18">
        <f>Настройки!T9</f>
        <v>45365</v>
      </c>
      <c r="S9" s="18">
        <f>Настройки!U9</f>
        <v>45366</v>
      </c>
      <c r="T9" s="18">
        <f>Настройки!V9</f>
        <v>45367</v>
      </c>
      <c r="U9" s="18">
        <f>Настройки!W9</f>
        <v>45368</v>
      </c>
      <c r="V9" s="18">
        <f>Настройки!X9</f>
        <v>45369</v>
      </c>
      <c r="W9" s="18">
        <f>Настройки!Y9</f>
        <v>45370</v>
      </c>
      <c r="X9" s="18">
        <f>Настройки!Z9</f>
        <v>45371</v>
      </c>
      <c r="Y9" s="18">
        <f>Настройки!AA9</f>
        <v>45372</v>
      </c>
      <c r="Z9" s="18">
        <f>Настройки!AB9</f>
        <v>45373</v>
      </c>
      <c r="AA9" s="18">
        <f>Настройки!AC9</f>
        <v>45374</v>
      </c>
      <c r="AB9" s="18">
        <f>Настройки!AD9</f>
        <v>45375</v>
      </c>
      <c r="AC9" s="18">
        <f>Настройки!AE9</f>
        <v>45376</v>
      </c>
      <c r="AD9" s="18">
        <f>Настройки!AF9</f>
        <v>45377</v>
      </c>
      <c r="AE9" s="18">
        <f>Настройки!AG9</f>
        <v>45378</v>
      </c>
      <c r="AF9" s="18">
        <f>Настройки!AH9</f>
        <v>45379</v>
      </c>
      <c r="AG9" s="18">
        <f>Настройки!AI9</f>
        <v>45380</v>
      </c>
      <c r="AH9" s="18">
        <f>Настройки!AJ9</f>
        <v>45381</v>
      </c>
      <c r="AI9" s="18">
        <f>Настройки!AK9</f>
        <v>45382</v>
      </c>
      <c r="AJ9" s="53"/>
      <c r="AK9" s="55"/>
    </row>
    <row r="10" spans="1:38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9"/>
      <c r="AJ10" s="53"/>
      <c r="AK10" s="55"/>
    </row>
    <row r="11" spans="1:38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2"/>
      <c r="AJ11" s="53"/>
      <c r="AK11" s="56"/>
    </row>
    <row r="12" spans="1:38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SUMPRODUCT((Настройки!$G$23:$AK$23=1)*E16:AI16)</f>
        <v>0</v>
      </c>
      <c r="D13" s="5">
        <v>1</v>
      </c>
      <c r="E13" s="24">
        <f>SUMPRODUCT((Март[№]=1)*Март[1],Март[Периодичность])</f>
        <v>0</v>
      </c>
      <c r="F13" s="24">
        <f>SUMPRODUCT((Март[№]=1)*Март[2],Март[Периодичность])</f>
        <v>0</v>
      </c>
      <c r="G13" s="24">
        <f>SUMPRODUCT((Март[№]=1)*Март[3],Март[Периодичность])</f>
        <v>0</v>
      </c>
      <c r="H13" s="24">
        <f>SUMPRODUCT((Март[№]=1)*Март[4],Март[Периодичность])</f>
        <v>0</v>
      </c>
      <c r="I13" s="24">
        <f>SUMPRODUCT((Март[№]=1)*Март[5],Март[Периодичность])</f>
        <v>0</v>
      </c>
      <c r="J13" s="24">
        <f>SUMPRODUCT((Март[№]=1)*Март[6],Март[Периодичность])</f>
        <v>0</v>
      </c>
      <c r="K13" s="24">
        <f>SUMPRODUCT((Март[№]=1)*Март[7],Март[Периодичность])</f>
        <v>0</v>
      </c>
      <c r="L13" s="24">
        <f>SUMPRODUCT((Март[№]=1)*Март[8],Март[Периодичность])</f>
        <v>0</v>
      </c>
      <c r="M13" s="24">
        <f>SUMPRODUCT((Март[№]=1)*Март[9],Март[Периодичность])</f>
        <v>0</v>
      </c>
      <c r="N13" s="24">
        <f>SUMPRODUCT((Март[№]=1)*Март[10],Март[Периодичность])</f>
        <v>0</v>
      </c>
      <c r="O13" s="24">
        <f>SUMPRODUCT((Март[№]=1)*Март[11],Март[Периодичность])</f>
        <v>0</v>
      </c>
      <c r="P13" s="24">
        <f>SUMPRODUCT((Март[№]=1)*Март[12],Март[Периодичность])</f>
        <v>0</v>
      </c>
      <c r="Q13" s="24">
        <f>SUMPRODUCT((Март[№]=1)*Март[13],Март[Периодичность])</f>
        <v>0</v>
      </c>
      <c r="R13" s="24">
        <f>SUMPRODUCT((Март[№]=1)*Март[14],Март[Периодичность])</f>
        <v>0</v>
      </c>
      <c r="S13" s="24">
        <f>SUMPRODUCT((Март[№]=1)*Март[15],Март[Периодичность])</f>
        <v>0</v>
      </c>
      <c r="T13" s="24">
        <f>SUMPRODUCT((Март[№]=1)*Март[16],Март[Периодичность])</f>
        <v>0</v>
      </c>
      <c r="U13" s="24">
        <f>SUMPRODUCT((Март[№]=1)*Март[17],Март[Периодичность])</f>
        <v>0</v>
      </c>
      <c r="V13" s="24">
        <f>SUMPRODUCT((Март[№]=1)*Март[18],Март[Периодичность])</f>
        <v>0</v>
      </c>
      <c r="W13" s="24">
        <f>SUMPRODUCT((Март[№]=1)*Март[19],Март[Периодичность])</f>
        <v>0</v>
      </c>
      <c r="X13" s="24">
        <f>SUMPRODUCT((Март[№]=1)*Март[20],Март[Периодичность])</f>
        <v>0</v>
      </c>
      <c r="Y13" s="24">
        <f>SUMPRODUCT((Март[№]=1)*Март[21],Март[Периодичность])</f>
        <v>0</v>
      </c>
      <c r="Z13" s="24">
        <f>SUMPRODUCT((Март[№]=1)*Март[22],Март[Периодичность])</f>
        <v>0</v>
      </c>
      <c r="AA13" s="24">
        <f>SUMPRODUCT((Март[№]=1)*Март[23],Март[Периодичность])</f>
        <v>0</v>
      </c>
      <c r="AB13" s="24">
        <f>SUMPRODUCT((Март[№]=1)*Март[24],Март[Периодичность])</f>
        <v>0</v>
      </c>
      <c r="AC13" s="24">
        <f>SUMPRODUCT((Март[№]=1)*Март[25],Март[Периодичность])</f>
        <v>0</v>
      </c>
      <c r="AD13" s="24">
        <f>SUMPRODUCT((Март[№]=1)*Март[26],Март[Периодичность])</f>
        <v>0</v>
      </c>
      <c r="AE13" s="24">
        <f>SUMPRODUCT((Март[№]=1)*Март[27],Март[Периодичность])</f>
        <v>0</v>
      </c>
      <c r="AF13" s="24">
        <f>SUMPRODUCT((Март[№]=1)*Март[28],Март[Периодичность])</f>
        <v>0</v>
      </c>
      <c r="AG13" s="24">
        <f>SUMPRODUCT((Март[№]=1)*Март[29],Март[Периодичность])</f>
        <v>0</v>
      </c>
      <c r="AH13" s="24">
        <f>SUMPRODUCT((Март[№]=1)*Март[30],Март[Периодичность])</f>
        <v>0</v>
      </c>
      <c r="AI13" s="24">
        <f>SUMPRODUCT((Март[№]=1)*Март[31],Март[Периодичность])</f>
        <v>0</v>
      </c>
      <c r="AL13" s="4"/>
    </row>
    <row r="14" spans="1:38" x14ac:dyDescent="0.25">
      <c r="B14" s="3">
        <f ca="1">SUMPRODUCT((Настройки!$G$23:$AK$23=2)*E16:AI16)</f>
        <v>0</v>
      </c>
      <c r="D14" s="5">
        <v>2</v>
      </c>
      <c r="E14" s="24">
        <f ca="1">SUMPRODUCT((Март[№]=2)*Март[1],OFFSET(Март[Периодичность],-1,0))</f>
        <v>0</v>
      </c>
      <c r="F14" s="24">
        <f ca="1">SUMPRODUCT((Март[№]=2)*Март[2],OFFSET(Март[Периодичность],-1,0))</f>
        <v>0</v>
      </c>
      <c r="G14" s="24">
        <f ca="1">SUMPRODUCT((Март[№]=2)*Март[3],OFFSET(Март[Периодичность],-1,0))</f>
        <v>0</v>
      </c>
      <c r="H14" s="24">
        <f ca="1">SUMPRODUCT((Март[№]=2)*Март[4],OFFSET(Март[Периодичность],-1,0))</f>
        <v>0</v>
      </c>
      <c r="I14" s="24">
        <f ca="1">SUMPRODUCT((Март[№]=2)*Март[5],OFFSET(Март[Периодичность],-1,0))</f>
        <v>0</v>
      </c>
      <c r="J14" s="24">
        <f ca="1">SUMPRODUCT((Март[№]=2)*Март[6],OFFSET(Март[Периодичность],-1,0))</f>
        <v>0</v>
      </c>
      <c r="K14" s="24">
        <f ca="1">SUMPRODUCT((Март[№]=2)*Март[7],OFFSET(Март[Периодичность],-1,0))</f>
        <v>0</v>
      </c>
      <c r="L14" s="24">
        <f ca="1">SUMPRODUCT((Март[№]=2)*Март[8],OFFSET(Март[Периодичность],-1,0))</f>
        <v>0</v>
      </c>
      <c r="M14" s="24">
        <f ca="1">SUMPRODUCT((Март[№]=2)*Март[9],OFFSET(Март[Периодичность],-1,0))</f>
        <v>0</v>
      </c>
      <c r="N14" s="24">
        <f ca="1">SUMPRODUCT((Март[№]=2)*Март[10],OFFSET(Март[Периодичность],-1,0))</f>
        <v>0</v>
      </c>
      <c r="O14" s="24">
        <f ca="1">SUMPRODUCT((Март[№]=2)*Март[11],OFFSET(Март[Периодичность],-1,0))</f>
        <v>0</v>
      </c>
      <c r="P14" s="24">
        <f ca="1">SUMPRODUCT((Март[№]=2)*Март[12],OFFSET(Март[Периодичность],-1,0))</f>
        <v>0</v>
      </c>
      <c r="Q14" s="24">
        <f ca="1">SUMPRODUCT((Март[№]=2)*Март[13],OFFSET(Март[Периодичность],-1,0))</f>
        <v>0</v>
      </c>
      <c r="R14" s="24">
        <f ca="1">SUMPRODUCT((Март[№]=2)*Март[14],OFFSET(Март[Периодичность],-1,0))</f>
        <v>0</v>
      </c>
      <c r="S14" s="24">
        <f ca="1">SUMPRODUCT((Март[№]=2)*Март[15],OFFSET(Март[Периодичность],-1,0))</f>
        <v>0</v>
      </c>
      <c r="T14" s="24">
        <f ca="1">SUMPRODUCT((Март[№]=2)*Март[16],OFFSET(Март[Периодичность],-1,0))</f>
        <v>0</v>
      </c>
      <c r="U14" s="24">
        <f ca="1">SUMPRODUCT((Март[№]=2)*Март[17],OFFSET(Март[Периодичность],-1,0))</f>
        <v>0</v>
      </c>
      <c r="V14" s="24">
        <f ca="1">SUMPRODUCT((Март[№]=2)*Март[18],OFFSET(Март[Периодичность],-1,0))</f>
        <v>0</v>
      </c>
      <c r="W14" s="24">
        <f ca="1">SUMPRODUCT((Март[№]=2)*Март[19],OFFSET(Март[Периодичность],-1,0))</f>
        <v>0</v>
      </c>
      <c r="X14" s="24">
        <f ca="1">SUMPRODUCT((Март[№]=2)*Март[20],OFFSET(Март[Периодичность],-1,0))</f>
        <v>0</v>
      </c>
      <c r="Y14" s="24">
        <f ca="1">SUMPRODUCT((Март[№]=2)*Март[21],OFFSET(Март[Периодичность],-1,0))</f>
        <v>0</v>
      </c>
      <c r="Z14" s="24">
        <f ca="1">SUMPRODUCT((Март[№]=2)*Март[22],OFFSET(Март[Периодичность],-1,0))</f>
        <v>0</v>
      </c>
      <c r="AA14" s="24">
        <f ca="1">SUMPRODUCT((Март[№]=2)*Март[23],OFFSET(Март[Периодичность],-1,0))</f>
        <v>0</v>
      </c>
      <c r="AB14" s="24">
        <f ca="1">SUMPRODUCT((Март[№]=2)*Март[24],OFFSET(Март[Периодичность],-1,0))</f>
        <v>0</v>
      </c>
      <c r="AC14" s="24">
        <f ca="1">SUMPRODUCT((Март[№]=2)*Март[25],OFFSET(Март[Периодичность],-1,0))</f>
        <v>0</v>
      </c>
      <c r="AD14" s="24">
        <f ca="1">SUMPRODUCT((Март[№]=2)*Март[26],OFFSET(Март[Периодичность],-1,0))</f>
        <v>0</v>
      </c>
      <c r="AE14" s="24">
        <f ca="1">SUMPRODUCT((Март[№]=2)*Март[27],OFFSET(Март[Периодичность],-1,0))</f>
        <v>0</v>
      </c>
      <c r="AF14" s="24">
        <f ca="1">SUMPRODUCT((Март[№]=2)*Март[28],OFFSET(Март[Периодичность],-1,0))</f>
        <v>0</v>
      </c>
      <c r="AG14" s="24">
        <f ca="1">SUMPRODUCT((Март[№]=2)*Март[29],OFFSET(Март[Периодичность],-1,0))</f>
        <v>0</v>
      </c>
      <c r="AH14" s="24">
        <f ca="1">SUMPRODUCT((Март[№]=2)*Март[30],OFFSET(Март[Периодичность],-1,0))</f>
        <v>0</v>
      </c>
      <c r="AI14" s="24">
        <f ca="1">SUMPRODUCT((Март[№]=2)*Март[31],OFFSET(Март[Периодичность],-1,0))</f>
        <v>0</v>
      </c>
      <c r="AL14" s="4"/>
    </row>
    <row r="15" spans="1:38" x14ac:dyDescent="0.25">
      <c r="B15" s="3">
        <f ca="1">SUMPRODUCT((Настройки!$G$23:$AK$23=3)*E16:AI16)</f>
        <v>0</v>
      </c>
      <c r="D15" s="5">
        <v>3</v>
      </c>
      <c r="E15" s="24">
        <f ca="1">SUMPRODUCT((Март[№]=3)*Март[1],OFFSET(Март[Периодичность],-2,0))</f>
        <v>0</v>
      </c>
      <c r="F15" s="24">
        <f ca="1">SUMPRODUCT((Март[№]=3)*Март[2],OFFSET(Март[Периодичность],-2,0))</f>
        <v>0</v>
      </c>
      <c r="G15" s="24">
        <f ca="1">SUMPRODUCT((Март[№]=3)*Март[3],OFFSET(Март[Периодичность],-2,0))</f>
        <v>0</v>
      </c>
      <c r="H15" s="24">
        <f ca="1">SUMPRODUCT((Март[№]=3)*Март[4],OFFSET(Март[Периодичность],-2,0))</f>
        <v>0</v>
      </c>
      <c r="I15" s="24">
        <f ca="1">SUMPRODUCT((Март[№]=3)*Март[5],OFFSET(Март[Периодичность],-2,0))</f>
        <v>0</v>
      </c>
      <c r="J15" s="24">
        <f ca="1">SUMPRODUCT((Март[№]=3)*Март[6],OFFSET(Март[Периодичность],-2,0))</f>
        <v>0</v>
      </c>
      <c r="K15" s="24">
        <f ca="1">SUMPRODUCT((Март[№]=3)*Март[7],OFFSET(Март[Периодичность],-2,0))</f>
        <v>0</v>
      </c>
      <c r="L15" s="24">
        <f ca="1">SUMPRODUCT((Март[№]=3)*Март[8],OFFSET(Март[Периодичность],-2,0))</f>
        <v>0</v>
      </c>
      <c r="M15" s="24">
        <f ca="1">SUMPRODUCT((Март[№]=3)*Март[9],OFFSET(Март[Периодичность],-2,0))</f>
        <v>0</v>
      </c>
      <c r="N15" s="24">
        <f ca="1">SUMPRODUCT((Март[№]=3)*Март[10],OFFSET(Март[Периодичность],-2,0))</f>
        <v>0</v>
      </c>
      <c r="O15" s="24">
        <f ca="1">SUMPRODUCT((Март[№]=3)*Март[11],OFFSET(Март[Периодичность],-2,0))</f>
        <v>0</v>
      </c>
      <c r="P15" s="24">
        <f ca="1">SUMPRODUCT((Март[№]=3)*Март[12],OFFSET(Март[Периодичность],-2,0))</f>
        <v>0</v>
      </c>
      <c r="Q15" s="24">
        <f ca="1">SUMPRODUCT((Март[№]=3)*Март[13],OFFSET(Март[Периодичность],-2,0))</f>
        <v>0</v>
      </c>
      <c r="R15" s="24">
        <f ca="1">SUMPRODUCT((Март[№]=3)*Март[14],OFFSET(Март[Периодичность],-2,0))</f>
        <v>0</v>
      </c>
      <c r="S15" s="24">
        <f ca="1">SUMPRODUCT((Март[№]=3)*Март[15],OFFSET(Март[Периодичность],-2,0))</f>
        <v>0</v>
      </c>
      <c r="T15" s="24">
        <f ca="1">SUMPRODUCT((Март[№]=3)*Март[16],OFFSET(Март[Периодичность],-2,0))</f>
        <v>0</v>
      </c>
      <c r="U15" s="24">
        <f ca="1">SUMPRODUCT((Март[№]=3)*Март[17],OFFSET(Март[Периодичность],-2,0))</f>
        <v>0</v>
      </c>
      <c r="V15" s="24">
        <f ca="1">SUMPRODUCT((Март[№]=3)*Март[18],OFFSET(Март[Периодичность],-2,0))</f>
        <v>0</v>
      </c>
      <c r="W15" s="24">
        <f ca="1">SUMPRODUCT((Март[№]=3)*Март[19],OFFSET(Март[Периодичность],-2,0))</f>
        <v>0</v>
      </c>
      <c r="X15" s="24">
        <f ca="1">SUMPRODUCT((Март[№]=3)*Март[20],OFFSET(Март[Периодичность],-2,0))</f>
        <v>0</v>
      </c>
      <c r="Y15" s="24">
        <f ca="1">SUMPRODUCT((Март[№]=3)*Март[21],OFFSET(Март[Периодичность],-2,0))</f>
        <v>0</v>
      </c>
      <c r="Z15" s="24">
        <f ca="1">SUMPRODUCT((Март[№]=3)*Март[22],OFFSET(Март[Периодичность],-2,0))</f>
        <v>0</v>
      </c>
      <c r="AA15" s="24">
        <f ca="1">SUMPRODUCT((Март[№]=3)*Март[23],OFFSET(Март[Периодичность],-2,0))</f>
        <v>0</v>
      </c>
      <c r="AB15" s="24">
        <f ca="1">SUMPRODUCT((Март[№]=3)*Март[24],OFFSET(Март[Периодичность],-2,0))</f>
        <v>0</v>
      </c>
      <c r="AC15" s="24">
        <f ca="1">SUMPRODUCT((Март[№]=3)*Март[25],OFFSET(Март[Периодичность],-2,0))</f>
        <v>0</v>
      </c>
      <c r="AD15" s="24">
        <f ca="1">SUMPRODUCT((Март[№]=3)*Март[26],OFFSET(Март[Периодичность],-2,0))</f>
        <v>0</v>
      </c>
      <c r="AE15" s="24">
        <f ca="1">SUMPRODUCT((Март[№]=3)*Март[27],OFFSET(Март[Периодичность],-2,0))</f>
        <v>0</v>
      </c>
      <c r="AF15" s="24">
        <f ca="1">SUMPRODUCT((Март[№]=3)*Март[28],OFFSET(Март[Периодичность],-2,0))</f>
        <v>0</v>
      </c>
      <c r="AG15" s="24">
        <f ca="1">SUMPRODUCT((Март[№]=3)*Март[29],OFFSET(Март[Периодичность],-2,0))</f>
        <v>0</v>
      </c>
      <c r="AH15" s="24">
        <f ca="1">SUMPRODUCT((Март[№]=3)*Март[30],OFFSET(Март[Периодичность],-2,0))</f>
        <v>0</v>
      </c>
      <c r="AI15" s="24">
        <f ca="1">SUMPRODUCT((Март[№]=3)*Март[31],OFFSET(Март[Периодичность],-2,0))</f>
        <v>0</v>
      </c>
      <c r="AK15" s="10"/>
    </row>
    <row r="16" spans="1:38" ht="22.5" customHeight="1" x14ac:dyDescent="0.25">
      <c r="B16" s="3">
        <f ca="1">SUMPRODUCT((Настройки!$G$23:$AK$23=4)*E16:AI16)</f>
        <v>0</v>
      </c>
      <c r="D16" s="5"/>
      <c r="E16" s="24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I16" s="24">
        <f ca="1">SUM(AI13:AI15)</f>
        <v>0</v>
      </c>
      <c r="AK16" s="10"/>
    </row>
    <row r="17" spans="1:37" ht="22.5" customHeight="1" x14ac:dyDescent="0.25">
      <c r="B17" s="3">
        <f ca="1">SUMPRODUCT((Настройки!$G$23:$AK$23=5)*E16:AI16)</f>
        <v>0</v>
      </c>
      <c r="C17" s="5">
        <f ca="1">МартИтоги[[#This Row],[№]]*60</f>
        <v>0</v>
      </c>
      <c r="D17" s="7">
        <f ca="1">SUM(МартИтоги[[#This Row],[1]:[31]])</f>
        <v>0</v>
      </c>
      <c r="E17" s="25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25">
        <f ca="1">AI16/60</f>
        <v>0</v>
      </c>
      <c r="AJ17" s="5">
        <f ca="1">SUM(Март[УСЛУГ])</f>
        <v>0</v>
      </c>
      <c r="AK17" s="16">
        <f ca="1">SUM(Март[МИНУТ])</f>
        <v>0</v>
      </c>
    </row>
    <row r="18" spans="1:37" ht="22.5" customHeight="1" x14ac:dyDescent="0.25">
      <c r="B18" s="14">
        <f ca="1">SUMPRODUCT((Настройки!$G$23:$AK$23=6)*E16:AI16)</f>
        <v>0</v>
      </c>
      <c r="C18" s="14"/>
      <c r="D18" s="7"/>
      <c r="E18" s="47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47"/>
      <c r="AJ18" s="14"/>
      <c r="AK18" s="46"/>
    </row>
    <row r="19" spans="1:37" ht="20.25" customHeight="1" x14ac:dyDescent="0.25"/>
    <row r="20" spans="1:37" ht="22.5" customHeight="1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9"/>
      <c r="AJ20" s="53" t="s">
        <v>64</v>
      </c>
      <c r="AK20" s="54" t="s">
        <v>64</v>
      </c>
    </row>
    <row r="21" spans="1:37" ht="18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9"/>
      <c r="AJ21" s="53"/>
      <c r="AK21" s="55"/>
    </row>
    <row r="22" spans="1:37" ht="21.75" customHeight="1" x14ac:dyDescent="0.25">
      <c r="A22" s="63"/>
      <c r="B22" s="63"/>
      <c r="C22" s="64"/>
      <c r="D22" s="66"/>
      <c r="E22" s="21">
        <f>Настройки!G9</f>
        <v>45352</v>
      </c>
      <c r="F22" s="21">
        <f>Настройки!H9</f>
        <v>45353</v>
      </c>
      <c r="G22" s="21">
        <f>Настройки!I9</f>
        <v>45354</v>
      </c>
      <c r="H22" s="21">
        <f>Настройки!J9</f>
        <v>45355</v>
      </c>
      <c r="I22" s="21">
        <f>Настройки!K9</f>
        <v>45356</v>
      </c>
      <c r="J22" s="21">
        <f>Настройки!L9</f>
        <v>45357</v>
      </c>
      <c r="K22" s="21">
        <f>Настройки!M9</f>
        <v>45358</v>
      </c>
      <c r="L22" s="21">
        <f>Настройки!N9</f>
        <v>45359</v>
      </c>
      <c r="M22" s="21">
        <f>Настройки!O9</f>
        <v>45360</v>
      </c>
      <c r="N22" s="21">
        <f>Настройки!P9</f>
        <v>45361</v>
      </c>
      <c r="O22" s="21">
        <f>Настройки!Q9</f>
        <v>45362</v>
      </c>
      <c r="P22" s="21">
        <f>Настройки!R9</f>
        <v>45363</v>
      </c>
      <c r="Q22" s="21">
        <f>Настройки!S9</f>
        <v>45364</v>
      </c>
      <c r="R22" s="21">
        <f>Настройки!T9</f>
        <v>45365</v>
      </c>
      <c r="S22" s="21">
        <f>Настройки!U9</f>
        <v>45366</v>
      </c>
      <c r="T22" s="21">
        <f>Настройки!V9</f>
        <v>45367</v>
      </c>
      <c r="U22" s="21">
        <f>Настройки!W9</f>
        <v>45368</v>
      </c>
      <c r="V22" s="21">
        <f>Настройки!X9</f>
        <v>45369</v>
      </c>
      <c r="W22" s="21">
        <f>Настройки!Y9</f>
        <v>45370</v>
      </c>
      <c r="X22" s="21">
        <f>Настройки!Z9</f>
        <v>45371</v>
      </c>
      <c r="Y22" s="21">
        <f>Настройки!AA9</f>
        <v>45372</v>
      </c>
      <c r="Z22" s="21">
        <f>Настройки!AB9</f>
        <v>45373</v>
      </c>
      <c r="AA22" s="21">
        <f>Настройки!AC9</f>
        <v>45374</v>
      </c>
      <c r="AB22" s="21">
        <f>Настройки!AD9</f>
        <v>45375</v>
      </c>
      <c r="AC22" s="21">
        <f>Настройки!AE9</f>
        <v>45376</v>
      </c>
      <c r="AD22" s="21">
        <f>Настройки!AF9</f>
        <v>45377</v>
      </c>
      <c r="AE22" s="21">
        <f>Настройки!AG9</f>
        <v>45378</v>
      </c>
      <c r="AF22" s="21">
        <f>Настройки!AH9</f>
        <v>45379</v>
      </c>
      <c r="AG22" s="21">
        <f>Настройки!AI9</f>
        <v>45380</v>
      </c>
      <c r="AH22" s="21">
        <f>Настройки!AJ9</f>
        <v>45381</v>
      </c>
      <c r="AI22" s="21">
        <f>Настройки!AK9</f>
        <v>45382</v>
      </c>
      <c r="AJ22" s="53"/>
      <c r="AK22" s="55"/>
    </row>
    <row r="23" spans="1:37" x14ac:dyDescent="0.25">
      <c r="A23" s="63"/>
      <c r="B23" s="63"/>
      <c r="C23" s="64"/>
      <c r="D23" s="66"/>
      <c r="E23" s="63" t="s">
        <v>54</v>
      </c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70"/>
      <c r="AJ23" s="53"/>
      <c r="AK23" s="55"/>
    </row>
    <row r="24" spans="1:37" x14ac:dyDescent="0.25">
      <c r="A24" s="63"/>
      <c r="B24" s="63"/>
      <c r="C24" s="64"/>
      <c r="D24" s="66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70"/>
      <c r="AJ24" s="53"/>
      <c r="AK24" s="56"/>
    </row>
    <row r="25" spans="1:37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IF(Март[[#This Row],[№]]=1,SUM(Март[[#This Row],[1]:[31]])+SUM(OFFSET(Март[[#This Row],[1]:[31]],1,0))+SUM(OFFSET(Март[[#This Row],[1]:[31]],2,0)),"")</f>
        <v>0</v>
      </c>
      <c r="AK26" s="5">
        <f ca="1">IF(Март[[#This Row],[УСЛУГ]]&lt;&gt;"",Март[[#This Row],[УСЛУГ]]*Март[[#This Row],[Периодичность]],"")</f>
        <v>0</v>
      </c>
    </row>
    <row r="27" spans="1:37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IF(Март[[#This Row],[№]]=1,SUM(Март[[#This Row],[1]:[31]])+SUM(OFFSET(Март[[#This Row],[1]:[31]],1,0))+SUM(OFFSET(Март[[#This Row],[1]:[31]],2,0)),"")</f>
        <v/>
      </c>
      <c r="AK27" s="5" t="str">
        <f ca="1">IF(Март[[#This Row],[УСЛУГ]]&lt;&gt;"",Март[[#This Row],[УСЛУГ]]*Март[[#This Row],[Периодичность]],"")</f>
        <v/>
      </c>
    </row>
    <row r="28" spans="1:37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IF(Март[[#This Row],[№]]=1,SUM(Март[[#This Row],[1]:[31]])+SUM(OFFSET(Март[[#This Row],[1]:[31]],1,0))+SUM(OFFSET(Март[[#This Row],[1]:[31]],2,0)),"")</f>
        <v/>
      </c>
      <c r="AK28" s="5" t="str">
        <f ca="1">IF(Март[[#This Row],[УСЛУГ]]&lt;&gt;"",Март[[#This Row],[УСЛУГ]]*Март[[#This Row],[Периодичность]],"")</f>
        <v/>
      </c>
    </row>
  </sheetData>
  <mergeCells count="20"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  <mergeCell ref="A2:AJ2"/>
    <mergeCell ref="A3:AJ3"/>
    <mergeCell ref="J4:L4"/>
    <mergeCell ref="M4:U4"/>
    <mergeCell ref="M5:Q5"/>
  </mergeCells>
  <conditionalFormatting sqref="E9:AI9">
    <cfRule type="expression" dxfId="1091" priority="2">
      <formula>WEEKDAY(E9:AI9,2)&gt;5</formula>
    </cfRule>
  </conditionalFormatting>
  <conditionalFormatting sqref="E22:AI22">
    <cfRule type="expression" dxfId="1090" priority="1">
      <formula>WEEKDAY(E22:AI22,2)&gt;5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AI13:AK13 B13:B18 E16:E17 AI16:AK17 AJ14:AK14 AJ15:AK15 E14:AI15" calculatedColumn="1"/>
  </ignoredErrors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  <pageSetUpPr fitToPage="1"/>
  </sheetPr>
  <dimension ref="A2:AF36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126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Настройки!G9</f>
        <v>45352</v>
      </c>
      <c r="C10" s="30">
        <f>Настройки!H9</f>
        <v>45353</v>
      </c>
      <c r="D10" s="30">
        <f>Настройки!I9</f>
        <v>45354</v>
      </c>
      <c r="E10" s="30">
        <f>Настройки!J9</f>
        <v>45355</v>
      </c>
      <c r="F10" s="30">
        <f>Настройки!K9</f>
        <v>45356</v>
      </c>
      <c r="G10" s="30">
        <f>Настройки!L9</f>
        <v>45357</v>
      </c>
      <c r="H10" s="30">
        <f>Настройки!M9</f>
        <v>45358</v>
      </c>
      <c r="I10" s="30">
        <f>Настройки!N9</f>
        <v>45359</v>
      </c>
      <c r="J10" s="30">
        <f>Настройки!O9</f>
        <v>45360</v>
      </c>
      <c r="K10" s="30">
        <f>Настройки!P9</f>
        <v>45361</v>
      </c>
      <c r="L10" s="30">
        <f>Настройки!Q9</f>
        <v>45362</v>
      </c>
      <c r="M10" s="30">
        <f>Настройки!R9</f>
        <v>45363</v>
      </c>
      <c r="N10" s="30">
        <f>Настройки!S9</f>
        <v>45364</v>
      </c>
      <c r="O10" s="30">
        <f>Настройки!T9</f>
        <v>45365</v>
      </c>
      <c r="P10" s="30">
        <f>Настройки!U9</f>
        <v>45366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IF(Настройки!J2&lt;&gt;"",TEXT(Настройки!J2,"ч:мм")&amp;"-"&amp;TEXT(Настройки!J2+TIME(0,MAX(Март!E13:AI13),0),"ч:мм"),"")</f>
        <v>9:00-9:00</v>
      </c>
      <c r="B14" s="31" t="str">
        <f>IF(TEXT(Настройки!$J2+TIME(0,Март!E13,0),"ч::мм")=TEXT(Настройки!$J2,"ч:мм"),"",TEXT(Настройки!$J2,"ч:мм")&amp;"-"&amp;TEXT(Настройки!$J2+TIME(0,Март!E13,0),"ч::мм"))</f>
        <v/>
      </c>
      <c r="C14" s="31" t="str">
        <f>IF(TEXT(Настройки!$J2+TIME(0,Март!F13,0),"ч::мм")=TEXT(Настройки!$J2,"ч:мм"),"",TEXT(Настройки!$J2,"ч:мм")&amp;"-"&amp;TEXT(Настройки!$J2+TIME(0,Март!F13,0),"ч::мм"))</f>
        <v/>
      </c>
      <c r="D14" s="31" t="str">
        <f>IF(TEXT(Настройки!$J2+TIME(0,Март!G13,0),"ч::мм")=TEXT(Настройки!$J2,"ч:мм"),"",TEXT(Настройки!$J2,"ч:мм")&amp;"-"&amp;TEXT(Настройки!$J2+TIME(0,Март!G13,0),"ч::мм"))</f>
        <v/>
      </c>
      <c r="E14" s="31" t="str">
        <f>IF(TEXT(Настройки!$J2+TIME(0,Март!H13,0),"ч::мм")=TEXT(Настройки!$J2,"ч:мм"),"",TEXT(Настройки!$J2,"ч:мм")&amp;"-"&amp;TEXT(Настройки!$J2+TIME(0,Март!H13,0),"ч::мм"))</f>
        <v/>
      </c>
      <c r="F14" s="31" t="str">
        <f>IF(TEXT(Настройки!$J2+TIME(0,Март!I13,0),"ч::мм")=TEXT(Настройки!$J2,"ч:мм"),"",TEXT(Настройки!$J2,"ч:мм")&amp;"-"&amp;TEXT(Настройки!$J2+TIME(0,Март!I13,0),"ч::мм"))</f>
        <v/>
      </c>
      <c r="G14" s="31" t="str">
        <f>IF(TEXT(Настройки!$J2+TIME(0,Март!J13,0),"ч::мм")=TEXT(Настройки!$J2,"ч:мм"),"",TEXT(Настройки!$J2,"ч:мм")&amp;"-"&amp;TEXT(Настройки!$J2+TIME(0,Март!J13,0),"ч::мм"))</f>
        <v/>
      </c>
      <c r="H14" s="31" t="str">
        <f>IF(TEXT(Настройки!$J2+TIME(0,Март!K13,0),"ч::мм")=TEXT(Настройки!$J2,"ч:мм"),"",TEXT(Настройки!$J2,"ч:мм")&amp;"-"&amp;TEXT(Настройки!$J2+TIME(0,Март!K13,0),"ч::мм"))</f>
        <v/>
      </c>
      <c r="I14" s="31" t="str">
        <f>IF(TEXT(Настройки!$J2+TIME(0,Март!L13,0),"ч::мм")=TEXT(Настройки!$J2,"ч:мм"),"",TEXT(Настройки!$J2,"ч:мм")&amp;"-"&amp;TEXT(Настройки!$J2+TIME(0,Март!L13,0),"ч::мм"))</f>
        <v/>
      </c>
      <c r="J14" s="31" t="str">
        <f>IF(TEXT(Настройки!$J2+TIME(0,Март!M13,0),"ч::мм")=TEXT(Настройки!$J2,"ч:мм"),"",TEXT(Настройки!$J2,"ч:мм")&amp;"-"&amp;TEXT(Настройки!$J2+TIME(0,Март!M13,0),"ч::мм"))</f>
        <v/>
      </c>
      <c r="K14" s="31" t="str">
        <f>IF(TEXT(Настройки!$J2+TIME(0,Март!N13,0),"ч::мм")=TEXT(Настройки!$J2,"ч:мм"),"",TEXT(Настройки!$J2,"ч:мм")&amp;"-"&amp;TEXT(Настройки!$J2+TIME(0,Март!N13,0),"ч::мм"))</f>
        <v/>
      </c>
      <c r="L14" s="31" t="str">
        <f>IF(TEXT(Настройки!$J2+TIME(0,Март!O13,0),"ч::мм")=TEXT(Настройки!$J2,"ч:мм"),"",TEXT(Настройки!$J2,"ч:мм")&amp;"-"&amp;TEXT(Настройки!$J2+TIME(0,Март!O13,0),"ч::мм"))</f>
        <v/>
      </c>
      <c r="M14" s="31" t="str">
        <f>IF(TEXT(Настройки!$J2+TIME(0,Март!P13,0),"ч::мм")=TEXT(Настройки!$J2,"ч:мм"),"",TEXT(Настройки!$J2,"ч:мм")&amp;"-"&amp;TEXT(Настройки!$J2+TIME(0,Март!P13,0),"ч::мм"))</f>
        <v/>
      </c>
      <c r="N14" s="31" t="str">
        <f>IF(TEXT(Настройки!$J2+TIME(0,Март!Q13,0),"ч::мм")=TEXT(Настройки!$J2,"ч:мм"),"",TEXT(Настройки!$J2,"ч:мм")&amp;"-"&amp;TEXT(Настройки!$J2+TIME(0,Март!Q13,0),"ч::мм"))</f>
        <v/>
      </c>
      <c r="O14" s="31" t="str">
        <f>IF(TEXT(Настройки!$J2+TIME(0,Март!R13,0),"ч::мм")=TEXT(Настройки!$J2,"ч:мм"),"",TEXT(Настройки!$J2,"ч:мм")&amp;"-"&amp;TEXT(Настройки!$J2+TIME(0,Март!R13,0),"ч::мм"))</f>
        <v/>
      </c>
      <c r="P14" s="31" t="str">
        <f>IF(TEXT(Настройки!$J2+TIME(0,Март!S13,0),"ч::мм")=TEXT(Настройки!$J2,"ч:мм"),"",TEXT(Настройки!$J2,"ч:мм")&amp;"-"&amp;TEXT(Настройки!$J2+TIME(0,Март!S13,0),"ч::мм"))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IF(Настройки!J3&lt;&gt;"",TEXT(Настройки!J3,"ч:мм")&amp;"-"&amp;TEXT(Настройки!J3+TIME(0,MAX(Март!E14:AI14),0),"ч:мм"),"")</f>
        <v>13:00-13:00</v>
      </c>
      <c r="B15" s="31" t="str">
        <f ca="1">IF(TEXT(Настройки!$J3+TIME(0,Март!E14,0),"ч::мм")=TEXT(Настройки!$J3,"ч:мм"),"",TEXT(Настройки!$J3,"ч:мм")&amp;"-"&amp;TEXT(Настройки!$J3+TIME(0,Март!E14,0),"ч::мм"))</f>
        <v/>
      </c>
      <c r="C15" s="31" t="str">
        <f ca="1">IF(TEXT(Настройки!$J3+TIME(0,Март!F14,0),"ч::мм")=TEXT(Настройки!$J3,"ч:мм"),"",TEXT(Настройки!$J3,"ч:мм")&amp;"-"&amp;TEXT(Настройки!$J3+TIME(0,Март!F14,0),"ч::мм"))</f>
        <v/>
      </c>
      <c r="D15" s="31" t="str">
        <f ca="1">IF(TEXT(Настройки!$J3+TIME(0,Март!G14,0),"ч::мм")=TEXT(Настройки!$J3,"ч:мм"),"",TEXT(Настройки!$J3,"ч:мм")&amp;"-"&amp;TEXT(Настройки!$J3+TIME(0,Март!G14,0),"ч::мм"))</f>
        <v/>
      </c>
      <c r="E15" s="31" t="str">
        <f ca="1">IF(TEXT(Настройки!$J3+TIME(0,Март!H14,0),"ч::мм")=TEXT(Настройки!$J3,"ч:мм"),"",TEXT(Настройки!$J3,"ч:мм")&amp;"-"&amp;TEXT(Настройки!$J3+TIME(0,Март!H14,0),"ч::мм"))</f>
        <v/>
      </c>
      <c r="F15" s="31" t="str">
        <f ca="1">IF(TEXT(Настройки!$J3+TIME(0,Март!I14,0),"ч::мм")=TEXT(Настройки!$J3,"ч:мм"),"",TEXT(Настройки!$J3,"ч:мм")&amp;"-"&amp;TEXT(Настройки!$J3+TIME(0,Март!I14,0),"ч::мм"))</f>
        <v/>
      </c>
      <c r="G15" s="31" t="str">
        <f ca="1">IF(TEXT(Настройки!$J3+TIME(0,Март!J14,0),"ч::мм")=TEXT(Настройки!$J3,"ч:мм"),"",TEXT(Настройки!$J3,"ч:мм")&amp;"-"&amp;TEXT(Настройки!$J3+TIME(0,Март!J14,0),"ч::мм"))</f>
        <v/>
      </c>
      <c r="H15" s="31" t="str">
        <f ca="1">IF(TEXT(Настройки!$J3+TIME(0,Март!K14,0),"ч::мм")=TEXT(Настройки!$J3,"ч:мм"),"",TEXT(Настройки!$J3,"ч:мм")&amp;"-"&amp;TEXT(Настройки!$J3+TIME(0,Март!K14,0),"ч::мм"))</f>
        <v/>
      </c>
      <c r="I15" s="31" t="str">
        <f ca="1">IF(TEXT(Настройки!$J3+TIME(0,Март!L14,0),"ч::мм")=TEXT(Настройки!$J3,"ч:мм"),"",TEXT(Настройки!$J3,"ч:мм")&amp;"-"&amp;TEXT(Настройки!$J3+TIME(0,Март!L14,0),"ч::мм"))</f>
        <v/>
      </c>
      <c r="J15" s="31" t="str">
        <f ca="1">IF(TEXT(Настройки!$J3+TIME(0,Март!M14,0),"ч::мм")=TEXT(Настройки!$J3,"ч:мм"),"",TEXT(Настройки!$J3,"ч:мм")&amp;"-"&amp;TEXT(Настройки!$J3+TIME(0,Март!M14,0),"ч::мм"))</f>
        <v/>
      </c>
      <c r="K15" s="31" t="str">
        <f ca="1">IF(TEXT(Настройки!$J3+TIME(0,Март!N14,0),"ч::мм")=TEXT(Настройки!$J3,"ч:мм"),"",TEXT(Настройки!$J3,"ч:мм")&amp;"-"&amp;TEXT(Настройки!$J3+TIME(0,Март!N14,0),"ч::мм"))</f>
        <v/>
      </c>
      <c r="L15" s="31" t="str">
        <f ca="1">IF(TEXT(Настройки!$J3+TIME(0,Март!O14,0),"ч::мм")=TEXT(Настройки!$J3,"ч:мм"),"",TEXT(Настройки!$J3,"ч:мм")&amp;"-"&amp;TEXT(Настройки!$J3+TIME(0,Март!O14,0),"ч::мм"))</f>
        <v/>
      </c>
      <c r="M15" s="31" t="str">
        <f ca="1">IF(TEXT(Настройки!$J3+TIME(0,Март!P14,0),"ч::мм")=TEXT(Настройки!$J3,"ч:мм"),"",TEXT(Настройки!$J3,"ч:мм")&amp;"-"&amp;TEXT(Настройки!$J3+TIME(0,Март!P14,0),"ч::мм"))</f>
        <v/>
      </c>
      <c r="N15" s="31" t="str">
        <f ca="1">IF(TEXT(Настройки!$J3+TIME(0,Март!Q14,0),"ч::мм")=TEXT(Настройки!$J3,"ч:мм"),"",TEXT(Настройки!$J3,"ч:мм")&amp;"-"&amp;TEXT(Настройки!$J3+TIME(0,Март!Q14,0),"ч::мм"))</f>
        <v/>
      </c>
      <c r="O15" s="31" t="str">
        <f ca="1">IF(TEXT(Настройки!$J3+TIME(0,Март!R14,0),"ч::мм")=TEXT(Настройки!$J3,"ч:мм"),"",TEXT(Настройки!$J3,"ч:мм")&amp;"-"&amp;TEXT(Настройки!$J3+TIME(0,Март!R14,0),"ч::мм"))</f>
        <v/>
      </c>
      <c r="P15" s="31" t="str">
        <f ca="1">IF(TEXT(Настройки!$J3+TIME(0,Март!S14,0),"ч::мм")=TEXT(Настройки!$J3,"ч:мм"),"",TEXT(Настройки!$J3,"ч:мм")&amp;"-"&amp;TEXT(Настройки!$J3+TIME(0,Март!S14,0),"ч::мм"))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IF(Настройки!J4&lt;&gt;"",TEXT(Настройки!J4,"ч:мм")&amp;"-"&amp;TEXT(Настройки!J4+TIME(0,MAX(Март!E15:AI15),0),"ч:мм"),"")</f>
        <v>16:00-16:00</v>
      </c>
      <c r="B16" s="31" t="str">
        <f ca="1">IF(TEXT(Настройки!$J4+TIME(0,Март!E15,0),"ч::мм")=TEXT(Настройки!$J4,"ч:мм"),"",TEXT(Настройки!$J4,"ч:мм")&amp;"-"&amp;TEXT(Настройки!$J4+TIME(0,Март!E15,0),"ч::мм"))</f>
        <v/>
      </c>
      <c r="C16" s="31" t="str">
        <f ca="1">IF(TEXT(Настройки!$J4+TIME(0,Март!F15,0),"ч::мм")=TEXT(Настройки!$J4,"ч:мм"),"",TEXT(Настройки!$J4,"ч:мм")&amp;"-"&amp;TEXT(Настройки!$J4+TIME(0,Март!F15,0),"ч::мм"))</f>
        <v/>
      </c>
      <c r="D16" s="31" t="str">
        <f ca="1">IF(TEXT(Настройки!$J4+TIME(0,Март!G15,0),"ч::мм")=TEXT(Настройки!$J4,"ч:мм"),"",TEXT(Настройки!$J4,"ч:мм")&amp;"-"&amp;TEXT(Настройки!$J4+TIME(0,Март!G15,0),"ч::мм"))</f>
        <v/>
      </c>
      <c r="E16" s="31" t="str">
        <f ca="1">IF(TEXT(Настройки!$J4+TIME(0,Март!H15,0),"ч::мм")=TEXT(Настройки!$J4,"ч:мм"),"",TEXT(Настройки!$J4,"ч:мм")&amp;"-"&amp;TEXT(Настройки!$J4+TIME(0,Март!H15,0),"ч::мм"))</f>
        <v/>
      </c>
      <c r="F16" s="31" t="str">
        <f ca="1">IF(TEXT(Настройки!$J4+TIME(0,Март!I15,0),"ч::мм")=TEXT(Настройки!$J4,"ч:мм"),"",TEXT(Настройки!$J4,"ч:мм")&amp;"-"&amp;TEXT(Настройки!$J4+TIME(0,Март!I15,0),"ч::мм"))</f>
        <v/>
      </c>
      <c r="G16" s="31" t="str">
        <f ca="1">IF(TEXT(Настройки!$J4+TIME(0,Март!J15,0),"ч::мм")=TEXT(Настройки!$J4,"ч:мм"),"",TEXT(Настройки!$J4,"ч:мм")&amp;"-"&amp;TEXT(Настройки!$J4+TIME(0,Март!J15,0),"ч::мм"))</f>
        <v/>
      </c>
      <c r="H16" s="31" t="str">
        <f ca="1">IF(TEXT(Настройки!$J4+TIME(0,Март!K15,0),"ч::мм")=TEXT(Настройки!$J4,"ч:мм"),"",TEXT(Настройки!$J4,"ч:мм")&amp;"-"&amp;TEXT(Настройки!$J4+TIME(0,Март!K15,0),"ч::мм"))</f>
        <v/>
      </c>
      <c r="I16" s="31" t="str">
        <f ca="1">IF(TEXT(Настройки!$J4+TIME(0,Март!L15,0),"ч::мм")=TEXT(Настройки!$J4,"ч:мм"),"",TEXT(Настройки!$J4,"ч:мм")&amp;"-"&amp;TEXT(Настройки!$J4+TIME(0,Март!L15,0),"ч::мм"))</f>
        <v/>
      </c>
      <c r="J16" s="31" t="str">
        <f ca="1">IF(TEXT(Настройки!$J4+TIME(0,Март!M15,0),"ч::мм")=TEXT(Настройки!$J4,"ч:мм"),"",TEXT(Настройки!$J4,"ч:мм")&amp;"-"&amp;TEXT(Настройки!$J4+TIME(0,Март!M15,0),"ч::мм"))</f>
        <v/>
      </c>
      <c r="K16" s="31" t="str">
        <f ca="1">IF(TEXT(Настройки!$J4+TIME(0,Март!N15,0),"ч::мм")=TEXT(Настройки!$J4,"ч:мм"),"",TEXT(Настройки!$J4,"ч:мм")&amp;"-"&amp;TEXT(Настройки!$J4+TIME(0,Март!N15,0),"ч::мм"))</f>
        <v/>
      </c>
      <c r="L16" s="31" t="str">
        <f ca="1">IF(TEXT(Настройки!$J4+TIME(0,Март!O15,0),"ч::мм")=TEXT(Настройки!$J4,"ч:мм"),"",TEXT(Настройки!$J4,"ч:мм")&amp;"-"&amp;TEXT(Настройки!$J4+TIME(0,Март!O15,0),"ч::мм"))</f>
        <v/>
      </c>
      <c r="M16" s="31" t="str">
        <f ca="1">IF(TEXT(Настройки!$J4+TIME(0,Март!P15,0),"ч::мм")=TEXT(Настройки!$J4,"ч:мм"),"",TEXT(Настройки!$J4,"ч:мм")&amp;"-"&amp;TEXT(Настройки!$J4+TIME(0,Март!P15,0),"ч::мм"))</f>
        <v/>
      </c>
      <c r="N16" s="31" t="str">
        <f ca="1">IF(TEXT(Настройки!$J4+TIME(0,Март!Q15,0),"ч::мм")=TEXT(Настройки!$J4,"ч:мм"),"",TEXT(Настройки!$J4,"ч:мм")&amp;"-"&amp;TEXT(Настройки!$J4+TIME(0,Март!Q15,0),"ч::мм"))</f>
        <v/>
      </c>
      <c r="O16" s="31" t="str">
        <f ca="1">IF(TEXT(Настройки!$J4+TIME(0,Март!R15,0),"ч::мм")=TEXT(Настройки!$J4,"ч:мм"),"",TEXT(Настройки!$J4,"ч:мм")&amp;"-"&amp;TEXT(Настройки!$J4+TIME(0,Март!R15,0),"ч::мм"))</f>
        <v/>
      </c>
      <c r="P16" s="31" t="str">
        <f ca="1">IF(TEXT(Настройки!$J4+TIME(0,Март!S15,0),"ч::мм")=TEXT(Настройки!$J4,"ч:мм"),"",TEXT(Настройки!$J4,"ч:мм")&amp;"-"&amp;TEXT(Настройки!$J4+TIME(0,Март!S15,0),"ч::мм"))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Настройки!V9</f>
        <v>45367</v>
      </c>
      <c r="C20" s="30">
        <f>Настройки!W9</f>
        <v>45368</v>
      </c>
      <c r="D20" s="30">
        <f>Настройки!X9</f>
        <v>45369</v>
      </c>
      <c r="E20" s="30">
        <f>Настройки!Y9</f>
        <v>45370</v>
      </c>
      <c r="F20" s="30">
        <f>Настройки!Z9</f>
        <v>45371</v>
      </c>
      <c r="G20" s="30">
        <f>Настройки!AA9</f>
        <v>45372</v>
      </c>
      <c r="H20" s="30">
        <f>Настройки!AB9</f>
        <v>45373</v>
      </c>
      <c r="I20" s="30">
        <f>Настройки!AC9</f>
        <v>45374</v>
      </c>
      <c r="J20" s="30">
        <f>Настройки!AD9</f>
        <v>45375</v>
      </c>
      <c r="K20" s="30">
        <f>Настройки!AE9</f>
        <v>45376</v>
      </c>
      <c r="L20" s="30">
        <f>Настройки!AF9</f>
        <v>45377</v>
      </c>
      <c r="M20" s="30">
        <f>Настройки!AG9</f>
        <v>45378</v>
      </c>
      <c r="N20" s="30">
        <f>Настройки!AH9</f>
        <v>45379</v>
      </c>
      <c r="O20" s="30">
        <f>Настройки!AI9</f>
        <v>45380</v>
      </c>
      <c r="P20" s="30">
        <f>Настройки!AJ9</f>
        <v>45381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IF(TEXT(Настройки!$J2+TIME(0,Март!T13,0),"ч::мм")=TEXT(Настройки!$J2,"ч:мм"),"",TEXT(Настройки!$J2,"ч:мм")&amp;"-"&amp;TEXT(Настройки!$J2+TIME(0,Март!T13,0),"ч::мм"))</f>
        <v/>
      </c>
      <c r="C24" s="3" t="str">
        <f>IF(TEXT(Настройки!$J2+TIME(0,Март!U13,0),"ч::мм")=TEXT(Настройки!$J2,"ч:мм"),"",TEXT(Настройки!$J2,"ч:мм")&amp;"-"&amp;TEXT(Настройки!$J2+TIME(0,Март!U13,0),"ч::мм"))</f>
        <v/>
      </c>
      <c r="D24" s="3" t="str">
        <f>IF(TEXT(Настройки!$J2+TIME(0,Март!V13,0),"ч::мм")=TEXT(Настройки!$J2,"ч:мм"),"",TEXT(Настройки!$J2,"ч:мм")&amp;"-"&amp;TEXT(Настройки!$J2+TIME(0,Март!V13,0),"ч::мм"))</f>
        <v/>
      </c>
      <c r="E24" s="3" t="str">
        <f>IF(TEXT(Настройки!$J2+TIME(0,Март!W13,0),"ч::мм")=TEXT(Настройки!$J2,"ч:мм"),"",TEXT(Настройки!$J2,"ч:мм")&amp;"-"&amp;TEXT(Настройки!$J2+TIME(0,Март!W13,0),"ч::мм"))</f>
        <v/>
      </c>
      <c r="F24" s="3" t="str">
        <f>IF(TEXT(Настройки!$J2+TIME(0,Март!X13,0),"ч::мм")=TEXT(Настройки!$J2,"ч:мм"),"",TEXT(Настройки!$J2,"ч:мм")&amp;"-"&amp;TEXT(Настройки!$J2+TIME(0,Март!X13,0),"ч::мм"))</f>
        <v/>
      </c>
      <c r="G24" s="3" t="str">
        <f>IF(TEXT(Настройки!$J2+TIME(0,Март!Y13,0),"ч::мм")=TEXT(Настройки!$J2,"ч:мм"),"",TEXT(Настройки!$J2,"ч:мм")&amp;"-"&amp;TEXT(Настройки!$J2+TIME(0,Март!Y13,0),"ч::мм"))</f>
        <v/>
      </c>
      <c r="H24" s="3" t="str">
        <f>IF(TEXT(Настройки!$J2+TIME(0,Март!Z13,0),"ч::мм")=TEXT(Настройки!$J2,"ч:мм"),"",TEXT(Настройки!$J2,"ч:мм")&amp;"-"&amp;TEXT(Настройки!$J2+TIME(0,Март!Z13,0),"ч::мм"))</f>
        <v/>
      </c>
      <c r="I24" s="3" t="str">
        <f>IF(TEXT(Настройки!$J2+TIME(0,Март!AA13,0),"ч::мм")=TEXT(Настройки!$J2,"ч:мм"),"",TEXT(Настройки!$J2,"ч:мм")&amp;"-"&amp;TEXT(Настройки!$J2+TIME(0,Март!AA13,0),"ч::мм"))</f>
        <v/>
      </c>
      <c r="J24" s="3" t="str">
        <f>IF(TEXT(Настройки!$J2+TIME(0,Март!AB13,0),"ч::мм")=TEXT(Настройки!$J2,"ч:мм"),"",TEXT(Настройки!$J2,"ч:мм")&amp;"-"&amp;TEXT(Настройки!$J2+TIME(0,Март!AB13,0),"ч::мм"))</f>
        <v/>
      </c>
      <c r="K24" s="3" t="str">
        <f>IF(TEXT(Настройки!$J2+TIME(0,Март!AC13,0),"ч::мм")=TEXT(Настройки!$J2,"ч:мм"),"",TEXT(Настройки!$J2,"ч:мм")&amp;"-"&amp;TEXT(Настройки!$J2+TIME(0,Март!AC13,0),"ч::мм"))</f>
        <v/>
      </c>
      <c r="L24" s="3" t="str">
        <f>IF(TEXT(Настройки!$J2+TIME(0,Март!AD13,0),"ч::мм")=TEXT(Настройки!$J2,"ч:мм"),"",TEXT(Настройки!$J2,"ч:мм")&amp;"-"&amp;TEXT(Настройки!$J2+TIME(0,Март!AD13,0),"ч::мм"))</f>
        <v/>
      </c>
      <c r="M24" s="3" t="str">
        <f>IF(TEXT(Настройки!$J2+TIME(0,Март!AE13,0),"ч::мм")=TEXT(Настройки!$J2,"ч:мм"),"",TEXT(Настройки!$J2,"ч:мм")&amp;"-"&amp;TEXT(Настройки!$J2+TIME(0,Март!AE13,0),"ч::мм"))</f>
        <v/>
      </c>
      <c r="N24" s="3" t="str">
        <f>IF(TEXT(Настройки!$J2+TIME(0,Март!AF13,0),"ч::мм")=TEXT(Настройки!$J2,"ч:мм"),"",TEXT(Настройки!$J2,"ч:мм")&amp;"-"&amp;TEXT(Настройки!$J2+TIME(0,Март!AF13,0),"ч::мм"))</f>
        <v/>
      </c>
      <c r="O24" s="3" t="str">
        <f>IF(TEXT(Настройки!$J2+TIME(0,Март!AG13,0),"ч::мм")=TEXT(Настройки!$J2,"ч:мм"),"",TEXT(Настройки!$J2,"ч:мм")&amp;"-"&amp;TEXT(Настройки!$J2+TIME(0,Март!AG13,0),"ч::мм"))</f>
        <v/>
      </c>
      <c r="P24" s="3" t="str">
        <f>IF(TEXT(Настройки!$J2+TIME(0,Март!AH13,0),"ч::мм")=TEXT(Настройки!$J2,"ч:мм"),"",TEXT(Настройки!$J2,"ч:мм")&amp;"-"&amp;TEXT(Настройки!$J2+TIME(0,Март!AH13,0),"ч::мм"))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IF(TEXT(Настройки!$J3+TIME(0,Март!T14,0),"ч::мм")=TEXT(Настройки!$J3,"ч:мм"),"",TEXT(Настройки!$J3,"ч:мм")&amp;"-"&amp;TEXT(Настройки!$J3+TIME(0,Март!T14,0),"ч::мм"))</f>
        <v/>
      </c>
      <c r="C25" s="3" t="str">
        <f ca="1">IF(TEXT(Настройки!$J3+TIME(0,Март!U14,0),"ч::мм")=TEXT(Настройки!$J3,"ч:мм"),"",TEXT(Настройки!$J3,"ч:мм")&amp;"-"&amp;TEXT(Настройки!$J3+TIME(0,Март!U14,0),"ч::мм"))</f>
        <v/>
      </c>
      <c r="D25" s="3" t="str">
        <f ca="1">IF(TEXT(Настройки!$J3+TIME(0,Март!V14,0),"ч::мм")=TEXT(Настройки!$J3,"ч:мм"),"",TEXT(Настройки!$J3,"ч:мм")&amp;"-"&amp;TEXT(Настройки!$J3+TIME(0,Март!V14,0),"ч::мм"))</f>
        <v/>
      </c>
      <c r="E25" s="3" t="str">
        <f ca="1">IF(TEXT(Настройки!$J3+TIME(0,Март!W14,0),"ч::мм")=TEXT(Настройки!$J3,"ч:мм"),"",TEXT(Настройки!$J3,"ч:мм")&amp;"-"&amp;TEXT(Настройки!$J3+TIME(0,Март!W14,0),"ч::мм"))</f>
        <v/>
      </c>
      <c r="F25" s="3" t="str">
        <f ca="1">IF(TEXT(Настройки!$J3+TIME(0,Март!X14,0),"ч::мм")=TEXT(Настройки!$J3,"ч:мм"),"",TEXT(Настройки!$J3,"ч:мм")&amp;"-"&amp;TEXT(Настройки!$J3+TIME(0,Март!X14,0),"ч::мм"))</f>
        <v/>
      </c>
      <c r="G25" s="3" t="str">
        <f ca="1">IF(TEXT(Настройки!$J3+TIME(0,Март!Y14,0),"ч::мм")=TEXT(Настройки!$J3,"ч:мм"),"",TEXT(Настройки!$J3,"ч:мм")&amp;"-"&amp;TEXT(Настройки!$J3+TIME(0,Март!Y14,0),"ч::мм"))</f>
        <v/>
      </c>
      <c r="H25" s="3" t="str">
        <f ca="1">IF(TEXT(Настройки!$J3+TIME(0,Март!Z14,0),"ч::мм")=TEXT(Настройки!$J3,"ч:мм"),"",TEXT(Настройки!$J3,"ч:мм")&amp;"-"&amp;TEXT(Настройки!$J3+TIME(0,Март!Z14,0),"ч::мм"))</f>
        <v/>
      </c>
      <c r="I25" s="3" t="str">
        <f ca="1">IF(TEXT(Настройки!$J3+TIME(0,Март!AA14,0),"ч::мм")=TEXT(Настройки!$J3,"ч:мм"),"",TEXT(Настройки!$J3,"ч:мм")&amp;"-"&amp;TEXT(Настройки!$J3+TIME(0,Март!AA14,0),"ч::мм"))</f>
        <v/>
      </c>
      <c r="J25" s="3" t="str">
        <f ca="1">IF(TEXT(Настройки!$J3+TIME(0,Март!AB14,0),"ч::мм")=TEXT(Настройки!$J3,"ч:мм"),"",TEXT(Настройки!$J3,"ч:мм")&amp;"-"&amp;TEXT(Настройки!$J3+TIME(0,Март!AB14,0),"ч::мм"))</f>
        <v/>
      </c>
      <c r="K25" s="3" t="str">
        <f ca="1">IF(TEXT(Настройки!$J3+TIME(0,Март!AC14,0),"ч::мм")=TEXT(Настройки!$J3,"ч:мм"),"",TEXT(Настройки!$J3,"ч:мм")&amp;"-"&amp;TEXT(Настройки!$J3+TIME(0,Март!AC14,0),"ч::мм"))</f>
        <v/>
      </c>
      <c r="L25" s="3" t="str">
        <f ca="1">IF(TEXT(Настройки!$J3+TIME(0,Март!AD14,0),"ч::мм")=TEXT(Настройки!$J3,"ч:мм"),"",TEXT(Настройки!$J3,"ч:мм")&amp;"-"&amp;TEXT(Настройки!$J3+TIME(0,Март!AD14,0),"ч::мм"))</f>
        <v/>
      </c>
      <c r="M25" s="3" t="str">
        <f ca="1">IF(TEXT(Настройки!$J3+TIME(0,Март!AE14,0),"ч::мм")=TEXT(Настройки!$J3,"ч:мм"),"",TEXT(Настройки!$J3,"ч:мм")&amp;"-"&amp;TEXT(Настройки!$J3+TIME(0,Март!AE14,0),"ч::мм"))</f>
        <v/>
      </c>
      <c r="N25" s="3" t="str">
        <f ca="1">IF(TEXT(Настройки!$J3+TIME(0,Март!AF14,0),"ч::мм")=TEXT(Настройки!$J3,"ч:мм"),"",TEXT(Настройки!$J3,"ч:мм")&amp;"-"&amp;TEXT(Настройки!$J3+TIME(0,Март!AF14,0),"ч::мм"))</f>
        <v/>
      </c>
      <c r="O25" s="3" t="str">
        <f ca="1">IF(TEXT(Настройки!$J3+TIME(0,Март!AG14,0),"ч::мм")=TEXT(Настройки!$J3,"ч:мм"),"",TEXT(Настройки!$J3,"ч:мм")&amp;"-"&amp;TEXT(Настройки!$J3+TIME(0,Март!AG14,0),"ч::мм"))</f>
        <v/>
      </c>
      <c r="P25" s="3" t="str">
        <f ca="1">IF(TEXT(Настройки!$J3+TIME(0,Март!AH14,0),"ч::мм")=TEXT(Настройки!$J3,"ч:мм"),"",TEXT(Настройки!$J3,"ч:мм")&amp;"-"&amp;TEXT(Настройки!$J3+TIME(0,Март!AH14,0),"ч::мм"))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IF(TEXT(Настройки!$J4+TIME(0,Март!T15,0),"ч::мм")=TEXT(Настройки!$J4,"ч:мм"),"",TEXT(Настройки!$J4,"ч:мм")&amp;"-"&amp;TEXT(Настройки!$J4+TIME(0,Март!T15,0),"ч::мм"))</f>
        <v/>
      </c>
      <c r="C26" s="3" t="str">
        <f ca="1">IF(TEXT(Настройки!$J4+TIME(0,Март!U15,0),"ч::мм")=TEXT(Настройки!$J4,"ч:мм"),"",TEXT(Настройки!$J4,"ч:мм")&amp;"-"&amp;TEXT(Настройки!$J4+TIME(0,Март!U15,0),"ч::мм"))</f>
        <v/>
      </c>
      <c r="D26" s="3" t="str">
        <f ca="1">IF(TEXT(Настройки!$J4+TIME(0,Март!V15,0),"ч::мм")=TEXT(Настройки!$J4,"ч:мм"),"",TEXT(Настройки!$J4,"ч:мм")&amp;"-"&amp;TEXT(Настройки!$J4+TIME(0,Март!V15,0),"ч::мм"))</f>
        <v/>
      </c>
      <c r="E26" s="3" t="str">
        <f ca="1">IF(TEXT(Настройки!$J4+TIME(0,Март!W15,0),"ч::мм")=TEXT(Настройки!$J4,"ч:мм"),"",TEXT(Настройки!$J4,"ч:мм")&amp;"-"&amp;TEXT(Настройки!$J4+TIME(0,Март!W15,0),"ч::мм"))</f>
        <v/>
      </c>
      <c r="F26" s="3" t="str">
        <f ca="1">IF(TEXT(Настройки!$J4+TIME(0,Март!X15,0),"ч::мм")=TEXT(Настройки!$J4,"ч:мм"),"",TEXT(Настройки!$J4,"ч:мм")&amp;"-"&amp;TEXT(Настройки!$J4+TIME(0,Март!X15,0),"ч::мм"))</f>
        <v/>
      </c>
      <c r="G26" s="3" t="str">
        <f ca="1">IF(TEXT(Настройки!$J4+TIME(0,Март!Y15,0),"ч::мм")=TEXT(Настройки!$J4,"ч:мм"),"",TEXT(Настройки!$J4,"ч:мм")&amp;"-"&amp;TEXT(Настройки!$J4+TIME(0,Март!Y15,0),"ч::мм"))</f>
        <v/>
      </c>
      <c r="H26" s="3" t="str">
        <f ca="1">IF(TEXT(Настройки!$J4+TIME(0,Март!Z15,0),"ч::мм")=TEXT(Настройки!$J4,"ч:мм"),"",TEXT(Настройки!$J4,"ч:мм")&amp;"-"&amp;TEXT(Настройки!$J4+TIME(0,Март!Z15,0),"ч::мм"))</f>
        <v/>
      </c>
      <c r="I26" s="3" t="str">
        <f ca="1">IF(TEXT(Настройки!$J4+TIME(0,Март!AA15,0),"ч::мм")=TEXT(Настройки!$J4,"ч:мм"),"",TEXT(Настройки!$J4,"ч:мм")&amp;"-"&amp;TEXT(Настройки!$J4+TIME(0,Март!AA15,0),"ч::мм"))</f>
        <v/>
      </c>
      <c r="J26" s="3" t="str">
        <f ca="1">IF(TEXT(Настройки!$J4+TIME(0,Март!AB15,0),"ч::мм")=TEXT(Настройки!$J4,"ч:мм"),"",TEXT(Настройки!$J4,"ч:мм")&amp;"-"&amp;TEXT(Настройки!$J4+TIME(0,Март!AB15,0),"ч::мм"))</f>
        <v/>
      </c>
      <c r="K26" s="3" t="str">
        <f ca="1">IF(TEXT(Настройки!$J4+TIME(0,Март!AC15,0),"ч::мм")=TEXT(Настройки!$J4,"ч:мм"),"",TEXT(Настройки!$J4,"ч:мм")&amp;"-"&amp;TEXT(Настройки!$J4+TIME(0,Март!AC15,0),"ч::мм"))</f>
        <v/>
      </c>
      <c r="L26" s="3" t="str">
        <f ca="1">IF(TEXT(Настройки!$J4+TIME(0,Март!AD15,0),"ч::мм")=TEXT(Настройки!$J4,"ч:мм"),"",TEXT(Настройки!$J4,"ч:мм")&amp;"-"&amp;TEXT(Настройки!$J4+TIME(0,Март!AD15,0),"ч::мм"))</f>
        <v/>
      </c>
      <c r="M26" s="3" t="str">
        <f ca="1">IF(TEXT(Настройки!$J4+TIME(0,Март!AE15,0),"ч::мм")=TEXT(Настройки!$J4,"ч:мм"),"",TEXT(Настройки!$J4,"ч:мм")&amp;"-"&amp;TEXT(Настройки!$J4+TIME(0,Март!AE15,0),"ч::мм"))</f>
        <v/>
      </c>
      <c r="N26" s="3" t="str">
        <f ca="1">IF(TEXT(Настройки!$J4+TIME(0,Март!AF15,0),"ч::мм")=TEXT(Настройки!$J4,"ч:мм"),"",TEXT(Настройки!$J4,"ч:мм")&amp;"-"&amp;TEXT(Настройки!$J4+TIME(0,Март!AF15,0),"ч::мм"))</f>
        <v/>
      </c>
      <c r="O26" s="3" t="str">
        <f ca="1">IF(TEXT(Настройки!$J4+TIME(0,Март!AG15,0),"ч::мм")=TEXT(Настройки!$J4,"ч:мм"),"",TEXT(Настройки!$J4,"ч:мм")&amp;"-"&amp;TEXT(Настройки!$J4+TIME(0,Март!AG15,0),"ч::мм"))</f>
        <v/>
      </c>
      <c r="P26" s="3" t="str">
        <f ca="1">IF(TEXT(Настройки!$J4+TIME(0,Март!AH15,0),"ч::мм")=TEXT(Настройки!$J4,"ч:мм"),"",TEXT(Настройки!$J4,"ч:мм")&amp;"-"&amp;TEXT(Настройки!$J4+TIME(0,Март!AH15,0),"ч::мм"))</f>
        <v/>
      </c>
    </row>
    <row r="27" spans="1:18" x14ac:dyDescent="0.25">
      <c r="Q27" s="10"/>
      <c r="R27" s="10"/>
    </row>
    <row r="28" spans="1:18" x14ac:dyDescent="0.25">
      <c r="A28" s="72"/>
      <c r="B28" s="57" t="s">
        <v>55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2"/>
      <c r="Q28" s="34"/>
      <c r="R28" s="10"/>
    </row>
    <row r="29" spans="1:18" x14ac:dyDescent="0.25">
      <c r="A29" s="79"/>
      <c r="B29" s="83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5"/>
      <c r="Q29" s="34"/>
      <c r="R29" s="10"/>
    </row>
    <row r="30" spans="1:18" x14ac:dyDescent="0.25">
      <c r="A30" s="79"/>
      <c r="B30" s="30">
        <f>Настройки!AK9</f>
        <v>45382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2"/>
      <c r="R30" s="10"/>
    </row>
    <row r="31" spans="1:18" x14ac:dyDescent="0.25">
      <c r="A31" s="79"/>
      <c r="B31" s="57" t="s">
        <v>54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2"/>
      <c r="Q31" s="34"/>
      <c r="R31" s="10"/>
    </row>
    <row r="32" spans="1:18" x14ac:dyDescent="0.25">
      <c r="A32" s="80"/>
      <c r="B32" s="83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5"/>
      <c r="Q32" s="34"/>
      <c r="R32" s="10"/>
    </row>
    <row r="33" spans="1:16" x14ac:dyDescent="0.25">
      <c r="A33" s="3" t="s">
        <v>138</v>
      </c>
      <c r="B33" s="3" t="s">
        <v>113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3" t="str">
        <f t="shared" ref="A34:A36" si="1">A14</f>
        <v>9:00-9:00</v>
      </c>
      <c r="B34" s="3" t="str">
        <f>IF(TEXT(Настройки!$J2+TIME(0,Март!AI13,0),"ч::мм")=TEXT(Настройки!$J2,"ч:мм"),"",TEXT(Настройки!$J2,"ч:мм")&amp;"-"&amp;TEXT(Настройки!$J2+TIME(0,Март!AI13,0),"ч::мм"))</f>
        <v/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</row>
    <row r="35" spans="1:16" x14ac:dyDescent="0.25">
      <c r="A35" s="33" t="str">
        <f t="shared" ca="1" si="1"/>
        <v>13:00-13:00</v>
      </c>
      <c r="B35" s="3" t="str">
        <f ca="1">IF(TEXT(Настройки!$J3+TIME(0,Март!AI14,0),"ч::мм")=TEXT(Настройки!$J3,"ч:мм"),"",TEXT(Настройки!$J3,"ч:мм")&amp;"-"&amp;TEXT(Настройки!$J3+TIME(0,Март!AI14,0),"ч::мм"))</f>
        <v/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1:16" x14ac:dyDescent="0.25">
      <c r="A36" s="33" t="str">
        <f t="shared" ca="1" si="1"/>
        <v>16:00-16:00</v>
      </c>
      <c r="B36" s="3" t="str">
        <f ca="1">IF(TEXT(Настройки!$J4+TIME(0,Март!AI15,0),"ч::мм")=TEXT(Настройки!$J4,"ч:мм"),"",TEXT(Настройки!$J4,"ч:мм")&amp;"-"&amp;TEXT(Настройки!$J4+TIME(0,Март!AI15,0),"ч::мм"))</f>
        <v/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</sheetData>
  <mergeCells count="12">
    <mergeCell ref="A18:A22"/>
    <mergeCell ref="B18:P19"/>
    <mergeCell ref="B21:P22"/>
    <mergeCell ref="A28:A32"/>
    <mergeCell ref="B28:P29"/>
    <mergeCell ref="B31:P32"/>
    <mergeCell ref="A2:P2"/>
    <mergeCell ref="F6:G6"/>
    <mergeCell ref="A8:A12"/>
    <mergeCell ref="B8:P9"/>
    <mergeCell ref="B11:P12"/>
    <mergeCell ref="H6:I6"/>
  </mergeCells>
  <conditionalFormatting sqref="B10:P10">
    <cfRule type="expression" dxfId="1023" priority="3">
      <formula>WEEKDAY(B10:P10,2)&gt;5</formula>
    </cfRule>
  </conditionalFormatting>
  <conditionalFormatting sqref="B20:P20">
    <cfRule type="expression" dxfId="1022" priority="2">
      <formula>WEEKDAY(B20:P20,2)&gt;5</formula>
    </cfRule>
  </conditionalFormatting>
  <conditionalFormatting sqref="B30">
    <cfRule type="expression" dxfId="1021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 tint="0.39997558519241921"/>
    <pageSetUpPr fitToPage="1"/>
  </sheetPr>
  <dimension ref="A2:AK28"/>
  <sheetViews>
    <sheetView zoomScale="60" zoomScaleNormal="6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4.140625" style="3" customWidth="1"/>
    <col min="3" max="3" width="17.5703125" style="3" customWidth="1"/>
    <col min="4" max="4" width="9.28515625" style="3" customWidth="1"/>
    <col min="5" max="5" width="11.28515625" style="3" bestFit="1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7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7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7" ht="18.75" x14ac:dyDescent="0.25">
      <c r="C5" s="15"/>
      <c r="L5" s="11" t="s">
        <v>69</v>
      </c>
      <c r="M5" s="77" t="s">
        <v>116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7" ht="18.75" x14ac:dyDescent="0.25">
      <c r="C6" s="15"/>
      <c r="L6" s="11"/>
      <c r="M6" s="17"/>
      <c r="N6" s="26"/>
      <c r="O6" s="26"/>
      <c r="P6" s="26"/>
      <c r="Q6" s="26"/>
      <c r="R6" s="17"/>
      <c r="S6" s="26"/>
      <c r="T6" s="13"/>
      <c r="U6" s="13"/>
    </row>
    <row r="7" spans="1:37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59"/>
      <c r="AI7" s="53" t="s">
        <v>64</v>
      </c>
      <c r="AJ7" s="53" t="s">
        <v>64</v>
      </c>
      <c r="AK7" s="4"/>
    </row>
    <row r="8" spans="1:37" ht="15.75" customHeight="1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9"/>
      <c r="AI8" s="53"/>
      <c r="AJ8" s="53"/>
      <c r="AK8" s="4"/>
    </row>
    <row r="9" spans="1:37" x14ac:dyDescent="0.25">
      <c r="A9" s="63"/>
      <c r="B9" s="66"/>
      <c r="C9" s="66"/>
      <c r="D9" s="73"/>
      <c r="E9" s="18">
        <f>Настройки!G10</f>
        <v>45383</v>
      </c>
      <c r="F9" s="18">
        <f>Настройки!H10</f>
        <v>45384</v>
      </c>
      <c r="G9" s="18">
        <f>Настройки!I10</f>
        <v>45385</v>
      </c>
      <c r="H9" s="18">
        <f>Настройки!J10</f>
        <v>45386</v>
      </c>
      <c r="I9" s="18">
        <f>Настройки!K10</f>
        <v>45387</v>
      </c>
      <c r="J9" s="18">
        <f>Настройки!L10</f>
        <v>45388</v>
      </c>
      <c r="K9" s="18">
        <f>Настройки!M10</f>
        <v>45389</v>
      </c>
      <c r="L9" s="18">
        <f>Настройки!N10</f>
        <v>45390</v>
      </c>
      <c r="M9" s="18">
        <f>Настройки!O10</f>
        <v>45391</v>
      </c>
      <c r="N9" s="18">
        <f>Настройки!P10</f>
        <v>45392</v>
      </c>
      <c r="O9" s="18">
        <f>Настройки!Q10</f>
        <v>45393</v>
      </c>
      <c r="P9" s="18">
        <f>Настройки!R10</f>
        <v>45394</v>
      </c>
      <c r="Q9" s="18">
        <f>Настройки!S10</f>
        <v>45395</v>
      </c>
      <c r="R9" s="18">
        <f>Настройки!T10</f>
        <v>45396</v>
      </c>
      <c r="S9" s="18">
        <f>Настройки!U10</f>
        <v>45397</v>
      </c>
      <c r="T9" s="18">
        <f>Настройки!V10</f>
        <v>45398</v>
      </c>
      <c r="U9" s="18">
        <f>Настройки!W10</f>
        <v>45399</v>
      </c>
      <c r="V9" s="18">
        <f>Настройки!X10</f>
        <v>45400</v>
      </c>
      <c r="W9" s="18">
        <f>Настройки!Y10</f>
        <v>45401</v>
      </c>
      <c r="X9" s="18">
        <f>Настройки!Z10</f>
        <v>45402</v>
      </c>
      <c r="Y9" s="18">
        <f>Настройки!AA10</f>
        <v>45403</v>
      </c>
      <c r="Z9" s="18">
        <f>Настройки!AB10</f>
        <v>45404</v>
      </c>
      <c r="AA9" s="18">
        <f>Настройки!AC10</f>
        <v>45405</v>
      </c>
      <c r="AB9" s="18">
        <f>Настройки!AD10</f>
        <v>45406</v>
      </c>
      <c r="AC9" s="18">
        <f>Настройки!AE10</f>
        <v>45407</v>
      </c>
      <c r="AD9" s="18">
        <f>Настройки!AF10</f>
        <v>45408</v>
      </c>
      <c r="AE9" s="18">
        <f>Настройки!AG10</f>
        <v>45409</v>
      </c>
      <c r="AF9" s="18">
        <f>Настройки!AH10</f>
        <v>45410</v>
      </c>
      <c r="AG9" s="18">
        <f>Настройки!AI10</f>
        <v>45411</v>
      </c>
      <c r="AH9" s="18">
        <f>Настройки!AJ10</f>
        <v>45412</v>
      </c>
      <c r="AI9" s="53"/>
      <c r="AJ9" s="53"/>
      <c r="AK9" s="4"/>
    </row>
    <row r="10" spans="1:37" ht="15.75" customHeight="1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86"/>
      <c r="AI10" s="53"/>
      <c r="AJ10" s="53"/>
      <c r="AK10" s="4"/>
    </row>
    <row r="11" spans="1:37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2"/>
      <c r="AI11" s="53"/>
      <c r="AJ11" s="53"/>
    </row>
    <row r="12" spans="1:37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14" t="s">
        <v>75</v>
      </c>
      <c r="F12" s="14" t="s">
        <v>76</v>
      </c>
      <c r="G12" s="14" t="s">
        <v>77</v>
      </c>
      <c r="H12" s="14" t="s">
        <v>78</v>
      </c>
      <c r="I12" s="14" t="s">
        <v>79</v>
      </c>
      <c r="J12" s="14" t="s">
        <v>80</v>
      </c>
      <c r="K12" s="14" t="s">
        <v>81</v>
      </c>
      <c r="L12" s="14" t="s">
        <v>82</v>
      </c>
      <c r="M12" s="14" t="s">
        <v>83</v>
      </c>
      <c r="N12" s="14" t="s">
        <v>84</v>
      </c>
      <c r="O12" s="14" t="s">
        <v>85</v>
      </c>
      <c r="P12" s="14" t="s">
        <v>86</v>
      </c>
      <c r="Q12" s="14" t="s">
        <v>87</v>
      </c>
      <c r="R12" s="14" t="s">
        <v>88</v>
      </c>
      <c r="S12" s="14" t="s">
        <v>89</v>
      </c>
      <c r="T12" s="14" t="s">
        <v>90</v>
      </c>
      <c r="U12" s="14" t="s">
        <v>91</v>
      </c>
      <c r="V12" s="14" t="s">
        <v>92</v>
      </c>
      <c r="W12" s="14" t="s">
        <v>93</v>
      </c>
      <c r="X12" s="14" t="s">
        <v>94</v>
      </c>
      <c r="Y12" s="14" t="s">
        <v>95</v>
      </c>
      <c r="Z12" s="14" t="s">
        <v>96</v>
      </c>
      <c r="AA12" s="14" t="s">
        <v>97</v>
      </c>
      <c r="AB12" s="14" t="s">
        <v>98</v>
      </c>
      <c r="AC12" s="14" t="s">
        <v>99</v>
      </c>
      <c r="AD12" s="14" t="s">
        <v>100</v>
      </c>
      <c r="AE12" s="14" t="s">
        <v>101</v>
      </c>
      <c r="AF12" s="14" t="s">
        <v>102</v>
      </c>
      <c r="AG12" s="14" t="s">
        <v>103</v>
      </c>
      <c r="AH12" s="14" t="s">
        <v>104</v>
      </c>
      <c r="AI12" s="3" t="s">
        <v>62</v>
      </c>
      <c r="AJ12" s="3" t="s">
        <v>63</v>
      </c>
    </row>
    <row r="13" spans="1:37" ht="22.5" customHeight="1" x14ac:dyDescent="0.25">
      <c r="A13" s="5" t="s">
        <v>56</v>
      </c>
      <c r="B13" s="3">
        <f ca="1">SUMPRODUCT((Настройки!$G$24:$AJ$24=1)*E16:AH16)</f>
        <v>0</v>
      </c>
      <c r="C13" s="14"/>
      <c r="D13" s="5">
        <v>1</v>
      </c>
      <c r="E13" s="3">
        <f>SUMPRODUCT((Апрель[№]=1)*Апрель[1],Апрель[Периодичность])</f>
        <v>0</v>
      </c>
      <c r="F13" s="24">
        <f>SUMPRODUCT((Апрель[№]=1)*Апрель[2],Апрель[Периодичность])</f>
        <v>0</v>
      </c>
      <c r="G13" s="24">
        <f>SUMPRODUCT((Апрель[№]=1)*Апрель[3],Апрель[Периодичность])</f>
        <v>0</v>
      </c>
      <c r="H13" s="24">
        <f>SUMPRODUCT((Апрель[№]=1)*Апрель[4],Апрель[Периодичность])</f>
        <v>0</v>
      </c>
      <c r="I13" s="24">
        <f>SUMPRODUCT((Апрель[№]=1)*Апрель[5],Апрель[Периодичность])</f>
        <v>0</v>
      </c>
      <c r="J13" s="24">
        <f>SUMPRODUCT((Апрель[№]=1)*Апрель[6],Апрель[Периодичность])</f>
        <v>0</v>
      </c>
      <c r="K13" s="24">
        <f>SUMPRODUCT((Апрель[№]=1)*Апрель[7],Апрель[Периодичность])</f>
        <v>0</v>
      </c>
      <c r="L13" s="24">
        <f>SUMPRODUCT((Апрель[№]=1)*Апрель[8],Апрель[Периодичность])</f>
        <v>0</v>
      </c>
      <c r="M13" s="24">
        <f>SUMPRODUCT((Апрель[№]=1)*Апрель[9],Апрель[Периодичность])</f>
        <v>0</v>
      </c>
      <c r="N13" s="24">
        <f>SUMPRODUCT((Апрель[№]=1)*Апрель[10],Апрель[Периодичность])</f>
        <v>0</v>
      </c>
      <c r="O13" s="24">
        <f>SUMPRODUCT((Апрель[№]=1)*Апрель[11],Апрель[Периодичность])</f>
        <v>0</v>
      </c>
      <c r="P13" s="24">
        <f>SUMPRODUCT((Апрель[№]=1)*Апрель[12],Апрель[Периодичность])</f>
        <v>0</v>
      </c>
      <c r="Q13" s="24">
        <f>SUMPRODUCT((Апрель[№]=1)*Апрель[13],Апрель[Периодичность])</f>
        <v>0</v>
      </c>
      <c r="R13" s="24">
        <f>SUMPRODUCT((Апрель[№]=1)*Апрель[14],Апрель[Периодичность])</f>
        <v>0</v>
      </c>
      <c r="S13" s="24">
        <f>SUMPRODUCT((Апрель[№]=1)*Апрель[15],Апрель[Периодичность])</f>
        <v>0</v>
      </c>
      <c r="T13" s="24">
        <f>SUMPRODUCT((Апрель[№]=1)*Апрель[16],Апрель[Периодичность])</f>
        <v>0</v>
      </c>
      <c r="U13" s="24">
        <f>SUMPRODUCT((Апрель[№]=1)*Апрель[17],Апрель[Периодичность])</f>
        <v>0</v>
      </c>
      <c r="V13" s="24">
        <f>SUMPRODUCT((Апрель[№]=1)*Апрель[18],Апрель[Периодичность])</f>
        <v>0</v>
      </c>
      <c r="W13" s="24">
        <f>SUMPRODUCT((Апрель[№]=1)*Апрель[19],Апрель[Периодичность])</f>
        <v>0</v>
      </c>
      <c r="X13" s="24">
        <f>SUMPRODUCT((Апрель[№]=1)*Апрель[20],Апрель[Периодичность])</f>
        <v>0</v>
      </c>
      <c r="Y13" s="24">
        <f>SUMPRODUCT((Апрель[№]=1)*Апрель[21],Апрель[Периодичность])</f>
        <v>0</v>
      </c>
      <c r="Z13" s="24">
        <f>SUMPRODUCT((Апрель[№]=1)*Апрель[22],Апрель[Периодичность])</f>
        <v>0</v>
      </c>
      <c r="AA13" s="24">
        <f>SUMPRODUCT((Апрель[№]=1)*Апрель[23],Апрель[Периодичность])</f>
        <v>0</v>
      </c>
      <c r="AB13" s="24">
        <f>SUMPRODUCT((Апрель[№]=1)*Апрель[24],Апрель[Периодичность])</f>
        <v>0</v>
      </c>
      <c r="AC13" s="24">
        <f>SUMPRODUCT((Апрель[№]=1)*Апрель[25],Апрель[Периодичность])</f>
        <v>0</v>
      </c>
      <c r="AD13" s="24">
        <f>SUMPRODUCT((Апрель[№]=1)*Апрель[26],Апрель[Периодичность])</f>
        <v>0</v>
      </c>
      <c r="AE13" s="24">
        <f>SUMPRODUCT((Апрель[№]=1)*Апрель[27],Апрель[Периодичность])</f>
        <v>0</v>
      </c>
      <c r="AF13" s="24">
        <f>SUMPRODUCT((Апрель[№]=1)*Апрель[28],Апрель[Периодичность])</f>
        <v>0</v>
      </c>
      <c r="AG13" s="24">
        <f>SUMPRODUCT((Апрель[№]=1)*Апрель[29],Апрель[Периодичность])</f>
        <v>0</v>
      </c>
      <c r="AH13" s="24">
        <f>SUMPRODUCT((Апрель[№]=1)*Апрель[30],Апрель[Периодичность])</f>
        <v>0</v>
      </c>
    </row>
    <row r="14" spans="1:37" ht="20.25" customHeight="1" x14ac:dyDescent="0.25">
      <c r="B14" s="3">
        <f ca="1">SUMPRODUCT((Настройки!$G$24:$AJ$24=2)*E16:AH16)</f>
        <v>0</v>
      </c>
      <c r="D14" s="5">
        <v>2</v>
      </c>
      <c r="E14" s="3">
        <f ca="1">SUMPRODUCT((Апрель[№]=2)*Апрель[1],OFFSET(Апрель[Периодичность],-1,0))</f>
        <v>0</v>
      </c>
      <c r="F14" s="24">
        <f ca="1">SUMPRODUCT((Апрель[№]=2)*Апрель[2],OFFSET(Апрель[Периодичность],-1,0))</f>
        <v>0</v>
      </c>
      <c r="G14" s="24">
        <f ca="1">SUMPRODUCT((Апрель[№]=2)*Апрель[3],OFFSET(Апрель[Периодичность],-1,0))</f>
        <v>0</v>
      </c>
      <c r="H14" s="24">
        <f ca="1">SUMPRODUCT((Апрель[№]=2)*Апрель[4],OFFSET(Апрель[Периодичность],-1,0))</f>
        <v>0</v>
      </c>
      <c r="I14" s="24">
        <f ca="1">SUMPRODUCT((Апрель[№]=2)*Апрель[5],OFFSET(Апрель[Периодичность],-1,0))</f>
        <v>0</v>
      </c>
      <c r="J14" s="24">
        <f ca="1">SUMPRODUCT((Апрель[№]=2)*Апрель[6],OFFSET(Апрель[Периодичность],-1,0))</f>
        <v>0</v>
      </c>
      <c r="K14" s="24">
        <f ca="1">SUMPRODUCT((Апрель[№]=2)*Апрель[7],OFFSET(Апрель[Периодичность],-1,0))</f>
        <v>0</v>
      </c>
      <c r="L14" s="24">
        <f ca="1">SUMPRODUCT((Апрель[№]=2)*Апрель[8],OFFSET(Апрель[Периодичность],-1,0))</f>
        <v>0</v>
      </c>
      <c r="M14" s="24">
        <f ca="1">SUMPRODUCT((Апрель[№]=2)*Апрель[9],OFFSET(Апрель[Периодичность],-1,0))</f>
        <v>0</v>
      </c>
      <c r="N14" s="24">
        <f ca="1">SUMPRODUCT((Апрель[№]=2)*Апрель[10],OFFSET(Апрель[Периодичность],-1,0))</f>
        <v>0</v>
      </c>
      <c r="O14" s="24">
        <f ca="1">SUMPRODUCT((Апрель[№]=2)*Апрель[11],OFFSET(Апрель[Периодичность],-1,0))</f>
        <v>0</v>
      </c>
      <c r="P14" s="24">
        <f ca="1">SUMPRODUCT((Апрель[№]=2)*Апрель[12],OFFSET(Апрель[Периодичность],-1,0))</f>
        <v>0</v>
      </c>
      <c r="Q14" s="24">
        <f ca="1">SUMPRODUCT((Апрель[№]=2)*Апрель[13],OFFSET(Апрель[Периодичность],-1,0))</f>
        <v>0</v>
      </c>
      <c r="R14" s="24">
        <f ca="1">SUMPRODUCT((Апрель[№]=2)*Апрель[14],OFFSET(Апрель[Периодичность],-1,0))</f>
        <v>0</v>
      </c>
      <c r="S14" s="24">
        <f ca="1">SUMPRODUCT((Апрель[№]=2)*Апрель[15],OFFSET(Апрель[Периодичность],-1,0))</f>
        <v>0</v>
      </c>
      <c r="T14" s="24">
        <f ca="1">SUMPRODUCT((Апрель[№]=2)*Апрель[16],OFFSET(Апрель[Периодичность],-1,0))</f>
        <v>0</v>
      </c>
      <c r="U14" s="24">
        <f ca="1">SUMPRODUCT((Апрель[№]=2)*Апрель[17],OFFSET(Апрель[Периодичность],-1,0))</f>
        <v>0</v>
      </c>
      <c r="V14" s="24">
        <f ca="1">SUMPRODUCT((Апрель[№]=2)*Апрель[18],OFFSET(Апрель[Периодичность],-1,0))</f>
        <v>0</v>
      </c>
      <c r="W14" s="24">
        <f ca="1">SUMPRODUCT((Апрель[№]=2)*Апрель[19],OFFSET(Апрель[Периодичность],-1,0))</f>
        <v>0</v>
      </c>
      <c r="X14" s="24">
        <f ca="1">SUMPRODUCT((Апрель[№]=2)*Апрель[20],OFFSET(Апрель[Периодичность],-1,0))</f>
        <v>0</v>
      </c>
      <c r="Y14" s="24">
        <f ca="1">SUMPRODUCT((Апрель[№]=2)*Апрель[21],OFFSET(Апрель[Периодичность],-1,0))</f>
        <v>0</v>
      </c>
      <c r="Z14" s="24">
        <f ca="1">SUMPRODUCT((Апрель[№]=2)*Апрель[22],OFFSET(Апрель[Периодичность],-1,0))</f>
        <v>0</v>
      </c>
      <c r="AA14" s="24">
        <f ca="1">SUMPRODUCT((Апрель[№]=2)*Апрель[23],OFFSET(Апрель[Периодичность],-1,0))</f>
        <v>0</v>
      </c>
      <c r="AB14" s="24">
        <f ca="1">SUMPRODUCT((Апрель[№]=2)*Апрель[24],OFFSET(Апрель[Периодичность],-1,0))</f>
        <v>0</v>
      </c>
      <c r="AC14" s="24">
        <f ca="1">SUMPRODUCT((Апрель[№]=2)*Апрель[25],OFFSET(Апрель[Периодичность],-1,0))</f>
        <v>0</v>
      </c>
      <c r="AD14" s="24">
        <f ca="1">SUMPRODUCT((Апрель[№]=2)*Апрель[26],OFFSET(Апрель[Периодичность],-1,0))</f>
        <v>0</v>
      </c>
      <c r="AE14" s="24">
        <f ca="1">SUMPRODUCT((Апрель[№]=2)*Апрель[27],OFFSET(Апрель[Периодичность],-1,0))</f>
        <v>0</v>
      </c>
      <c r="AF14" s="24">
        <f ca="1">SUMPRODUCT((Апрель[№]=2)*Апрель[28],OFFSET(Апрель[Периодичность],-1,0))</f>
        <v>0</v>
      </c>
      <c r="AG14" s="24">
        <f ca="1">SUMPRODUCT((Апрель[№]=2)*Апрель[29],OFFSET(Апрель[Периодичность],-1,0))</f>
        <v>0</v>
      </c>
      <c r="AH14" s="24">
        <f ca="1">SUMPRODUCT((Апрель[№]=2)*Апрель[30],OFFSET(Апрель[Периодичность],-1,0))</f>
        <v>0</v>
      </c>
    </row>
    <row r="15" spans="1:37" ht="22.5" customHeight="1" x14ac:dyDescent="0.25">
      <c r="B15" s="3">
        <f ca="1">SUMPRODUCT((Настройки!$G$24:$AJ$24=3)*E16:AH16)</f>
        <v>0</v>
      </c>
      <c r="D15" s="5">
        <v>3</v>
      </c>
      <c r="E15" s="3">
        <f ca="1">SUMPRODUCT((Апрель[№]=3)*Апрель[1],OFFSET(Апрель[Периодичность],-2,0))</f>
        <v>0</v>
      </c>
      <c r="F15" s="24">
        <f ca="1">SUMPRODUCT((Апрель[№]=3)*Апрель[2],OFFSET(Апрель[Периодичность],-2,0))</f>
        <v>0</v>
      </c>
      <c r="G15" s="24">
        <f ca="1">SUMPRODUCT((Апрель[№]=3)*Апрель[3],OFFSET(Апрель[Периодичность],-2,0))</f>
        <v>0</v>
      </c>
      <c r="H15" s="24">
        <f ca="1">SUMPRODUCT((Апрель[№]=3)*Апрель[4],OFFSET(Апрель[Периодичность],-2,0))</f>
        <v>0</v>
      </c>
      <c r="I15" s="24">
        <f ca="1">SUMPRODUCT((Апрель[№]=3)*Апрель[5],OFFSET(Апрель[Периодичность],-2,0))</f>
        <v>0</v>
      </c>
      <c r="J15" s="24">
        <f ca="1">SUMPRODUCT((Апрель[№]=3)*Апрель[6],OFFSET(Апрель[Периодичность],-2,0))</f>
        <v>0</v>
      </c>
      <c r="K15" s="24">
        <f ca="1">SUMPRODUCT((Апрель[№]=3)*Апрель[7],OFFSET(Апрель[Периодичность],-2,0))</f>
        <v>0</v>
      </c>
      <c r="L15" s="24">
        <f ca="1">SUMPRODUCT((Апрель[№]=3)*Апрель[8],OFFSET(Апрель[Периодичность],-2,0))</f>
        <v>0</v>
      </c>
      <c r="M15" s="24">
        <f ca="1">SUMPRODUCT((Апрель[№]=3)*Апрель[9],OFFSET(Апрель[Периодичность],-2,0))</f>
        <v>0</v>
      </c>
      <c r="N15" s="24">
        <f ca="1">SUMPRODUCT((Апрель[№]=3)*Апрель[10],OFFSET(Апрель[Периодичность],-2,0))</f>
        <v>0</v>
      </c>
      <c r="O15" s="24">
        <f ca="1">SUMPRODUCT((Апрель[№]=3)*Апрель[11],OFFSET(Апрель[Периодичность],-2,0))</f>
        <v>0</v>
      </c>
      <c r="P15" s="24">
        <f ca="1">SUMPRODUCT((Апрель[№]=3)*Апрель[12],OFFSET(Апрель[Периодичность],-2,0))</f>
        <v>0</v>
      </c>
      <c r="Q15" s="24">
        <f ca="1">SUMPRODUCT((Апрель[№]=3)*Апрель[13],OFFSET(Апрель[Периодичность],-2,0))</f>
        <v>0</v>
      </c>
      <c r="R15" s="24">
        <f ca="1">SUMPRODUCT((Апрель[№]=3)*Апрель[14],OFFSET(Апрель[Периодичность],-2,0))</f>
        <v>0</v>
      </c>
      <c r="S15" s="24">
        <f ca="1">SUMPRODUCT((Апрель[№]=3)*Апрель[15],OFFSET(Апрель[Периодичность],-2,0))</f>
        <v>0</v>
      </c>
      <c r="T15" s="24">
        <f ca="1">SUMPRODUCT((Апрель[№]=3)*Апрель[16],OFFSET(Апрель[Периодичность],-2,0))</f>
        <v>0</v>
      </c>
      <c r="U15" s="24">
        <f ca="1">SUMPRODUCT((Апрель[№]=3)*Апрель[17],OFFSET(Апрель[Периодичность],-2,0))</f>
        <v>0</v>
      </c>
      <c r="V15" s="24">
        <f ca="1">SUMPRODUCT((Апрель[№]=3)*Апрель[18],OFFSET(Апрель[Периодичность],-2,0))</f>
        <v>0</v>
      </c>
      <c r="W15" s="24">
        <f ca="1">SUMPRODUCT((Апрель[№]=3)*Апрель[19],OFFSET(Апрель[Периодичность],-2,0))</f>
        <v>0</v>
      </c>
      <c r="X15" s="24">
        <f ca="1">SUMPRODUCT((Апрель[№]=3)*Апрель[20],OFFSET(Апрель[Периодичность],-2,0))</f>
        <v>0</v>
      </c>
      <c r="Y15" s="24">
        <f ca="1">SUMPRODUCT((Апрель[№]=3)*Апрель[21],OFFSET(Апрель[Периодичность],-2,0))</f>
        <v>0</v>
      </c>
      <c r="Z15" s="24">
        <f ca="1">SUMPRODUCT((Апрель[№]=3)*Апрель[22],OFFSET(Апрель[Периодичность],-2,0))</f>
        <v>0</v>
      </c>
      <c r="AA15" s="24">
        <f ca="1">SUMPRODUCT((Апрель[№]=3)*Апрель[23],OFFSET(Апрель[Периодичность],-2,0))</f>
        <v>0</v>
      </c>
      <c r="AB15" s="24">
        <f ca="1">SUMPRODUCT((Апрель[№]=3)*Апрель[24],OFFSET(Апрель[Периодичность],-2,0))</f>
        <v>0</v>
      </c>
      <c r="AC15" s="24">
        <f ca="1">SUMPRODUCT((Апрель[№]=3)*Апрель[25],OFFSET(Апрель[Периодичность],-2,0))</f>
        <v>0</v>
      </c>
      <c r="AD15" s="24">
        <f ca="1">SUMPRODUCT((Апрель[№]=3)*Апрель[26],OFFSET(Апрель[Периодичность],-2,0))</f>
        <v>0</v>
      </c>
      <c r="AE15" s="24">
        <f ca="1">SUMPRODUCT((Апрель[№]=3)*Апрель[27],OFFSET(Апрель[Периодичность],-2,0))</f>
        <v>0</v>
      </c>
      <c r="AF15" s="24">
        <f ca="1">SUMPRODUCT((Апрель[№]=3)*Апрель[28],OFFSET(Апрель[Периодичность],-2,0))</f>
        <v>0</v>
      </c>
      <c r="AG15" s="24">
        <f ca="1">SUMPRODUCT((Апрель[№]=3)*Апрель[29],OFFSET(Апрель[Периодичность],-2,0))</f>
        <v>0</v>
      </c>
      <c r="AH15" s="24">
        <f ca="1">SUMPRODUCT((Апрель[№]=3)*Апрель[30],OFFSET(Апрель[Периодичность],-2,0))</f>
        <v>0</v>
      </c>
      <c r="AJ15" s="10"/>
    </row>
    <row r="16" spans="1:37" ht="18" customHeight="1" x14ac:dyDescent="0.25">
      <c r="B16" s="3">
        <f ca="1">SUMPRODUCT((Настройки!$G$24:$AJ$24=4)*E16:AH16)</f>
        <v>0</v>
      </c>
      <c r="D16" s="5"/>
      <c r="E16" s="3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J16" s="10"/>
    </row>
    <row r="17" spans="1:36" ht="21.75" customHeight="1" x14ac:dyDescent="0.25">
      <c r="B17" s="3">
        <f ca="1">SUMPRODUCT((Настройки!$G$24:$AJ$24=5)*E16:AH16)</f>
        <v>0</v>
      </c>
      <c r="C17" s="5">
        <f ca="1">АпрельИтоги[[#This Row],[№]]*60</f>
        <v>0</v>
      </c>
      <c r="D17" s="7">
        <f ca="1">SUM(АпрельИтоги[[#This Row],[1]:[30]])</f>
        <v>0</v>
      </c>
      <c r="E17" s="6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5">
        <f ca="1">SUM(Апрель[УСЛУГ])</f>
        <v>0</v>
      </c>
      <c r="AJ17" s="16">
        <f ca="1">SUM(Апрель[МИНУТ])</f>
        <v>0</v>
      </c>
    </row>
    <row r="18" spans="1:36" ht="21.75" customHeight="1" x14ac:dyDescent="0.25">
      <c r="B18" s="14">
        <f ca="1">SUMPRODUCT((Настройки!$G$24:$AJ$24=6)*E16:AH16)</f>
        <v>0</v>
      </c>
      <c r="C18" s="14"/>
      <c r="D18" s="7"/>
      <c r="E18" s="14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14"/>
      <c r="AJ18" s="46"/>
    </row>
    <row r="20" spans="1:36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59"/>
      <c r="AI20" s="53" t="s">
        <v>64</v>
      </c>
      <c r="AJ20" s="53" t="s">
        <v>64</v>
      </c>
    </row>
    <row r="21" spans="1:36" ht="15.75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9"/>
      <c r="AI21" s="53"/>
      <c r="AJ21" s="53"/>
    </row>
    <row r="22" spans="1:36" x14ac:dyDescent="0.25">
      <c r="A22" s="63"/>
      <c r="B22" s="63"/>
      <c r="C22" s="64"/>
      <c r="D22" s="66"/>
      <c r="E22" s="22">
        <f>Настройки!G10</f>
        <v>45383</v>
      </c>
      <c r="F22" s="22">
        <f>Настройки!H10</f>
        <v>45384</v>
      </c>
      <c r="G22" s="22">
        <f>Настройки!I10</f>
        <v>45385</v>
      </c>
      <c r="H22" s="22">
        <f>Настройки!J10</f>
        <v>45386</v>
      </c>
      <c r="I22" s="22">
        <f>Настройки!K10</f>
        <v>45387</v>
      </c>
      <c r="J22" s="22">
        <f>Настройки!L10</f>
        <v>45388</v>
      </c>
      <c r="K22" s="22">
        <f>Настройки!M10</f>
        <v>45389</v>
      </c>
      <c r="L22" s="22">
        <f>Настройки!N10</f>
        <v>45390</v>
      </c>
      <c r="M22" s="22">
        <f>Настройки!O10</f>
        <v>45391</v>
      </c>
      <c r="N22" s="22">
        <f>Настройки!P10</f>
        <v>45392</v>
      </c>
      <c r="O22" s="22">
        <f>Настройки!Q10</f>
        <v>45393</v>
      </c>
      <c r="P22" s="22">
        <f>Настройки!R10</f>
        <v>45394</v>
      </c>
      <c r="Q22" s="22">
        <f>Настройки!S10</f>
        <v>45395</v>
      </c>
      <c r="R22" s="22">
        <f>Настройки!T10</f>
        <v>45396</v>
      </c>
      <c r="S22" s="22">
        <f>Настройки!U10</f>
        <v>45397</v>
      </c>
      <c r="T22" s="22">
        <f>Настройки!V10</f>
        <v>45398</v>
      </c>
      <c r="U22" s="22">
        <f>Настройки!W10</f>
        <v>45399</v>
      </c>
      <c r="V22" s="22">
        <f>Настройки!X10</f>
        <v>45400</v>
      </c>
      <c r="W22" s="22">
        <f>Настройки!Y10</f>
        <v>45401</v>
      </c>
      <c r="X22" s="22">
        <f>Настройки!Z10</f>
        <v>45402</v>
      </c>
      <c r="Y22" s="22">
        <f>Настройки!AA10</f>
        <v>45403</v>
      </c>
      <c r="Z22" s="22">
        <f>Настройки!AB10</f>
        <v>45404</v>
      </c>
      <c r="AA22" s="22">
        <f>Настройки!AC10</f>
        <v>45405</v>
      </c>
      <c r="AB22" s="22">
        <f>Настройки!AD10</f>
        <v>45406</v>
      </c>
      <c r="AC22" s="22">
        <f>Настройки!AE10</f>
        <v>45407</v>
      </c>
      <c r="AD22" s="22">
        <f>Настройки!AF10</f>
        <v>45408</v>
      </c>
      <c r="AE22" s="22">
        <f>Настройки!AG10</f>
        <v>45409</v>
      </c>
      <c r="AF22" s="22">
        <f>Настройки!AH10</f>
        <v>45410</v>
      </c>
      <c r="AG22" s="22">
        <f>Настройки!AI10</f>
        <v>45411</v>
      </c>
      <c r="AH22" s="22">
        <f>Настройки!AJ10</f>
        <v>45412</v>
      </c>
      <c r="AI22" s="53"/>
      <c r="AJ22" s="53"/>
    </row>
    <row r="23" spans="1:36" x14ac:dyDescent="0.25">
      <c r="A23" s="63"/>
      <c r="B23" s="63"/>
      <c r="C23" s="64"/>
      <c r="D23" s="66"/>
      <c r="E23" s="58" t="s">
        <v>54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86"/>
      <c r="AI23" s="53"/>
      <c r="AJ23" s="53"/>
    </row>
    <row r="24" spans="1:36" x14ac:dyDescent="0.25">
      <c r="A24" s="63"/>
      <c r="B24" s="63"/>
      <c r="C24" s="64"/>
      <c r="D24" s="6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88"/>
      <c r="AI24" s="53"/>
      <c r="AJ24" s="53"/>
    </row>
    <row r="25" spans="1:36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62</v>
      </c>
      <c r="AJ25" s="3" t="s">
        <v>63</v>
      </c>
    </row>
    <row r="26" spans="1:36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5">
        <f ca="1">IF(Апрель[[#This Row],[№]]=1,SUM(Апрель[[#This Row],[1]:[30]])+SUM(OFFSET(Апрель[[#This Row],[1]:[30]],1,0))+SUM(OFFSET(Апрель[[#This Row],[1]:[30]],2,0)),"")</f>
        <v>0</v>
      </c>
      <c r="AJ26" s="5">
        <f ca="1">IF(Апрель[[#This Row],[УСЛУГ]]&lt;&gt;"",Апрель[[#This Row],[УСЛУГ]]*Апрель[[#This Row],[Периодичность]],"")</f>
        <v>0</v>
      </c>
    </row>
    <row r="27" spans="1:36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5" t="str">
        <f ca="1">IF(Апрель[[#This Row],[№]]=1,SUM(Апрель[[#This Row],[1]:[30]])+SUM(OFFSET(Апрель[[#This Row],[1]:[30]],1,0))+SUM(OFFSET(Апрель[[#This Row],[1]:[30]],2,0)),"")</f>
        <v/>
      </c>
      <c r="AJ27" s="5" t="str">
        <f ca="1">IF(Апрель[[#This Row],[УСЛУГ]]&lt;&gt;"",Апрель[[#This Row],[УСЛУГ]]*Апрель[[#This Row],[Периодичность]],"")</f>
        <v/>
      </c>
    </row>
    <row r="28" spans="1:36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5" t="str">
        <f ca="1">IF(Апрель[[#This Row],[№]]=1,SUM(Апрель[[#This Row],[1]:[30]])+SUM(OFFSET(Апрель[[#This Row],[1]:[30]],1,0))+SUM(OFFSET(Апрель[[#This Row],[1]:[30]],2,0)),"")</f>
        <v/>
      </c>
      <c r="AJ28" s="5" t="str">
        <f ca="1">IF(Апрель[[#This Row],[УСЛУГ]]&lt;&gt;"",Апрель[[#This Row],[УСЛУГ]]*Апрель[[#This Row],[Периодичность]],"")</f>
        <v/>
      </c>
    </row>
  </sheetData>
  <mergeCells count="20">
    <mergeCell ref="AI7:AI11"/>
    <mergeCell ref="AJ7:AJ11"/>
    <mergeCell ref="E10:AH11"/>
    <mergeCell ref="A20:A24"/>
    <mergeCell ref="B20:C24"/>
    <mergeCell ref="D20:D24"/>
    <mergeCell ref="E20:AH21"/>
    <mergeCell ref="AI20:AI24"/>
    <mergeCell ref="AJ20:AJ24"/>
    <mergeCell ref="E23:AH24"/>
    <mergeCell ref="A7:A11"/>
    <mergeCell ref="B7:B11"/>
    <mergeCell ref="C7:C11"/>
    <mergeCell ref="D7:D11"/>
    <mergeCell ref="E7:AH8"/>
    <mergeCell ref="A2:AJ2"/>
    <mergeCell ref="A3:AJ3"/>
    <mergeCell ref="J4:L4"/>
    <mergeCell ref="M4:U4"/>
    <mergeCell ref="M5:Q5"/>
  </mergeCells>
  <conditionalFormatting sqref="E9:AH9">
    <cfRule type="expression" dxfId="979" priority="2">
      <formula>WEEKDAY(E9:AH9,2)&gt;5</formula>
    </cfRule>
  </conditionalFormatting>
  <conditionalFormatting sqref="E22:AH22">
    <cfRule type="expression" dxfId="978" priority="1">
      <formula>WEEKDAY(E22:AH22,2)&gt;5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2" fitToHeight="0" orientation="landscape" horizontalDpi="300" verticalDpi="300" r:id="rId1"/>
  <ignoredErrors>
    <ignoredError sqref="E13 AI17:AJ17 B13:B18 E16:E17 E14:E15" calculatedColumn="1"/>
  </ignoredErrors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  <pageSetUpPr fitToPage="1"/>
  </sheetPr>
  <dimension ref="A2:AF29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137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Настройки!G10</f>
        <v>45383</v>
      </c>
      <c r="C10" s="30">
        <f>Настройки!H10</f>
        <v>45384</v>
      </c>
      <c r="D10" s="30">
        <f>Настройки!I10</f>
        <v>45385</v>
      </c>
      <c r="E10" s="30">
        <f>Настройки!J10</f>
        <v>45386</v>
      </c>
      <c r="F10" s="30">
        <f>Настройки!K10</f>
        <v>45387</v>
      </c>
      <c r="G10" s="30">
        <f>Настройки!L10</f>
        <v>45388</v>
      </c>
      <c r="H10" s="30">
        <f>Настройки!M10</f>
        <v>45389</v>
      </c>
      <c r="I10" s="30">
        <f>Настройки!N10</f>
        <v>45390</v>
      </c>
      <c r="J10" s="30">
        <f>Настройки!O10</f>
        <v>45391</v>
      </c>
      <c r="K10" s="30">
        <f>Настройки!P10</f>
        <v>45392</v>
      </c>
      <c r="L10" s="30">
        <f>Настройки!Q10</f>
        <v>45393</v>
      </c>
      <c r="M10" s="30">
        <f>Настройки!R10</f>
        <v>45394</v>
      </c>
      <c r="N10" s="30">
        <f>Настройки!S10</f>
        <v>45395</v>
      </c>
      <c r="O10" s="30">
        <f>Настройки!T10</f>
        <v>45396</v>
      </c>
      <c r="P10" s="30">
        <f>Настройки!U10</f>
        <v>45397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IF(Настройки!J2&lt;&gt;"",TEXT(Настройки!J2,"ч:мм")&amp;"-"&amp;TEXT(Настройки!J2+TIME(0,MAX(Апрель!E13:AH13),0),"ч:мм"),"")</f>
        <v>9:00-9:00</v>
      </c>
      <c r="B14" s="31" t="str">
        <f>IF(TEXT(Настройки!$J2+TIME(0,Апрель!E13,0),"ч::мм")=TEXT(Настройки!$J2,"ч:мм"),"",TEXT(Настройки!$J2,"ч:мм")&amp;"-"&amp;TEXT(Настройки!$J2+TIME(0,Апрель!E13,0),"ч::мм"))</f>
        <v/>
      </c>
      <c r="C14" s="31" t="str">
        <f>IF(TEXT(Настройки!$J2+TIME(0,Апрель!F13,0),"ч::мм")=TEXT(Настройки!$J2,"ч:мм"),"",TEXT(Настройки!$J2,"ч:мм")&amp;"-"&amp;TEXT(Настройки!$J2+TIME(0,Апрель!F13,0),"ч::мм"))</f>
        <v/>
      </c>
      <c r="D14" s="31" t="str">
        <f>IF(TEXT(Настройки!$J2+TIME(0,Апрель!G13,0),"ч::мм")=TEXT(Настройки!$J2,"ч:мм"),"",TEXT(Настройки!$J2,"ч:мм")&amp;"-"&amp;TEXT(Настройки!$J2+TIME(0,Апрель!G13,0),"ч::мм"))</f>
        <v/>
      </c>
      <c r="E14" s="31" t="str">
        <f>IF(TEXT(Настройки!$J2+TIME(0,Апрель!H13,0),"ч::мм")=TEXT(Настройки!$J2,"ч:мм"),"",TEXT(Настройки!$J2,"ч:мм")&amp;"-"&amp;TEXT(Настройки!$J2+TIME(0,Апрель!H13,0),"ч::мм"))</f>
        <v/>
      </c>
      <c r="F14" s="31" t="str">
        <f>IF(TEXT(Настройки!$J2+TIME(0,Апрель!I13,0),"ч::мм")=TEXT(Настройки!$J2,"ч:мм"),"",TEXT(Настройки!$J2,"ч:мм")&amp;"-"&amp;TEXT(Настройки!$J2+TIME(0,Апрель!I13,0),"ч::мм"))</f>
        <v/>
      </c>
      <c r="G14" s="31" t="str">
        <f>IF(TEXT(Настройки!$J2+TIME(0,Апрель!J13,0),"ч::мм")=TEXT(Настройки!$J2,"ч:мм"),"",TEXT(Настройки!$J2,"ч:мм")&amp;"-"&amp;TEXT(Настройки!$J2+TIME(0,Апрель!J13,0),"ч::мм"))</f>
        <v/>
      </c>
      <c r="H14" s="31" t="str">
        <f>IF(TEXT(Настройки!$J2+TIME(0,Апрель!K13,0),"ч::мм")=TEXT(Настройки!$J2,"ч:мм"),"",TEXT(Настройки!$J2,"ч:мм")&amp;"-"&amp;TEXT(Настройки!$J2+TIME(0,Апрель!K13,0),"ч::мм"))</f>
        <v/>
      </c>
      <c r="I14" s="31" t="str">
        <f>IF(TEXT(Настройки!$J2+TIME(0,Апрель!L13,0),"ч::мм")=TEXT(Настройки!$J2,"ч:мм"),"",TEXT(Настройки!$J2,"ч:мм")&amp;"-"&amp;TEXT(Настройки!$J2+TIME(0,Апрель!L13,0),"ч::мм"))</f>
        <v/>
      </c>
      <c r="J14" s="31" t="str">
        <f>IF(TEXT(Настройки!$J2+TIME(0,Апрель!M13,0),"ч::мм")=TEXT(Настройки!$J2,"ч:мм"),"",TEXT(Настройки!$J2,"ч:мм")&amp;"-"&amp;TEXT(Настройки!$J2+TIME(0,Апрель!M13,0),"ч::мм"))</f>
        <v/>
      </c>
      <c r="K14" s="31" t="str">
        <f>IF(TEXT(Настройки!$J2+TIME(0,Апрель!N13,0),"ч::мм")=TEXT(Настройки!$J2,"ч:мм"),"",TEXT(Настройки!$J2,"ч:мм")&amp;"-"&amp;TEXT(Настройки!$J2+TIME(0,Апрель!N13,0),"ч::мм"))</f>
        <v/>
      </c>
      <c r="L14" s="31" t="str">
        <f>IF(TEXT(Настройки!$J2+TIME(0,Апрель!O13,0),"ч::мм")=TEXT(Настройки!$J2,"ч:мм"),"",TEXT(Настройки!$J2,"ч:мм")&amp;"-"&amp;TEXT(Настройки!$J2+TIME(0,Апрель!O13,0),"ч::мм"))</f>
        <v/>
      </c>
      <c r="M14" s="31" t="str">
        <f>IF(TEXT(Настройки!$J2+TIME(0,Апрель!P13,0),"ч::мм")=TEXT(Настройки!$J2,"ч:мм"),"",TEXT(Настройки!$J2,"ч:мм")&amp;"-"&amp;TEXT(Настройки!$J2+TIME(0,Апрель!P13,0),"ч::мм"))</f>
        <v/>
      </c>
      <c r="N14" s="31" t="str">
        <f>IF(TEXT(Настройки!$J2+TIME(0,Апрель!Q13,0),"ч::мм")=TEXT(Настройки!$J2,"ч:мм"),"",TEXT(Настройки!$J2,"ч:мм")&amp;"-"&amp;TEXT(Настройки!$J2+TIME(0,Апрель!Q13,0),"ч::мм"))</f>
        <v/>
      </c>
      <c r="O14" s="31" t="str">
        <f>IF(TEXT(Настройки!$J2+TIME(0,Апрель!R13,0),"ч::мм")=TEXT(Настройки!$J2,"ч:мм"),"",TEXT(Настройки!$J2,"ч:мм")&amp;"-"&amp;TEXT(Настройки!$J2+TIME(0,Апрель!R13,0),"ч::мм"))</f>
        <v/>
      </c>
      <c r="P14" s="31" t="str">
        <f>IF(TEXT(Настройки!$J2+TIME(0,Апрель!S13,0),"ч::мм")=TEXT(Настройки!$J2,"ч:мм"),"",TEXT(Настройки!$J2,"ч:мм")&amp;"-"&amp;TEXT(Настройки!$J2+TIME(0,Апрель!S13,0),"ч::мм"))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IF(Настройки!J3&lt;&gt;"",TEXT(Настройки!J3,"ч:мм")&amp;"-"&amp;TEXT(Настройки!J3+TIME(0,MAX(Апрель!E14:AH14),0),"ч:мм"),"")</f>
        <v>13:00-13:00</v>
      </c>
      <c r="B15" s="31" t="str">
        <f ca="1">IF(TEXT(Настройки!$J3+TIME(0,Апрель!E14,0),"ч::мм")=TEXT(Настройки!$J3,"ч:мм"),"",TEXT(Настройки!$J3,"ч:мм")&amp;"-"&amp;TEXT(Настройки!$J3+TIME(0,Апрель!E14,0),"ч::мм"))</f>
        <v/>
      </c>
      <c r="C15" s="31" t="str">
        <f ca="1">IF(TEXT(Настройки!$J3+TIME(0,Апрель!F14,0),"ч::мм")=TEXT(Настройки!$J3,"ч:мм"),"",TEXT(Настройки!$J3,"ч:мм")&amp;"-"&amp;TEXT(Настройки!$J3+TIME(0,Апрель!F14,0),"ч::мм"))</f>
        <v/>
      </c>
      <c r="D15" s="31" t="str">
        <f ca="1">IF(TEXT(Настройки!$J3+TIME(0,Апрель!G14,0),"ч::мм")=TEXT(Настройки!$J3,"ч:мм"),"",TEXT(Настройки!$J3,"ч:мм")&amp;"-"&amp;TEXT(Настройки!$J3+TIME(0,Апрель!G14,0),"ч::мм"))</f>
        <v/>
      </c>
      <c r="E15" s="31" t="str">
        <f ca="1">IF(TEXT(Настройки!$J3+TIME(0,Апрель!H14,0),"ч::мм")=TEXT(Настройки!$J3,"ч:мм"),"",TEXT(Настройки!$J3,"ч:мм")&amp;"-"&amp;TEXT(Настройки!$J3+TIME(0,Апрель!H14,0),"ч::мм"))</f>
        <v/>
      </c>
      <c r="F15" s="31" t="str">
        <f ca="1">IF(TEXT(Настройки!$J3+TIME(0,Апрель!I14,0),"ч::мм")=TEXT(Настройки!$J3,"ч:мм"),"",TEXT(Настройки!$J3,"ч:мм")&amp;"-"&amp;TEXT(Настройки!$J3+TIME(0,Апрель!I14,0),"ч::мм"))</f>
        <v/>
      </c>
      <c r="G15" s="31" t="str">
        <f ca="1">IF(TEXT(Настройки!$J3+TIME(0,Апрель!J14,0),"ч::мм")=TEXT(Настройки!$J3,"ч:мм"),"",TEXT(Настройки!$J3,"ч:мм")&amp;"-"&amp;TEXT(Настройки!$J3+TIME(0,Апрель!J14,0),"ч::мм"))</f>
        <v/>
      </c>
      <c r="H15" s="31" t="str">
        <f ca="1">IF(TEXT(Настройки!$J3+TIME(0,Апрель!K14,0),"ч::мм")=TEXT(Настройки!$J3,"ч:мм"),"",TEXT(Настройки!$J3,"ч:мм")&amp;"-"&amp;TEXT(Настройки!$J3+TIME(0,Апрель!K14,0),"ч::мм"))</f>
        <v/>
      </c>
      <c r="I15" s="31" t="str">
        <f ca="1">IF(TEXT(Настройки!$J3+TIME(0,Апрель!L14,0),"ч::мм")=TEXT(Настройки!$J3,"ч:мм"),"",TEXT(Настройки!$J3,"ч:мм")&amp;"-"&amp;TEXT(Настройки!$J3+TIME(0,Апрель!L14,0),"ч::мм"))</f>
        <v/>
      </c>
      <c r="J15" s="31" t="str">
        <f ca="1">IF(TEXT(Настройки!$J3+TIME(0,Апрель!M14,0),"ч::мм")=TEXT(Настройки!$J3,"ч:мм"),"",TEXT(Настройки!$J3,"ч:мм")&amp;"-"&amp;TEXT(Настройки!$J3+TIME(0,Апрель!M14,0),"ч::мм"))</f>
        <v/>
      </c>
      <c r="K15" s="31" t="str">
        <f ca="1">IF(TEXT(Настройки!$J3+TIME(0,Апрель!N14,0),"ч::мм")=TEXT(Настройки!$J3,"ч:мм"),"",TEXT(Настройки!$J3,"ч:мм")&amp;"-"&amp;TEXT(Настройки!$J3+TIME(0,Апрель!N14,0),"ч::мм"))</f>
        <v/>
      </c>
      <c r="L15" s="31" t="str">
        <f ca="1">IF(TEXT(Настройки!$J3+TIME(0,Апрель!O14,0),"ч::мм")=TEXT(Настройки!$J3,"ч:мм"),"",TEXT(Настройки!$J3,"ч:мм")&amp;"-"&amp;TEXT(Настройки!$J3+TIME(0,Апрель!O14,0),"ч::мм"))</f>
        <v/>
      </c>
      <c r="M15" s="31" t="str">
        <f ca="1">IF(TEXT(Настройки!$J3+TIME(0,Апрель!P14,0),"ч::мм")=TEXT(Настройки!$J3,"ч:мм"),"",TEXT(Настройки!$J3,"ч:мм")&amp;"-"&amp;TEXT(Настройки!$J3+TIME(0,Апрель!P14,0),"ч::мм"))</f>
        <v/>
      </c>
      <c r="N15" s="31" t="str">
        <f ca="1">IF(TEXT(Настройки!$J3+TIME(0,Апрель!Q14,0),"ч::мм")=TEXT(Настройки!$J3,"ч:мм"),"",TEXT(Настройки!$J3,"ч:мм")&amp;"-"&amp;TEXT(Настройки!$J3+TIME(0,Апрель!Q14,0),"ч::мм"))</f>
        <v/>
      </c>
      <c r="O15" s="31" t="str">
        <f ca="1">IF(TEXT(Настройки!$J3+TIME(0,Апрель!R14,0),"ч::мм")=TEXT(Настройки!$J3,"ч:мм"),"",TEXT(Настройки!$J3,"ч:мм")&amp;"-"&amp;TEXT(Настройки!$J3+TIME(0,Апрель!R14,0),"ч::мм"))</f>
        <v/>
      </c>
      <c r="P15" s="31" t="str">
        <f ca="1">IF(TEXT(Настройки!$J3+TIME(0,Апрель!S14,0),"ч::мм")=TEXT(Настройки!$J3,"ч:мм"),"",TEXT(Настройки!$J3,"ч:мм")&amp;"-"&amp;TEXT(Настройки!$J3+TIME(0,Апрель!S14,0),"ч::мм"))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IF(Настройки!J4&lt;&gt;"",TEXT(Настройки!J4,"ч:мм")&amp;"-"&amp;TEXT(Настройки!J4+TIME(0,MAX(Апрель!E15:AH15),0),"ч:мм"),"")</f>
        <v>16:00-16:00</v>
      </c>
      <c r="B16" s="31" t="str">
        <f ca="1">IF(TEXT(Настройки!$J4+TIME(0,Апрель!E15,0),"ч::мм")=TEXT(Настройки!$J4,"ч:мм"),"",TEXT(Настройки!$J4,"ч:мм")&amp;"-"&amp;TEXT(Настройки!$J4+TIME(0,Апрель!E15,0),"ч::мм"))</f>
        <v/>
      </c>
      <c r="C16" s="31" t="str">
        <f ca="1">IF(TEXT(Настройки!$J4+TIME(0,Апрель!F15,0),"ч::мм")=TEXT(Настройки!$J4,"ч:мм"),"",TEXT(Настройки!$J4,"ч:мм")&amp;"-"&amp;TEXT(Настройки!$J4+TIME(0,Апрель!F15,0),"ч::мм"))</f>
        <v/>
      </c>
      <c r="D16" s="31" t="str">
        <f ca="1">IF(TEXT(Настройки!$J4+TIME(0,Апрель!G15,0),"ч::мм")=TEXT(Настройки!$J4,"ч:мм"),"",TEXT(Настройки!$J4,"ч:мм")&amp;"-"&amp;TEXT(Настройки!$J4+TIME(0,Апрель!G15,0),"ч::мм"))</f>
        <v/>
      </c>
      <c r="E16" s="31" t="str">
        <f ca="1">IF(TEXT(Настройки!$J4+TIME(0,Апрель!H15,0),"ч::мм")=TEXT(Настройки!$J4,"ч:мм"),"",TEXT(Настройки!$J4,"ч:мм")&amp;"-"&amp;TEXT(Настройки!$J4+TIME(0,Апрель!H15,0),"ч::мм"))</f>
        <v/>
      </c>
      <c r="F16" s="31" t="str">
        <f ca="1">IF(TEXT(Настройки!$J4+TIME(0,Апрель!I15,0),"ч::мм")=TEXT(Настройки!$J4,"ч:мм"),"",TEXT(Настройки!$J4,"ч:мм")&amp;"-"&amp;TEXT(Настройки!$J4+TIME(0,Апрель!I15,0),"ч::мм"))</f>
        <v/>
      </c>
      <c r="G16" s="31" t="str">
        <f ca="1">IF(TEXT(Настройки!$J4+TIME(0,Апрель!J15,0),"ч::мм")=TEXT(Настройки!$J4,"ч:мм"),"",TEXT(Настройки!$J4,"ч:мм")&amp;"-"&amp;TEXT(Настройки!$J4+TIME(0,Апрель!J15,0),"ч::мм"))</f>
        <v/>
      </c>
      <c r="H16" s="31" t="str">
        <f ca="1">IF(TEXT(Настройки!$J4+TIME(0,Апрель!K15,0),"ч::мм")=TEXT(Настройки!$J4,"ч:мм"),"",TEXT(Настройки!$J4,"ч:мм")&amp;"-"&amp;TEXT(Настройки!$J4+TIME(0,Апрель!K15,0),"ч::мм"))</f>
        <v/>
      </c>
      <c r="I16" s="31" t="str">
        <f ca="1">IF(TEXT(Настройки!$J4+TIME(0,Апрель!L15,0),"ч::мм")=TEXT(Настройки!$J4,"ч:мм"),"",TEXT(Настройки!$J4,"ч:мм")&amp;"-"&amp;TEXT(Настройки!$J4+TIME(0,Апрель!L15,0),"ч::мм"))</f>
        <v/>
      </c>
      <c r="J16" s="31" t="str">
        <f ca="1">IF(TEXT(Настройки!$J4+TIME(0,Апрель!M15,0),"ч::мм")=TEXT(Настройки!$J4,"ч:мм"),"",TEXT(Настройки!$J4,"ч:мм")&amp;"-"&amp;TEXT(Настройки!$J4+TIME(0,Апрель!M15,0),"ч::мм"))</f>
        <v/>
      </c>
      <c r="K16" s="31" t="str">
        <f ca="1">IF(TEXT(Настройки!$J4+TIME(0,Апрель!N15,0),"ч::мм")=TEXT(Настройки!$J4,"ч:мм"),"",TEXT(Настройки!$J4,"ч:мм")&amp;"-"&amp;TEXT(Настройки!$J4+TIME(0,Апрель!N15,0),"ч::мм"))</f>
        <v/>
      </c>
      <c r="L16" s="31" t="str">
        <f ca="1">IF(TEXT(Настройки!$J4+TIME(0,Апрель!O15,0),"ч::мм")=TEXT(Настройки!$J4,"ч:мм"),"",TEXT(Настройки!$J4,"ч:мм")&amp;"-"&amp;TEXT(Настройки!$J4+TIME(0,Апрель!O15,0),"ч::мм"))</f>
        <v/>
      </c>
      <c r="M16" s="31" t="str">
        <f ca="1">IF(TEXT(Настройки!$J4+TIME(0,Апрель!P15,0),"ч::мм")=TEXT(Настройки!$J4,"ч:мм"),"",TEXT(Настройки!$J4,"ч:мм")&amp;"-"&amp;TEXT(Настройки!$J4+TIME(0,Апрель!P15,0),"ч::мм"))</f>
        <v/>
      </c>
      <c r="N16" s="31" t="str">
        <f ca="1">IF(TEXT(Настройки!$J4+TIME(0,Апрель!Q15,0),"ч::мм")=TEXT(Настройки!$J4,"ч:мм"),"",TEXT(Настройки!$J4,"ч:мм")&amp;"-"&amp;TEXT(Настройки!$J4+TIME(0,Апрель!Q15,0),"ч::мм"))</f>
        <v/>
      </c>
      <c r="O16" s="31" t="str">
        <f ca="1">IF(TEXT(Настройки!$J4+TIME(0,Апрель!R15,0),"ч::мм")=TEXT(Настройки!$J4,"ч:мм"),"",TEXT(Настройки!$J4,"ч:мм")&amp;"-"&amp;TEXT(Настройки!$J4+TIME(0,Апрель!R15,0),"ч::мм"))</f>
        <v/>
      </c>
      <c r="P16" s="31" t="str">
        <f ca="1">IF(TEXT(Настройки!$J4+TIME(0,Апрель!S15,0),"ч::мм")=TEXT(Настройки!$J4,"ч:мм"),"",TEXT(Настройки!$J4,"ч:мм")&amp;"-"&amp;TEXT(Настройки!$J4+TIME(0,Апрель!S15,0),"ч::мм"))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Настройки!V10</f>
        <v>45398</v>
      </c>
      <c r="C20" s="30">
        <f>Настройки!W10</f>
        <v>45399</v>
      </c>
      <c r="D20" s="30">
        <f>Настройки!X10</f>
        <v>45400</v>
      </c>
      <c r="E20" s="30">
        <f>Настройки!Y10</f>
        <v>45401</v>
      </c>
      <c r="F20" s="30">
        <f>Настройки!Z10</f>
        <v>45402</v>
      </c>
      <c r="G20" s="30">
        <f>Настройки!AA10</f>
        <v>45403</v>
      </c>
      <c r="H20" s="30">
        <f>Настройки!AB10</f>
        <v>45404</v>
      </c>
      <c r="I20" s="30">
        <f>Настройки!AC10</f>
        <v>45405</v>
      </c>
      <c r="J20" s="30">
        <f>Настройки!AD10</f>
        <v>45406</v>
      </c>
      <c r="K20" s="30">
        <f>Настройки!AE10</f>
        <v>45407</v>
      </c>
      <c r="L20" s="30">
        <f>Настройки!AF10</f>
        <v>45408</v>
      </c>
      <c r="M20" s="30">
        <f>Настройки!AG10</f>
        <v>45409</v>
      </c>
      <c r="N20" s="30">
        <f>Настройки!AH10</f>
        <v>45410</v>
      </c>
      <c r="O20" s="30">
        <f>Настройки!AI10</f>
        <v>45411</v>
      </c>
      <c r="P20" s="30">
        <f>Настройки!AJ10</f>
        <v>45412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IF(TEXT(Настройки!$J2+TIME(0,Апрель!T13,0),"ч::мм")=TEXT(Настройки!$J2,"ч:мм"),"",TEXT(Настройки!$J2,"ч:мм")&amp;"-"&amp;TEXT(Настройки!$J2+TIME(0,Апрель!T13,0),"ч::мм"))</f>
        <v/>
      </c>
      <c r="C24" s="3" t="str">
        <f>IF(TEXT(Настройки!$J2+TIME(0,Апрель!U13,0),"ч::мм")=TEXT(Настройки!$J2,"ч:мм"),"",TEXT(Настройки!$J2,"ч:мм")&amp;"-"&amp;TEXT(Настройки!$J2+TIME(0,Апрель!U13,0),"ч::мм"))</f>
        <v/>
      </c>
      <c r="D24" s="3" t="str">
        <f>IF(TEXT(Настройки!$J2+TIME(0,Апрель!V13,0),"ч::мм")=TEXT(Настройки!$J2,"ч:мм"),"",TEXT(Настройки!$J2,"ч:мм")&amp;"-"&amp;TEXT(Настройки!$J2+TIME(0,Апрель!V13,0),"ч::мм"))</f>
        <v/>
      </c>
      <c r="E24" s="3" t="str">
        <f>IF(TEXT(Настройки!$J2+TIME(0,Апрель!W13,0),"ч::мм")=TEXT(Настройки!$J2,"ч:мм"),"",TEXT(Настройки!$J2,"ч:мм")&amp;"-"&amp;TEXT(Настройки!$J2+TIME(0,Апрель!W13,0),"ч::мм"))</f>
        <v/>
      </c>
      <c r="F24" s="3" t="str">
        <f>IF(TEXT(Настройки!$J2+TIME(0,Апрель!X13,0),"ч::мм")=TEXT(Настройки!$J2,"ч:мм"),"",TEXT(Настройки!$J2,"ч:мм")&amp;"-"&amp;TEXT(Настройки!$J2+TIME(0,Апрель!X13,0),"ч::мм"))</f>
        <v/>
      </c>
      <c r="G24" s="3" t="str">
        <f>IF(TEXT(Настройки!$J2+TIME(0,Апрель!Y13,0),"ч::мм")=TEXT(Настройки!$J2,"ч:мм"),"",TEXT(Настройки!$J2,"ч:мм")&amp;"-"&amp;TEXT(Настройки!$J2+TIME(0,Апрель!Y13,0),"ч::мм"))</f>
        <v/>
      </c>
      <c r="H24" s="3" t="str">
        <f>IF(TEXT(Настройки!$J2+TIME(0,Апрель!Z13,0),"ч::мм")=TEXT(Настройки!$J2,"ч:мм"),"",TEXT(Настройки!$J2,"ч:мм")&amp;"-"&amp;TEXT(Настройки!$J2+TIME(0,Апрель!Z13,0),"ч::мм"))</f>
        <v/>
      </c>
      <c r="I24" s="3" t="str">
        <f>IF(TEXT(Настройки!$J2+TIME(0,Апрель!AA13,0),"ч::мм")=TEXT(Настройки!$J2,"ч:мм"),"",TEXT(Настройки!$J2,"ч:мм")&amp;"-"&amp;TEXT(Настройки!$J2+TIME(0,Апрель!AA13,0),"ч::мм"))</f>
        <v/>
      </c>
      <c r="J24" s="3" t="str">
        <f>IF(TEXT(Настройки!$J2+TIME(0,Апрель!AB13,0),"ч::мм")=TEXT(Настройки!$J2,"ч:мм"),"",TEXT(Настройки!$J2,"ч:мм")&amp;"-"&amp;TEXT(Настройки!$J2+TIME(0,Апрель!AB13,0),"ч::мм"))</f>
        <v/>
      </c>
      <c r="K24" s="3" t="str">
        <f>IF(TEXT(Настройки!$J2+TIME(0,Апрель!AC13,0),"ч::мм")=TEXT(Настройки!$J2,"ч:мм"),"",TEXT(Настройки!$J2,"ч:мм")&amp;"-"&amp;TEXT(Настройки!$J2+TIME(0,Апрель!AC13,0),"ч::мм"))</f>
        <v/>
      </c>
      <c r="L24" s="3" t="str">
        <f>IF(TEXT(Настройки!$J2+TIME(0,Апрель!AD13,0),"ч::мм")=TEXT(Настройки!$J2,"ч:мм"),"",TEXT(Настройки!$J2,"ч:мм")&amp;"-"&amp;TEXT(Настройки!$J2+TIME(0,Апрель!AD13,0),"ч::мм"))</f>
        <v/>
      </c>
      <c r="M24" s="3" t="str">
        <f>IF(TEXT(Настройки!$J2+TIME(0,Апрель!AE13,0),"ч::мм")=TEXT(Настройки!$J2,"ч:мм"),"",TEXT(Настройки!$J2,"ч:мм")&amp;"-"&amp;TEXT(Настройки!$J2+TIME(0,Апрель!AE13,0),"ч::мм"))</f>
        <v/>
      </c>
      <c r="N24" s="3" t="str">
        <f>IF(TEXT(Настройки!$J2+TIME(0,Апрель!AF13,0),"ч::мм")=TEXT(Настройки!$J2,"ч:мм"),"",TEXT(Настройки!$J2,"ч:мм")&amp;"-"&amp;TEXT(Настройки!$J2+TIME(0,Апрель!AF13,0),"ч::мм"))</f>
        <v/>
      </c>
      <c r="O24" s="3" t="str">
        <f>IF(TEXT(Настройки!$J2+TIME(0,Апрель!AG13,0),"ч::мм")=TEXT(Настройки!$J2,"ч:мм"),"",TEXT(Настройки!$J2,"ч:мм")&amp;"-"&amp;TEXT(Настройки!$J2+TIME(0,Апрель!AG13,0),"ч::мм"))</f>
        <v/>
      </c>
      <c r="P24" s="3" t="str">
        <f>IF(TEXT(Настройки!$J2+TIME(0,Апрель!AH13,0),"ч::мм")=TEXT(Настройки!$J2,"ч:мм"),"",TEXT(Настройки!$J2,"ч:мм")&amp;"-"&amp;TEXT(Настройки!$J2+TIME(0,Апрель!AH13,0),"ч::мм"))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IF(TEXT(Настройки!$J3+TIME(0,Апрель!T14,0),"ч::мм")=TEXT(Настройки!$J3,"ч:мм"),"",TEXT(Настройки!$J3,"ч:мм")&amp;"-"&amp;TEXT(Настройки!$J3+TIME(0,Апрель!T14,0),"ч::мм"))</f>
        <v/>
      </c>
      <c r="C25" s="3" t="str">
        <f ca="1">IF(TEXT(Настройки!$J3+TIME(0,Апрель!U14,0),"ч::мм")=TEXT(Настройки!$J3,"ч:мм"),"",TEXT(Настройки!$J3,"ч:мм")&amp;"-"&amp;TEXT(Настройки!$J3+TIME(0,Апрель!U14,0),"ч::мм"))</f>
        <v/>
      </c>
      <c r="D25" s="3" t="str">
        <f ca="1">IF(TEXT(Настройки!$J3+TIME(0,Апрель!V14,0),"ч::мм")=TEXT(Настройки!$J3,"ч:мм"),"",TEXT(Настройки!$J3,"ч:мм")&amp;"-"&amp;TEXT(Настройки!$J3+TIME(0,Апрель!V14,0),"ч::мм"))</f>
        <v/>
      </c>
      <c r="E25" s="3" t="str">
        <f ca="1">IF(TEXT(Настройки!$J3+TIME(0,Апрель!W14,0),"ч::мм")=TEXT(Настройки!$J3,"ч:мм"),"",TEXT(Настройки!$J3,"ч:мм")&amp;"-"&amp;TEXT(Настройки!$J3+TIME(0,Апрель!W14,0),"ч::мм"))</f>
        <v/>
      </c>
      <c r="F25" s="3" t="str">
        <f ca="1">IF(TEXT(Настройки!$J3+TIME(0,Апрель!X14,0),"ч::мм")=TEXT(Настройки!$J3,"ч:мм"),"",TEXT(Настройки!$J3,"ч:мм")&amp;"-"&amp;TEXT(Настройки!$J3+TIME(0,Апрель!X14,0),"ч::мм"))</f>
        <v/>
      </c>
      <c r="G25" s="3" t="str">
        <f ca="1">IF(TEXT(Настройки!$J3+TIME(0,Апрель!Y14,0),"ч::мм")=TEXT(Настройки!$J3,"ч:мм"),"",TEXT(Настройки!$J3,"ч:мм")&amp;"-"&amp;TEXT(Настройки!$J3+TIME(0,Апрель!Y14,0),"ч::мм"))</f>
        <v/>
      </c>
      <c r="H25" s="3" t="str">
        <f ca="1">IF(TEXT(Настройки!$J3+TIME(0,Апрель!Z14,0),"ч::мм")=TEXT(Настройки!$J3,"ч:мм"),"",TEXT(Настройки!$J3,"ч:мм")&amp;"-"&amp;TEXT(Настройки!$J3+TIME(0,Апрель!Z14,0),"ч::мм"))</f>
        <v/>
      </c>
      <c r="I25" s="3" t="str">
        <f ca="1">IF(TEXT(Настройки!$J3+TIME(0,Апрель!AA14,0),"ч::мм")=TEXT(Настройки!$J3,"ч:мм"),"",TEXT(Настройки!$J3,"ч:мм")&amp;"-"&amp;TEXT(Настройки!$J3+TIME(0,Апрель!AA14,0),"ч::мм"))</f>
        <v/>
      </c>
      <c r="J25" s="3" t="str">
        <f ca="1">IF(TEXT(Настройки!$J3+TIME(0,Апрель!AB14,0),"ч::мм")=TEXT(Настройки!$J3,"ч:мм"),"",TEXT(Настройки!$J3,"ч:мм")&amp;"-"&amp;TEXT(Настройки!$J3+TIME(0,Апрель!AB14,0),"ч::мм"))</f>
        <v/>
      </c>
      <c r="K25" s="3" t="str">
        <f ca="1">IF(TEXT(Настройки!$J3+TIME(0,Апрель!AC14,0),"ч::мм")=TEXT(Настройки!$J3,"ч:мм"),"",TEXT(Настройки!$J3,"ч:мм")&amp;"-"&amp;TEXT(Настройки!$J3+TIME(0,Апрель!AC14,0),"ч::мм"))</f>
        <v/>
      </c>
      <c r="L25" s="3" t="str">
        <f ca="1">IF(TEXT(Настройки!$J3+TIME(0,Апрель!AD14,0),"ч::мм")=TEXT(Настройки!$J3,"ч:мм"),"",TEXT(Настройки!$J3,"ч:мм")&amp;"-"&amp;TEXT(Настройки!$J3+TIME(0,Апрель!AD14,0),"ч::мм"))</f>
        <v/>
      </c>
      <c r="M25" s="3" t="str">
        <f ca="1">IF(TEXT(Настройки!$J3+TIME(0,Апрель!AE14,0),"ч::мм")=TEXT(Настройки!$J3,"ч:мм"),"",TEXT(Настройки!$J3,"ч:мм")&amp;"-"&amp;TEXT(Настройки!$J3+TIME(0,Апрель!AE14,0),"ч::мм"))</f>
        <v/>
      </c>
      <c r="N25" s="3" t="str">
        <f ca="1">IF(TEXT(Настройки!$J3+TIME(0,Апрель!AF14,0),"ч::мм")=TEXT(Настройки!$J3,"ч:мм"),"",TEXT(Настройки!$J3,"ч:мм")&amp;"-"&amp;TEXT(Настройки!$J3+TIME(0,Апрель!AF14,0),"ч::мм"))</f>
        <v/>
      </c>
      <c r="O25" s="3" t="str">
        <f ca="1">IF(TEXT(Настройки!$J3+TIME(0,Апрель!AG14,0),"ч::мм")=TEXT(Настройки!$J3,"ч:мм"),"",TEXT(Настройки!$J3,"ч:мм")&amp;"-"&amp;TEXT(Настройки!$J3+TIME(0,Апрель!AG14,0),"ч::мм"))</f>
        <v/>
      </c>
      <c r="P25" s="3" t="str">
        <f ca="1">IF(TEXT(Настройки!$J3+TIME(0,Апрель!AH14,0),"ч::мм")=TEXT(Настройки!$J3,"ч:мм"),"",TEXT(Настройки!$J3,"ч:мм")&amp;"-"&amp;TEXT(Настройки!$J3+TIME(0,Апрель!AH14,0),"ч::мм"))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IF(TEXT(Настройки!$J4+TIME(0,Апрель!T15,0),"ч::мм")=TEXT(Настройки!$J4,"ч:мм"),"",TEXT(Настройки!$J4,"ч:мм")&amp;"-"&amp;TEXT(Настройки!$J4+TIME(0,Апрель!T15,0),"ч::мм"))</f>
        <v/>
      </c>
      <c r="C26" s="3" t="str">
        <f ca="1">IF(TEXT(Настройки!$J4+TIME(0,Апрель!U15,0),"ч::мм")=TEXT(Настройки!$J4,"ч:мм"),"",TEXT(Настройки!$J4,"ч:мм")&amp;"-"&amp;TEXT(Настройки!$J4+TIME(0,Апрель!U15,0),"ч::мм"))</f>
        <v/>
      </c>
      <c r="D26" s="3" t="str">
        <f ca="1">IF(TEXT(Настройки!$J4+TIME(0,Апрель!V15,0),"ч::мм")=TEXT(Настройки!$J4,"ч:мм"),"",TEXT(Настройки!$J4,"ч:мм")&amp;"-"&amp;TEXT(Настройки!$J4+TIME(0,Апрель!V15,0),"ч::мм"))</f>
        <v/>
      </c>
      <c r="E26" s="3" t="str">
        <f ca="1">IF(TEXT(Настройки!$J4+TIME(0,Апрель!W15,0),"ч::мм")=TEXT(Настройки!$J4,"ч:мм"),"",TEXT(Настройки!$J4,"ч:мм")&amp;"-"&amp;TEXT(Настройки!$J4+TIME(0,Апрель!W15,0),"ч::мм"))</f>
        <v/>
      </c>
      <c r="F26" s="3" t="str">
        <f ca="1">IF(TEXT(Настройки!$J4+TIME(0,Апрель!X15,0),"ч::мм")=TEXT(Настройки!$J4,"ч:мм"),"",TEXT(Настройки!$J4,"ч:мм")&amp;"-"&amp;TEXT(Настройки!$J4+TIME(0,Апрель!X15,0),"ч::мм"))</f>
        <v/>
      </c>
      <c r="G26" s="3" t="str">
        <f ca="1">IF(TEXT(Настройки!$J4+TIME(0,Апрель!Y15,0),"ч::мм")=TEXT(Настройки!$J4,"ч:мм"),"",TEXT(Настройки!$J4,"ч:мм")&amp;"-"&amp;TEXT(Настройки!$J4+TIME(0,Апрель!Y15,0),"ч::мм"))</f>
        <v/>
      </c>
      <c r="H26" s="3" t="str">
        <f ca="1">IF(TEXT(Настройки!$J4+TIME(0,Апрель!Z15,0),"ч::мм")=TEXT(Настройки!$J4,"ч:мм"),"",TEXT(Настройки!$J4,"ч:мм")&amp;"-"&amp;TEXT(Настройки!$J4+TIME(0,Апрель!Z15,0),"ч::мм"))</f>
        <v/>
      </c>
      <c r="I26" s="3" t="str">
        <f ca="1">IF(TEXT(Настройки!$J4+TIME(0,Апрель!AA15,0),"ч::мм")=TEXT(Настройки!$J4,"ч:мм"),"",TEXT(Настройки!$J4,"ч:мм")&amp;"-"&amp;TEXT(Настройки!$J4+TIME(0,Апрель!AA15,0),"ч::мм"))</f>
        <v/>
      </c>
      <c r="J26" s="3" t="str">
        <f ca="1">IF(TEXT(Настройки!$J4+TIME(0,Апрель!AB15,0),"ч::мм")=TEXT(Настройки!$J4,"ч:мм"),"",TEXT(Настройки!$J4,"ч:мм")&amp;"-"&amp;TEXT(Настройки!$J4+TIME(0,Апрель!AB15,0),"ч::мм"))</f>
        <v/>
      </c>
      <c r="K26" s="3" t="str">
        <f ca="1">IF(TEXT(Настройки!$J4+TIME(0,Апрель!AC15,0),"ч::мм")=TEXT(Настройки!$J4,"ч:мм"),"",TEXT(Настройки!$J4,"ч:мм")&amp;"-"&amp;TEXT(Настройки!$J4+TIME(0,Апрель!AC15,0),"ч::мм"))</f>
        <v/>
      </c>
      <c r="L26" s="3" t="str">
        <f ca="1">IF(TEXT(Настройки!$J4+TIME(0,Апрель!AD15,0),"ч::мм")=TEXT(Настройки!$J4,"ч:мм"),"",TEXT(Настройки!$J4,"ч:мм")&amp;"-"&amp;TEXT(Настройки!$J4+TIME(0,Апрель!AD15,0),"ч::мм"))</f>
        <v/>
      </c>
      <c r="M26" s="3" t="str">
        <f ca="1">IF(TEXT(Настройки!$J4+TIME(0,Апрель!AE15,0),"ч::мм")=TEXT(Настройки!$J4,"ч:мм"),"",TEXT(Настройки!$J4,"ч:мм")&amp;"-"&amp;TEXT(Настройки!$J4+TIME(0,Апрель!AE15,0),"ч::мм"))</f>
        <v/>
      </c>
      <c r="N26" s="3" t="str">
        <f ca="1">IF(TEXT(Настройки!$J4+TIME(0,Апрель!AF15,0),"ч::мм")=TEXT(Настройки!$J4,"ч:мм"),"",TEXT(Настройки!$J4,"ч:мм")&amp;"-"&amp;TEXT(Настройки!$J4+TIME(0,Апрель!AF15,0),"ч::мм"))</f>
        <v/>
      </c>
      <c r="O26" s="3" t="str">
        <f ca="1">IF(TEXT(Настройки!$J4+TIME(0,Апрель!AG15,0),"ч::мм")=TEXT(Настройки!$J4,"ч:мм"),"",TEXT(Настройки!$J4,"ч:мм")&amp;"-"&amp;TEXT(Настройки!$J4+TIME(0,Апрель!AG15,0),"ч::мм"))</f>
        <v/>
      </c>
      <c r="P26" s="3" t="str">
        <f ca="1">IF(TEXT(Настройки!$J4+TIME(0,Апрель!AH15,0),"ч::мм")=TEXT(Настройки!$J4,"ч:мм"),"",TEXT(Настройки!$J4,"ч:мм")&amp;"-"&amp;TEXT(Настройки!$J4+TIME(0,Апрель!AH15,0),"ч::мм"))</f>
        <v/>
      </c>
    </row>
    <row r="27" spans="1:18" x14ac:dyDescent="0.25">
      <c r="Q27" s="10"/>
      <c r="R27" s="10"/>
    </row>
    <row r="28" spans="1:18" s="10" customFormat="1" x14ac:dyDescent="0.25">
      <c r="A28" s="39"/>
    </row>
    <row r="29" spans="1:18" s="10" customFormat="1" x14ac:dyDescent="0.25"/>
  </sheetData>
  <mergeCells count="9">
    <mergeCell ref="A18:A22"/>
    <mergeCell ref="B18:P19"/>
    <mergeCell ref="B21:P22"/>
    <mergeCell ref="A2:P2"/>
    <mergeCell ref="F6:G6"/>
    <mergeCell ref="H6:I6"/>
    <mergeCell ref="A8:A12"/>
    <mergeCell ref="B8:P9"/>
    <mergeCell ref="B11:P12"/>
  </mergeCells>
  <conditionalFormatting sqref="B10:P10">
    <cfRule type="expression" dxfId="912" priority="3">
      <formula>WEEKDAY(B10:P10,2)&gt;5</formula>
    </cfRule>
  </conditionalFormatting>
  <conditionalFormatting sqref="B20:P20">
    <cfRule type="expression" dxfId="911" priority="2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4" tint="0.39997558519241921"/>
    <pageSetUpPr fitToPage="1"/>
  </sheetPr>
  <dimension ref="A2:AL28"/>
  <sheetViews>
    <sheetView zoomScale="60" zoomScaleNormal="60" workbookViewId="0">
      <selection activeCell="E1" sqref="E1"/>
    </sheetView>
  </sheetViews>
  <sheetFormatPr defaultRowHeight="15.75" x14ac:dyDescent="0.25"/>
  <cols>
    <col min="1" max="1" width="21.42578125" style="3" customWidth="1"/>
    <col min="2" max="2" width="14.28515625" style="3" customWidth="1"/>
    <col min="3" max="3" width="17.7109375" style="3" customWidth="1"/>
    <col min="4" max="4" width="9.28515625" style="3" customWidth="1"/>
    <col min="5" max="5" width="6.85546875" style="3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8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8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8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8" ht="18.75" x14ac:dyDescent="0.25">
      <c r="L5" s="11" t="s">
        <v>69</v>
      </c>
      <c r="M5" s="77" t="s">
        <v>125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8" ht="17.25" customHeight="1" x14ac:dyDescent="0.25"/>
    <row r="7" spans="1:38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9"/>
      <c r="AJ7" s="53" t="s">
        <v>64</v>
      </c>
      <c r="AK7" s="54" t="s">
        <v>64</v>
      </c>
    </row>
    <row r="8" spans="1:38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9"/>
      <c r="AJ8" s="53"/>
      <c r="AK8" s="55"/>
    </row>
    <row r="9" spans="1:38" x14ac:dyDescent="0.25">
      <c r="A9" s="63"/>
      <c r="B9" s="66"/>
      <c r="C9" s="66"/>
      <c r="D9" s="73"/>
      <c r="E9" s="18">
        <f>Настройки!G11</f>
        <v>45413</v>
      </c>
      <c r="F9" s="18">
        <f>Настройки!H11</f>
        <v>45414</v>
      </c>
      <c r="G9" s="18">
        <f>Настройки!I11</f>
        <v>45415</v>
      </c>
      <c r="H9" s="18">
        <f>Настройки!J11</f>
        <v>45416</v>
      </c>
      <c r="I9" s="18">
        <f>Настройки!K11</f>
        <v>45417</v>
      </c>
      <c r="J9" s="18">
        <f>Настройки!L11</f>
        <v>45418</v>
      </c>
      <c r="K9" s="18">
        <f>Настройки!M11</f>
        <v>45419</v>
      </c>
      <c r="L9" s="18">
        <f>Настройки!N11</f>
        <v>45420</v>
      </c>
      <c r="M9" s="18">
        <f>Настройки!O11</f>
        <v>45421</v>
      </c>
      <c r="N9" s="18">
        <f>Настройки!P11</f>
        <v>45422</v>
      </c>
      <c r="O9" s="18">
        <f>Настройки!Q11</f>
        <v>45423</v>
      </c>
      <c r="P9" s="18">
        <f>Настройки!R11</f>
        <v>45424</v>
      </c>
      <c r="Q9" s="18">
        <f>Настройки!S11</f>
        <v>45425</v>
      </c>
      <c r="R9" s="18">
        <f>Настройки!T11</f>
        <v>45426</v>
      </c>
      <c r="S9" s="18">
        <f>Настройки!U11</f>
        <v>45427</v>
      </c>
      <c r="T9" s="18">
        <f>Настройки!V11</f>
        <v>45428</v>
      </c>
      <c r="U9" s="18">
        <f>Настройки!W11</f>
        <v>45429</v>
      </c>
      <c r="V9" s="18">
        <f>Настройки!X11</f>
        <v>45430</v>
      </c>
      <c r="W9" s="18">
        <f>Настройки!Y11</f>
        <v>45431</v>
      </c>
      <c r="X9" s="18">
        <f>Настройки!Z11</f>
        <v>45432</v>
      </c>
      <c r="Y9" s="18">
        <f>Настройки!AA11</f>
        <v>45433</v>
      </c>
      <c r="Z9" s="18">
        <f>Настройки!AB11</f>
        <v>45434</v>
      </c>
      <c r="AA9" s="18">
        <f>Настройки!AC11</f>
        <v>45435</v>
      </c>
      <c r="AB9" s="18">
        <f>Настройки!AD11</f>
        <v>45436</v>
      </c>
      <c r="AC9" s="18">
        <f>Настройки!AE11</f>
        <v>45437</v>
      </c>
      <c r="AD9" s="18">
        <f>Настройки!AF11</f>
        <v>45438</v>
      </c>
      <c r="AE9" s="18">
        <f>Настройки!AG11</f>
        <v>45439</v>
      </c>
      <c r="AF9" s="18">
        <f>Настройки!AH11</f>
        <v>45440</v>
      </c>
      <c r="AG9" s="18">
        <f>Настройки!AI11</f>
        <v>45441</v>
      </c>
      <c r="AH9" s="18">
        <f>Настройки!AJ11</f>
        <v>45442</v>
      </c>
      <c r="AI9" s="18">
        <f>Настройки!AK11</f>
        <v>45443</v>
      </c>
      <c r="AJ9" s="53"/>
      <c r="AK9" s="55"/>
    </row>
    <row r="10" spans="1:38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9"/>
      <c r="AJ10" s="53"/>
      <c r="AK10" s="55"/>
    </row>
    <row r="11" spans="1:38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2"/>
      <c r="AJ11" s="53"/>
      <c r="AK11" s="56"/>
    </row>
    <row r="12" spans="1:38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SUMPRODUCT((Настройки!$G$25:$AK$25=1)*E16:AI16)</f>
        <v>0</v>
      </c>
      <c r="D13" s="5">
        <v>1</v>
      </c>
      <c r="E13" s="24">
        <f>SUMPRODUCT((Май[№]=1)*Май[1],Май[Периодичность])</f>
        <v>0</v>
      </c>
      <c r="F13" s="24">
        <f>SUMPRODUCT((Май[№]=1)*Май[2],Май[Периодичность])</f>
        <v>0</v>
      </c>
      <c r="G13" s="24">
        <f>SUMPRODUCT((Май[№]=1)*Май[3],Май[Периодичность])</f>
        <v>0</v>
      </c>
      <c r="H13" s="24">
        <f>SUMPRODUCT((Май[№]=1)*Май[4],Май[Периодичность])</f>
        <v>0</v>
      </c>
      <c r="I13" s="24">
        <f>SUMPRODUCT((Май[№]=1)*Май[5],Май[Периодичность])</f>
        <v>0</v>
      </c>
      <c r="J13" s="24">
        <f>SUMPRODUCT((Май[№]=1)*Май[6],Май[Периодичность])</f>
        <v>0</v>
      </c>
      <c r="K13" s="24">
        <f>SUMPRODUCT((Май[№]=1)*Май[7],Май[Периодичность])</f>
        <v>0</v>
      </c>
      <c r="L13" s="24">
        <f>SUMPRODUCT((Май[№]=1)*Май[8],Май[Периодичность])</f>
        <v>0</v>
      </c>
      <c r="M13" s="24">
        <f>SUMPRODUCT((Май[№]=1)*Май[9],Май[Периодичность])</f>
        <v>0</v>
      </c>
      <c r="N13" s="24">
        <f>SUMPRODUCT((Май[№]=1)*Май[10],Май[Периодичность])</f>
        <v>0</v>
      </c>
      <c r="O13" s="24">
        <f>SUMPRODUCT((Май[№]=1)*Май[11],Май[Периодичность])</f>
        <v>0</v>
      </c>
      <c r="P13" s="24">
        <f>SUMPRODUCT((Май[№]=1)*Май[12],Май[Периодичность])</f>
        <v>0</v>
      </c>
      <c r="Q13" s="24">
        <f>SUMPRODUCT((Май[№]=1)*Май[13],Май[Периодичность])</f>
        <v>0</v>
      </c>
      <c r="R13" s="24">
        <f>SUMPRODUCT((Май[№]=1)*Май[14],Май[Периодичность])</f>
        <v>0</v>
      </c>
      <c r="S13" s="24">
        <f>SUMPRODUCT((Май[№]=1)*Май[15],Май[Периодичность])</f>
        <v>0</v>
      </c>
      <c r="T13" s="24">
        <f>SUMPRODUCT((Май[№]=1)*Май[16],Май[Периодичность])</f>
        <v>0</v>
      </c>
      <c r="U13" s="24">
        <f>SUMPRODUCT((Май[№]=1)*Май[17],Май[Периодичность])</f>
        <v>0</v>
      </c>
      <c r="V13" s="24">
        <f>SUMPRODUCT((Май[№]=1)*Май[18],Май[Периодичность])</f>
        <v>0</v>
      </c>
      <c r="W13" s="24">
        <f>SUMPRODUCT((Май[№]=1)*Май[19],Май[Периодичность])</f>
        <v>0</v>
      </c>
      <c r="X13" s="24">
        <f>SUMPRODUCT((Май[№]=1)*Май[20],Май[Периодичность])</f>
        <v>0</v>
      </c>
      <c r="Y13" s="24">
        <f>SUMPRODUCT((Май[№]=1)*Май[21],Май[Периодичность])</f>
        <v>0</v>
      </c>
      <c r="Z13" s="24">
        <f>SUMPRODUCT((Май[№]=1)*Май[22],Май[Периодичность])</f>
        <v>0</v>
      </c>
      <c r="AA13" s="24">
        <f>SUMPRODUCT((Май[№]=1)*Май[23],Май[Периодичность])</f>
        <v>0</v>
      </c>
      <c r="AB13" s="24">
        <f>SUMPRODUCT((Май[№]=1)*Май[24],Май[Периодичность])</f>
        <v>0</v>
      </c>
      <c r="AC13" s="24">
        <f>SUMPRODUCT((Май[№]=1)*Май[25],Май[Периодичность])</f>
        <v>0</v>
      </c>
      <c r="AD13" s="24">
        <f>SUMPRODUCT((Май[№]=1)*Май[26],Май[Периодичность])</f>
        <v>0</v>
      </c>
      <c r="AE13" s="24">
        <f>SUMPRODUCT((Май[№]=1)*Май[27],Май[Периодичность])</f>
        <v>0</v>
      </c>
      <c r="AF13" s="24">
        <f>SUMPRODUCT((Май[№]=1)*Май[28],Май[Периодичность])</f>
        <v>0</v>
      </c>
      <c r="AG13" s="24">
        <f>SUMPRODUCT((Май[№]=1)*Май[29],Май[Периодичность])</f>
        <v>0</v>
      </c>
      <c r="AH13" s="24">
        <f>SUMPRODUCT((Май[№]=1)*Май[30],Май[Периодичность])</f>
        <v>0</v>
      </c>
      <c r="AI13" s="24">
        <f>SUMPRODUCT((Май[№]=1)*Май[31],Май[Периодичность])</f>
        <v>0</v>
      </c>
      <c r="AL13" s="4"/>
    </row>
    <row r="14" spans="1:38" x14ac:dyDescent="0.25">
      <c r="B14" s="3">
        <f ca="1">SUMPRODUCT((Настройки!$G$25:$AK$25=2)*E16:AI16)</f>
        <v>0</v>
      </c>
      <c r="D14" s="5">
        <v>2</v>
      </c>
      <c r="E14" s="24">
        <f ca="1">SUMPRODUCT((Май[№]=2)*Май[1],OFFSET(Май[Периодичность],-1,0))</f>
        <v>0</v>
      </c>
      <c r="F14" s="24">
        <f ca="1">SUMPRODUCT((Май[№]=2)*Май[2],OFFSET(Май[Периодичность],-1,0))</f>
        <v>0</v>
      </c>
      <c r="G14" s="24">
        <f ca="1">SUMPRODUCT((Май[№]=2)*Май[3],OFFSET(Май[Периодичность],-1,0))</f>
        <v>0</v>
      </c>
      <c r="H14" s="24">
        <f ca="1">SUMPRODUCT((Май[№]=2)*Май[4],OFFSET(Май[Периодичность],-1,0))</f>
        <v>0</v>
      </c>
      <c r="I14" s="24">
        <f ca="1">SUMPRODUCT((Май[№]=2)*Май[5],OFFSET(Май[Периодичность],-1,0))</f>
        <v>0</v>
      </c>
      <c r="J14" s="24">
        <f ca="1">SUMPRODUCT((Май[№]=2)*Май[6],OFFSET(Май[Периодичность],-1,0))</f>
        <v>0</v>
      </c>
      <c r="K14" s="24">
        <f ca="1">SUMPRODUCT((Май[№]=2)*Май[7],OFFSET(Май[Периодичность],-1,0))</f>
        <v>0</v>
      </c>
      <c r="L14" s="24">
        <f ca="1">SUMPRODUCT((Май[№]=2)*Май[8],OFFSET(Май[Периодичность],-1,0))</f>
        <v>0</v>
      </c>
      <c r="M14" s="24">
        <f ca="1">SUMPRODUCT((Май[№]=2)*Май[9],OFFSET(Май[Периодичность],-1,0))</f>
        <v>0</v>
      </c>
      <c r="N14" s="24">
        <f ca="1">SUMPRODUCT((Май[№]=2)*Май[10],OFFSET(Май[Периодичность],-1,0))</f>
        <v>0</v>
      </c>
      <c r="O14" s="24">
        <f ca="1">SUMPRODUCT((Май[№]=2)*Май[11],OFFSET(Май[Периодичность],-1,0))</f>
        <v>0</v>
      </c>
      <c r="P14" s="24">
        <f ca="1">SUMPRODUCT((Май[№]=2)*Май[12],OFFSET(Май[Периодичность],-1,0))</f>
        <v>0</v>
      </c>
      <c r="Q14" s="24">
        <f ca="1">SUMPRODUCT((Май[№]=2)*Май[13],OFFSET(Май[Периодичность],-1,0))</f>
        <v>0</v>
      </c>
      <c r="R14" s="24">
        <f ca="1">SUMPRODUCT((Май[№]=2)*Май[14],OFFSET(Май[Периодичность],-1,0))</f>
        <v>0</v>
      </c>
      <c r="S14" s="24">
        <f ca="1">SUMPRODUCT((Май[№]=2)*Май[15],OFFSET(Май[Периодичность],-1,0))</f>
        <v>0</v>
      </c>
      <c r="T14" s="24">
        <f ca="1">SUMPRODUCT((Май[№]=2)*Май[16],OFFSET(Май[Периодичность],-1,0))</f>
        <v>0</v>
      </c>
      <c r="U14" s="24">
        <f ca="1">SUMPRODUCT((Май[№]=2)*Май[17],OFFSET(Май[Периодичность],-1,0))</f>
        <v>0</v>
      </c>
      <c r="V14" s="24">
        <f ca="1">SUMPRODUCT((Май[№]=2)*Май[18],OFFSET(Май[Периодичность],-1,0))</f>
        <v>0</v>
      </c>
      <c r="W14" s="24">
        <f ca="1">SUMPRODUCT((Май[№]=2)*Май[19],OFFSET(Май[Периодичность],-1,0))</f>
        <v>0</v>
      </c>
      <c r="X14" s="24">
        <f ca="1">SUMPRODUCT((Май[№]=2)*Май[20],OFFSET(Май[Периодичность],-1,0))</f>
        <v>0</v>
      </c>
      <c r="Y14" s="24">
        <f ca="1">SUMPRODUCT((Май[№]=2)*Май[21],OFFSET(Май[Периодичность],-1,0))</f>
        <v>0</v>
      </c>
      <c r="Z14" s="24">
        <f ca="1">SUMPRODUCT((Май[№]=2)*Май[22],OFFSET(Май[Периодичность],-1,0))</f>
        <v>0</v>
      </c>
      <c r="AA14" s="24">
        <f ca="1">SUMPRODUCT((Май[№]=2)*Май[23],OFFSET(Май[Периодичность],-1,0))</f>
        <v>0</v>
      </c>
      <c r="AB14" s="24">
        <f ca="1">SUMPRODUCT((Май[№]=2)*Май[24],OFFSET(Май[Периодичность],-1,0))</f>
        <v>0</v>
      </c>
      <c r="AC14" s="24">
        <f ca="1">SUMPRODUCT((Май[№]=2)*Май[25],OFFSET(Май[Периодичность],-1,0))</f>
        <v>0</v>
      </c>
      <c r="AD14" s="24">
        <f ca="1">SUMPRODUCT((Май[№]=2)*Май[26],OFFSET(Май[Периодичность],-1,0))</f>
        <v>0</v>
      </c>
      <c r="AE14" s="24">
        <f ca="1">SUMPRODUCT((Май[№]=2)*Май[27],OFFSET(Май[Периодичность],-1,0))</f>
        <v>0</v>
      </c>
      <c r="AF14" s="24">
        <f ca="1">SUMPRODUCT((Май[№]=2)*Май[28],OFFSET(Май[Периодичность],-1,0))</f>
        <v>0</v>
      </c>
      <c r="AG14" s="24">
        <f ca="1">SUMPRODUCT((Май[№]=2)*Май[29],OFFSET(Май[Периодичность],-1,0))</f>
        <v>0</v>
      </c>
      <c r="AH14" s="24">
        <f ca="1">SUMPRODUCT((Май[№]=2)*Май[30],OFFSET(Май[Периодичность],-1,0))</f>
        <v>0</v>
      </c>
      <c r="AI14" s="24">
        <f ca="1">SUMPRODUCT((Май[№]=2)*Май[31],OFFSET(Май[Периодичность],-1,0))</f>
        <v>0</v>
      </c>
      <c r="AL14" s="4"/>
    </row>
    <row r="15" spans="1:38" x14ac:dyDescent="0.25">
      <c r="B15" s="3">
        <f ca="1">SUMPRODUCT((Настройки!$G$25:$AK$25=3)*E16:AI16)</f>
        <v>0</v>
      </c>
      <c r="D15" s="5">
        <v>3</v>
      </c>
      <c r="E15" s="24">
        <f ca="1">SUMPRODUCT((Май[№]=3)*Май[1],OFFSET(Май[Периодичность],-2,0))</f>
        <v>0</v>
      </c>
      <c r="F15" s="24">
        <f ca="1">SUMPRODUCT((Май[№]=3)*Май[2],OFFSET(Май[Периодичность],-2,0))</f>
        <v>0</v>
      </c>
      <c r="G15" s="24">
        <f ca="1">SUMPRODUCT((Май[№]=3)*Май[3],OFFSET(Май[Периодичность],-2,0))</f>
        <v>0</v>
      </c>
      <c r="H15" s="24">
        <f ca="1">SUMPRODUCT((Май[№]=3)*Май[4],OFFSET(Май[Периодичность],-2,0))</f>
        <v>0</v>
      </c>
      <c r="I15" s="24">
        <f ca="1">SUMPRODUCT((Май[№]=3)*Май[5],OFFSET(Май[Периодичность],-2,0))</f>
        <v>0</v>
      </c>
      <c r="J15" s="24">
        <f ca="1">SUMPRODUCT((Май[№]=3)*Май[6],OFFSET(Май[Периодичность],-2,0))</f>
        <v>0</v>
      </c>
      <c r="K15" s="24">
        <f ca="1">SUMPRODUCT((Май[№]=3)*Май[7],OFFSET(Май[Периодичность],-2,0))</f>
        <v>0</v>
      </c>
      <c r="L15" s="24">
        <f ca="1">SUMPRODUCT((Май[№]=3)*Май[8],OFFSET(Май[Периодичность],-2,0))</f>
        <v>0</v>
      </c>
      <c r="M15" s="24">
        <f ca="1">SUMPRODUCT((Май[№]=3)*Май[9],OFFSET(Май[Периодичность],-2,0))</f>
        <v>0</v>
      </c>
      <c r="N15" s="24">
        <f ca="1">SUMPRODUCT((Май[№]=3)*Май[10],OFFSET(Май[Периодичность],-2,0))</f>
        <v>0</v>
      </c>
      <c r="O15" s="24">
        <f ca="1">SUMPRODUCT((Май[№]=3)*Май[11],OFFSET(Май[Периодичность],-2,0))</f>
        <v>0</v>
      </c>
      <c r="P15" s="24">
        <f ca="1">SUMPRODUCT((Май[№]=3)*Май[12],OFFSET(Май[Периодичность],-2,0))</f>
        <v>0</v>
      </c>
      <c r="Q15" s="24">
        <f ca="1">SUMPRODUCT((Май[№]=3)*Май[13],OFFSET(Май[Периодичность],-2,0))</f>
        <v>0</v>
      </c>
      <c r="R15" s="24">
        <f ca="1">SUMPRODUCT((Май[№]=3)*Май[14],OFFSET(Май[Периодичность],-2,0))</f>
        <v>0</v>
      </c>
      <c r="S15" s="24">
        <f ca="1">SUMPRODUCT((Май[№]=3)*Май[15],OFFSET(Май[Периодичность],-2,0))</f>
        <v>0</v>
      </c>
      <c r="T15" s="24">
        <f ca="1">SUMPRODUCT((Май[№]=3)*Май[16],OFFSET(Май[Периодичность],-2,0))</f>
        <v>0</v>
      </c>
      <c r="U15" s="24">
        <f ca="1">SUMPRODUCT((Май[№]=3)*Май[17],OFFSET(Май[Периодичность],-2,0))</f>
        <v>0</v>
      </c>
      <c r="V15" s="24">
        <f ca="1">SUMPRODUCT((Май[№]=3)*Май[18],OFFSET(Май[Периодичность],-2,0))</f>
        <v>0</v>
      </c>
      <c r="W15" s="24">
        <f ca="1">SUMPRODUCT((Май[№]=3)*Май[19],OFFSET(Май[Периодичность],-2,0))</f>
        <v>0</v>
      </c>
      <c r="X15" s="24">
        <f ca="1">SUMPRODUCT((Май[№]=3)*Май[20],OFFSET(Май[Периодичность],-2,0))</f>
        <v>0</v>
      </c>
      <c r="Y15" s="24">
        <f ca="1">SUMPRODUCT((Май[№]=3)*Май[21],OFFSET(Май[Периодичность],-2,0))</f>
        <v>0</v>
      </c>
      <c r="Z15" s="24">
        <f ca="1">SUMPRODUCT((Май[№]=3)*Май[22],OFFSET(Май[Периодичность],-2,0))</f>
        <v>0</v>
      </c>
      <c r="AA15" s="24">
        <f ca="1">SUMPRODUCT((Май[№]=3)*Май[23],OFFSET(Май[Периодичность],-2,0))</f>
        <v>0</v>
      </c>
      <c r="AB15" s="24">
        <f ca="1">SUMPRODUCT((Май[№]=3)*Май[24],OFFSET(Май[Периодичность],-2,0))</f>
        <v>0</v>
      </c>
      <c r="AC15" s="24">
        <f ca="1">SUMPRODUCT((Май[№]=3)*Май[25],OFFSET(Май[Периодичность],-2,0))</f>
        <v>0</v>
      </c>
      <c r="AD15" s="24">
        <f ca="1">SUMPRODUCT((Май[№]=3)*Май[26],OFFSET(Май[Периодичность],-2,0))</f>
        <v>0</v>
      </c>
      <c r="AE15" s="24">
        <f ca="1">SUMPRODUCT((Май[№]=3)*Май[27],OFFSET(Май[Периодичность],-2,0))</f>
        <v>0</v>
      </c>
      <c r="AF15" s="24">
        <f ca="1">SUMPRODUCT((Май[№]=3)*Май[28],OFFSET(Май[Периодичность],-2,0))</f>
        <v>0</v>
      </c>
      <c r="AG15" s="24">
        <f ca="1">SUMPRODUCT((Май[№]=3)*Май[29],OFFSET(Май[Периодичность],-2,0))</f>
        <v>0</v>
      </c>
      <c r="AH15" s="24">
        <f ca="1">SUMPRODUCT((Май[№]=3)*Май[30],OFFSET(Май[Периодичность],-2,0))</f>
        <v>0</v>
      </c>
      <c r="AI15" s="24">
        <f ca="1">SUMPRODUCT((Май[№]=3)*Май[31],OFFSET(Май[Периодичность],-2,0))</f>
        <v>0</v>
      </c>
      <c r="AK15" s="10"/>
    </row>
    <row r="16" spans="1:38" ht="22.5" customHeight="1" x14ac:dyDescent="0.25">
      <c r="B16" s="3">
        <f ca="1">SUMPRODUCT((Настройки!$G$25:$AK$25=4)*E16:AI16)</f>
        <v>0</v>
      </c>
      <c r="D16" s="5"/>
      <c r="E16" s="24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I16" s="24">
        <f ca="1">SUM(AI13:AI15)</f>
        <v>0</v>
      </c>
      <c r="AK16" s="10"/>
    </row>
    <row r="17" spans="1:37" ht="22.5" customHeight="1" x14ac:dyDescent="0.25">
      <c r="B17" s="3">
        <f ca="1">SUMPRODUCT((Настройки!$G$25:$AK$25=5)*E16:AI16)</f>
        <v>0</v>
      </c>
      <c r="C17" s="5">
        <f ca="1">МайИтоги[[#This Row],[№]]*60</f>
        <v>0</v>
      </c>
      <c r="D17" s="7">
        <f ca="1">SUM(МайИтоги[[#This Row],[1]:[31]])</f>
        <v>0</v>
      </c>
      <c r="E17" s="25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25">
        <f ca="1">AI16/60</f>
        <v>0</v>
      </c>
      <c r="AJ17" s="5">
        <f ca="1">SUM(Май[УСЛУГ])</f>
        <v>0</v>
      </c>
      <c r="AK17" s="16">
        <f ca="1">SUM(Май[МИНУТ])</f>
        <v>0</v>
      </c>
    </row>
    <row r="18" spans="1:37" ht="22.5" customHeight="1" x14ac:dyDescent="0.25">
      <c r="B18" s="14">
        <f ca="1">SUMPRODUCT((Настройки!$G$25:$AK$25=6)*E16:AI16)</f>
        <v>0</v>
      </c>
      <c r="C18" s="14"/>
      <c r="D18" s="7"/>
      <c r="E18" s="47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47"/>
      <c r="AJ18" s="14"/>
      <c r="AK18" s="46"/>
    </row>
    <row r="19" spans="1:37" ht="20.25" customHeight="1" x14ac:dyDescent="0.25"/>
    <row r="20" spans="1:37" ht="22.5" customHeight="1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9"/>
      <c r="AJ20" s="53" t="s">
        <v>64</v>
      </c>
      <c r="AK20" s="54" t="s">
        <v>64</v>
      </c>
    </row>
    <row r="21" spans="1:37" ht="18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9"/>
      <c r="AJ21" s="53"/>
      <c r="AK21" s="55"/>
    </row>
    <row r="22" spans="1:37" ht="21.75" customHeight="1" x14ac:dyDescent="0.25">
      <c r="A22" s="63"/>
      <c r="B22" s="63"/>
      <c r="C22" s="64"/>
      <c r="D22" s="66"/>
      <c r="E22" s="21">
        <f>Настройки!G11</f>
        <v>45413</v>
      </c>
      <c r="F22" s="21">
        <f>Настройки!H11</f>
        <v>45414</v>
      </c>
      <c r="G22" s="21">
        <f>Настройки!I11</f>
        <v>45415</v>
      </c>
      <c r="H22" s="21">
        <f>Настройки!J11</f>
        <v>45416</v>
      </c>
      <c r="I22" s="21">
        <f>Настройки!K11</f>
        <v>45417</v>
      </c>
      <c r="J22" s="21">
        <f>Настройки!L11</f>
        <v>45418</v>
      </c>
      <c r="K22" s="21">
        <f>Настройки!M11</f>
        <v>45419</v>
      </c>
      <c r="L22" s="21">
        <f>Настройки!N11</f>
        <v>45420</v>
      </c>
      <c r="M22" s="21">
        <f>Настройки!O11</f>
        <v>45421</v>
      </c>
      <c r="N22" s="21">
        <f>Настройки!P11</f>
        <v>45422</v>
      </c>
      <c r="O22" s="21">
        <f>Настройки!Q11</f>
        <v>45423</v>
      </c>
      <c r="P22" s="21">
        <f>Настройки!R11</f>
        <v>45424</v>
      </c>
      <c r="Q22" s="21">
        <f>Настройки!S11</f>
        <v>45425</v>
      </c>
      <c r="R22" s="21">
        <f>Настройки!T11</f>
        <v>45426</v>
      </c>
      <c r="S22" s="21">
        <f>Настройки!U11</f>
        <v>45427</v>
      </c>
      <c r="T22" s="21">
        <f>Настройки!V11</f>
        <v>45428</v>
      </c>
      <c r="U22" s="21">
        <f>Настройки!W11</f>
        <v>45429</v>
      </c>
      <c r="V22" s="21">
        <f>Настройки!X11</f>
        <v>45430</v>
      </c>
      <c r="W22" s="21">
        <f>Настройки!Y11</f>
        <v>45431</v>
      </c>
      <c r="X22" s="21">
        <f>Настройки!Z11</f>
        <v>45432</v>
      </c>
      <c r="Y22" s="21">
        <f>Настройки!AA11</f>
        <v>45433</v>
      </c>
      <c r="Z22" s="21">
        <f>Настройки!AB11</f>
        <v>45434</v>
      </c>
      <c r="AA22" s="21">
        <f>Настройки!AC11</f>
        <v>45435</v>
      </c>
      <c r="AB22" s="21">
        <f>Настройки!AD11</f>
        <v>45436</v>
      </c>
      <c r="AC22" s="21">
        <f>Настройки!AE11</f>
        <v>45437</v>
      </c>
      <c r="AD22" s="21">
        <f>Настройки!AF11</f>
        <v>45438</v>
      </c>
      <c r="AE22" s="21">
        <f>Настройки!AG11</f>
        <v>45439</v>
      </c>
      <c r="AF22" s="21">
        <f>Настройки!AH11</f>
        <v>45440</v>
      </c>
      <c r="AG22" s="21">
        <f>Настройки!AI11</f>
        <v>45441</v>
      </c>
      <c r="AH22" s="21">
        <f>Настройки!AJ11</f>
        <v>45442</v>
      </c>
      <c r="AI22" s="21">
        <f>Настройки!AK11</f>
        <v>45443</v>
      </c>
      <c r="AJ22" s="53"/>
      <c r="AK22" s="55"/>
    </row>
    <row r="23" spans="1:37" x14ac:dyDescent="0.25">
      <c r="A23" s="63"/>
      <c r="B23" s="63"/>
      <c r="C23" s="64"/>
      <c r="D23" s="66"/>
      <c r="E23" s="63" t="s">
        <v>54</v>
      </c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70"/>
      <c r="AJ23" s="53"/>
      <c r="AK23" s="55"/>
    </row>
    <row r="24" spans="1:37" x14ac:dyDescent="0.25">
      <c r="A24" s="63"/>
      <c r="B24" s="63"/>
      <c r="C24" s="64"/>
      <c r="D24" s="66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70"/>
      <c r="AJ24" s="53"/>
      <c r="AK24" s="56"/>
    </row>
    <row r="25" spans="1:37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IF(Май[[#This Row],[№]]=1,SUM(Май[[#This Row],[1]:[31]])+SUM(OFFSET(Май[[#This Row],[1]:[31]],1,0))+SUM(OFFSET(Май[[#This Row],[1]:[31]],2,0)),"")</f>
        <v>0</v>
      </c>
      <c r="AK26" s="5">
        <f ca="1">IF(Май[[#This Row],[УСЛУГ]]&lt;&gt;"",Май[[#This Row],[УСЛУГ]]*Май[[#This Row],[Периодичность]],"")</f>
        <v>0</v>
      </c>
    </row>
    <row r="27" spans="1:37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IF(Май[[#This Row],[№]]=1,SUM(Май[[#This Row],[1]:[31]])+SUM(OFFSET(Май[[#This Row],[1]:[31]],1,0))+SUM(OFFSET(Май[[#This Row],[1]:[31]],2,0)),"")</f>
        <v/>
      </c>
      <c r="AK27" s="5" t="str">
        <f ca="1">IF(Май[[#This Row],[УСЛУГ]]&lt;&gt;"",Май[[#This Row],[УСЛУГ]]*Май[[#This Row],[Периодичность]],"")</f>
        <v/>
      </c>
    </row>
    <row r="28" spans="1:37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IF(Май[[#This Row],[№]]=1,SUM(Май[[#This Row],[1]:[31]])+SUM(OFFSET(Май[[#This Row],[1]:[31]],1,0))+SUM(OFFSET(Май[[#This Row],[1]:[31]],2,0)),"")</f>
        <v/>
      </c>
      <c r="AK28" s="5" t="str">
        <f ca="1">IF(Май[[#This Row],[УСЛУГ]]&lt;&gt;"",Май[[#This Row],[УСЛУГ]]*Май[[#This Row],[Периодичность]],"")</f>
        <v/>
      </c>
    </row>
  </sheetData>
  <mergeCells count="20"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  <mergeCell ref="A2:AJ2"/>
    <mergeCell ref="A3:AJ3"/>
    <mergeCell ref="J4:L4"/>
    <mergeCell ref="M4:U4"/>
    <mergeCell ref="M5:Q5"/>
  </mergeCells>
  <conditionalFormatting sqref="E9:AI9">
    <cfRule type="expression" dxfId="874" priority="2">
      <formula>WEEKDAY(E9:AI9,2)&gt;5</formula>
    </cfRule>
  </conditionalFormatting>
  <conditionalFormatting sqref="E22:AI22">
    <cfRule type="expression" dxfId="873" priority="1">
      <formula>WEEKDAY(E22:AI22,2)&gt;5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AI13:AK13 B13:B18 E16:E17 AI16:AK17 AJ14:AK14 AJ15:AK15 E14:AI15" calculatedColumn="1"/>
  </ignoredErrors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7" tint="0.39997558519241921"/>
    <pageSetUpPr fitToPage="1"/>
  </sheetPr>
  <dimension ref="A2:AF36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125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Настройки!G11</f>
        <v>45413</v>
      </c>
      <c r="C10" s="30">
        <f>Настройки!H11</f>
        <v>45414</v>
      </c>
      <c r="D10" s="30">
        <f>Настройки!I11</f>
        <v>45415</v>
      </c>
      <c r="E10" s="30">
        <f>Настройки!J11</f>
        <v>45416</v>
      </c>
      <c r="F10" s="30">
        <f>Настройки!K11</f>
        <v>45417</v>
      </c>
      <c r="G10" s="30">
        <f>Настройки!L11</f>
        <v>45418</v>
      </c>
      <c r="H10" s="30">
        <f>Настройки!M11</f>
        <v>45419</v>
      </c>
      <c r="I10" s="30">
        <f>Настройки!N11</f>
        <v>45420</v>
      </c>
      <c r="J10" s="30">
        <f>Настройки!O11</f>
        <v>45421</v>
      </c>
      <c r="K10" s="30">
        <f>Настройки!P11</f>
        <v>45422</v>
      </c>
      <c r="L10" s="30">
        <f>Настройки!Q11</f>
        <v>45423</v>
      </c>
      <c r="M10" s="30">
        <f>Настройки!R11</f>
        <v>45424</v>
      </c>
      <c r="N10" s="30">
        <f>Настройки!S11</f>
        <v>45425</v>
      </c>
      <c r="O10" s="30">
        <f>Настройки!T11</f>
        <v>45426</v>
      </c>
      <c r="P10" s="30">
        <f>Настройки!U11</f>
        <v>45427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IF(Настройки!J2&lt;&gt;"",TEXT(Настройки!J2,"ч:мм")&amp;"-"&amp;TEXT(Настройки!J2+TIME(0,MAX(Май!E13:AI13),0),"ч:мм"),"")</f>
        <v>9:00-9:00</v>
      </c>
      <c r="B14" s="31" t="str">
        <f>IF(TEXT(Настройки!$J2+TIME(0,Май!E13,0),"ч::мм")=TEXT(Настройки!$J2,"ч:мм"),"",TEXT(Настройки!$J2,"ч:мм")&amp;"-"&amp;TEXT(Настройки!$J2+TIME(0,Май!E13,0),"ч::мм"))</f>
        <v/>
      </c>
      <c r="C14" s="31" t="str">
        <f>IF(TEXT(Настройки!$J2+TIME(0,Май!F13,0),"ч::мм")=TEXT(Настройки!$J2,"ч:мм"),"",TEXT(Настройки!$J2,"ч:мм")&amp;"-"&amp;TEXT(Настройки!$J2+TIME(0,Май!F13,0),"ч::мм"))</f>
        <v/>
      </c>
      <c r="D14" s="31" t="str">
        <f>IF(TEXT(Настройки!$J2+TIME(0,Май!G13,0),"ч::мм")=TEXT(Настройки!$J2,"ч:мм"),"",TEXT(Настройки!$J2,"ч:мм")&amp;"-"&amp;TEXT(Настройки!$J2+TIME(0,Май!G13,0),"ч::мм"))</f>
        <v/>
      </c>
      <c r="E14" s="31" t="str">
        <f>IF(TEXT(Настройки!$J2+TIME(0,Май!H13,0),"ч::мм")=TEXT(Настройки!$J2,"ч:мм"),"",TEXT(Настройки!$J2,"ч:мм")&amp;"-"&amp;TEXT(Настройки!$J2+TIME(0,Май!H13,0),"ч::мм"))</f>
        <v/>
      </c>
      <c r="F14" s="31" t="str">
        <f>IF(TEXT(Настройки!$J2+TIME(0,Май!I13,0),"ч::мм")=TEXT(Настройки!$J2,"ч:мм"),"",TEXT(Настройки!$J2,"ч:мм")&amp;"-"&amp;TEXT(Настройки!$J2+TIME(0,Май!I13,0),"ч::мм"))</f>
        <v/>
      </c>
      <c r="G14" s="31" t="str">
        <f>IF(TEXT(Настройки!$J2+TIME(0,Май!J13,0),"ч::мм")=TEXT(Настройки!$J2,"ч:мм"),"",TEXT(Настройки!$J2,"ч:мм")&amp;"-"&amp;TEXT(Настройки!$J2+TIME(0,Май!J13,0),"ч::мм"))</f>
        <v/>
      </c>
      <c r="H14" s="31" t="str">
        <f>IF(TEXT(Настройки!$J2+TIME(0,Май!K13,0),"ч::мм")=TEXT(Настройки!$J2,"ч:мм"),"",TEXT(Настройки!$J2,"ч:мм")&amp;"-"&amp;TEXT(Настройки!$J2+TIME(0,Май!K13,0),"ч::мм"))</f>
        <v/>
      </c>
      <c r="I14" s="31" t="str">
        <f>IF(TEXT(Настройки!$J2+TIME(0,Май!L13,0),"ч::мм")=TEXT(Настройки!$J2,"ч:мм"),"",TEXT(Настройки!$J2,"ч:мм")&amp;"-"&amp;TEXT(Настройки!$J2+TIME(0,Май!L13,0),"ч::мм"))</f>
        <v/>
      </c>
      <c r="J14" s="31" t="str">
        <f>IF(TEXT(Настройки!$J2+TIME(0,Май!M13,0),"ч::мм")=TEXT(Настройки!$J2,"ч:мм"),"",TEXT(Настройки!$J2,"ч:мм")&amp;"-"&amp;TEXT(Настройки!$J2+TIME(0,Май!M13,0),"ч::мм"))</f>
        <v/>
      </c>
      <c r="K14" s="31" t="str">
        <f>IF(TEXT(Настройки!$J2+TIME(0,Май!N13,0),"ч::мм")=TEXT(Настройки!$J2,"ч:мм"),"",TEXT(Настройки!$J2,"ч:мм")&amp;"-"&amp;TEXT(Настройки!$J2+TIME(0,Май!N13,0),"ч::мм"))</f>
        <v/>
      </c>
      <c r="L14" s="31" t="str">
        <f>IF(TEXT(Настройки!$J2+TIME(0,Май!O13,0),"ч::мм")=TEXT(Настройки!$J2,"ч:мм"),"",TEXT(Настройки!$J2,"ч:мм")&amp;"-"&amp;TEXT(Настройки!$J2+TIME(0,Май!O13,0),"ч::мм"))</f>
        <v/>
      </c>
      <c r="M14" s="31" t="str">
        <f>IF(TEXT(Настройки!$J2+TIME(0,Май!P13,0),"ч::мм")=TEXT(Настройки!$J2,"ч:мм"),"",TEXT(Настройки!$J2,"ч:мм")&amp;"-"&amp;TEXT(Настройки!$J2+TIME(0,Май!P13,0),"ч::мм"))</f>
        <v/>
      </c>
      <c r="N14" s="31" t="str">
        <f>IF(TEXT(Настройки!$J2+TIME(0,Май!Q13,0),"ч::мм")=TEXT(Настройки!$J2,"ч:мм"),"",TEXT(Настройки!$J2,"ч:мм")&amp;"-"&amp;TEXT(Настройки!$J2+TIME(0,Май!Q13,0),"ч::мм"))</f>
        <v/>
      </c>
      <c r="O14" s="31" t="str">
        <f>IF(TEXT(Настройки!$J2+TIME(0,Май!R13,0),"ч::мм")=TEXT(Настройки!$J2,"ч:мм"),"",TEXT(Настройки!$J2,"ч:мм")&amp;"-"&amp;TEXT(Настройки!$J2+TIME(0,Май!R13,0),"ч::мм"))</f>
        <v/>
      </c>
      <c r="P14" s="31" t="str">
        <f>IF(TEXT(Настройки!$J2+TIME(0,Май!S13,0),"ч::мм")=TEXT(Настройки!$J2,"ч:мм"),"",TEXT(Настройки!$J2,"ч:мм")&amp;"-"&amp;TEXT(Настройки!$J2+TIME(0,Май!S13,0),"ч::мм"))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IF(Настройки!J3&lt;&gt;"",TEXT(Настройки!J3,"ч:мм")&amp;"-"&amp;TEXT(Настройки!J3+TIME(0,MAX(Май!E14:AI14),0),"ч:мм"),"")</f>
        <v>13:00-13:00</v>
      </c>
      <c r="B15" s="31" t="str">
        <f ca="1">IF(TEXT(Настройки!$J3+TIME(0,Май!E14,0),"ч::мм")=TEXT(Настройки!$J3,"ч:мм"),"",TEXT(Настройки!$J3,"ч:мм")&amp;"-"&amp;TEXT(Настройки!$J3+TIME(0,Май!E14,0),"ч::мм"))</f>
        <v/>
      </c>
      <c r="C15" s="31" t="str">
        <f ca="1">IF(TEXT(Настройки!$J3+TIME(0,Май!F14,0),"ч::мм")=TEXT(Настройки!$J3,"ч:мм"),"",TEXT(Настройки!$J3,"ч:мм")&amp;"-"&amp;TEXT(Настройки!$J3+TIME(0,Май!F14,0),"ч::мм"))</f>
        <v/>
      </c>
      <c r="D15" s="31" t="str">
        <f ca="1">IF(TEXT(Настройки!$J3+TIME(0,Май!G14,0),"ч::мм")=TEXT(Настройки!$J3,"ч:мм"),"",TEXT(Настройки!$J3,"ч:мм")&amp;"-"&amp;TEXT(Настройки!$J3+TIME(0,Май!G14,0),"ч::мм"))</f>
        <v/>
      </c>
      <c r="E15" s="31" t="str">
        <f ca="1">IF(TEXT(Настройки!$J3+TIME(0,Май!H14,0),"ч::мм")=TEXT(Настройки!$J3,"ч:мм"),"",TEXT(Настройки!$J3,"ч:мм")&amp;"-"&amp;TEXT(Настройки!$J3+TIME(0,Май!H14,0),"ч::мм"))</f>
        <v/>
      </c>
      <c r="F15" s="31" t="str">
        <f ca="1">IF(TEXT(Настройки!$J3+TIME(0,Май!I14,0),"ч::мм")=TEXT(Настройки!$J3,"ч:мм"),"",TEXT(Настройки!$J3,"ч:мм")&amp;"-"&amp;TEXT(Настройки!$J3+TIME(0,Май!I14,0),"ч::мм"))</f>
        <v/>
      </c>
      <c r="G15" s="31" t="str">
        <f ca="1">IF(TEXT(Настройки!$J3+TIME(0,Май!J14,0),"ч::мм")=TEXT(Настройки!$J3,"ч:мм"),"",TEXT(Настройки!$J3,"ч:мм")&amp;"-"&amp;TEXT(Настройки!$J3+TIME(0,Май!J14,0),"ч::мм"))</f>
        <v/>
      </c>
      <c r="H15" s="31" t="str">
        <f ca="1">IF(TEXT(Настройки!$J3+TIME(0,Май!K14,0),"ч::мм")=TEXT(Настройки!$J3,"ч:мм"),"",TEXT(Настройки!$J3,"ч:мм")&amp;"-"&amp;TEXT(Настройки!$J3+TIME(0,Май!K14,0),"ч::мм"))</f>
        <v/>
      </c>
      <c r="I15" s="31" t="str">
        <f ca="1">IF(TEXT(Настройки!$J3+TIME(0,Май!L14,0),"ч::мм")=TEXT(Настройки!$J3,"ч:мм"),"",TEXT(Настройки!$J3,"ч:мм")&amp;"-"&amp;TEXT(Настройки!$J3+TIME(0,Май!L14,0),"ч::мм"))</f>
        <v/>
      </c>
      <c r="J15" s="31" t="str">
        <f ca="1">IF(TEXT(Настройки!$J3+TIME(0,Май!M14,0),"ч::мм")=TEXT(Настройки!$J3,"ч:мм"),"",TEXT(Настройки!$J3,"ч:мм")&amp;"-"&amp;TEXT(Настройки!$J3+TIME(0,Май!M14,0),"ч::мм"))</f>
        <v/>
      </c>
      <c r="K15" s="31" t="str">
        <f ca="1">IF(TEXT(Настройки!$J3+TIME(0,Май!N14,0),"ч::мм")=TEXT(Настройки!$J3,"ч:мм"),"",TEXT(Настройки!$J3,"ч:мм")&amp;"-"&amp;TEXT(Настройки!$J3+TIME(0,Май!N14,0),"ч::мм"))</f>
        <v/>
      </c>
      <c r="L15" s="31" t="str">
        <f ca="1">IF(TEXT(Настройки!$J3+TIME(0,Май!O14,0),"ч::мм")=TEXT(Настройки!$J3,"ч:мм"),"",TEXT(Настройки!$J3,"ч:мм")&amp;"-"&amp;TEXT(Настройки!$J3+TIME(0,Май!O14,0),"ч::мм"))</f>
        <v/>
      </c>
      <c r="M15" s="31" t="str">
        <f ca="1">IF(TEXT(Настройки!$J3+TIME(0,Май!P14,0),"ч::мм")=TEXT(Настройки!$J3,"ч:мм"),"",TEXT(Настройки!$J3,"ч:мм")&amp;"-"&amp;TEXT(Настройки!$J3+TIME(0,Май!P14,0),"ч::мм"))</f>
        <v/>
      </c>
      <c r="N15" s="31" t="str">
        <f ca="1">IF(TEXT(Настройки!$J3+TIME(0,Май!Q14,0),"ч::мм")=TEXT(Настройки!$J3,"ч:мм"),"",TEXT(Настройки!$J3,"ч:мм")&amp;"-"&amp;TEXT(Настройки!$J3+TIME(0,Май!Q14,0),"ч::мм"))</f>
        <v/>
      </c>
      <c r="O15" s="31" t="str">
        <f ca="1">IF(TEXT(Настройки!$J3+TIME(0,Май!R14,0),"ч::мм")=TEXT(Настройки!$J3,"ч:мм"),"",TEXT(Настройки!$J3,"ч:мм")&amp;"-"&amp;TEXT(Настройки!$J3+TIME(0,Май!R14,0),"ч::мм"))</f>
        <v/>
      </c>
      <c r="P15" s="31" t="str">
        <f ca="1">IF(TEXT(Настройки!$J3+TIME(0,Май!S14,0),"ч::мм")=TEXT(Настройки!$J3,"ч:мм"),"",TEXT(Настройки!$J3,"ч:мм")&amp;"-"&amp;TEXT(Настройки!$J3+TIME(0,Май!S14,0),"ч::мм"))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IF(Настройки!J4&lt;&gt;"",TEXT(Настройки!J4,"ч:мм")&amp;"-"&amp;TEXT(Настройки!J4+TIME(0,MAX(Май!E15:AI15),0),"ч:мм"),"")</f>
        <v>16:00-16:00</v>
      </c>
      <c r="B16" s="31" t="str">
        <f ca="1">IF(TEXT(Настройки!$J4+TIME(0,Май!E15,0),"ч::мм")=TEXT(Настройки!$J4,"ч:мм"),"",TEXT(Настройки!$J4,"ч:мм")&amp;"-"&amp;TEXT(Настройки!$J4+TIME(0,Май!E15,0),"ч::мм"))</f>
        <v/>
      </c>
      <c r="C16" s="31" t="str">
        <f ca="1">IF(TEXT(Настройки!$J4+TIME(0,Май!F15,0),"ч::мм")=TEXT(Настройки!$J4,"ч:мм"),"",TEXT(Настройки!$J4,"ч:мм")&amp;"-"&amp;TEXT(Настройки!$J4+TIME(0,Май!F15,0),"ч::мм"))</f>
        <v/>
      </c>
      <c r="D16" s="31" t="str">
        <f ca="1">IF(TEXT(Настройки!$J4+TIME(0,Май!G15,0),"ч::мм")=TEXT(Настройки!$J4,"ч:мм"),"",TEXT(Настройки!$J4,"ч:мм")&amp;"-"&amp;TEXT(Настройки!$J4+TIME(0,Май!G15,0),"ч::мм"))</f>
        <v/>
      </c>
      <c r="E16" s="31" t="str">
        <f ca="1">IF(TEXT(Настройки!$J4+TIME(0,Май!H15,0),"ч::мм")=TEXT(Настройки!$J4,"ч:мм"),"",TEXT(Настройки!$J4,"ч:мм")&amp;"-"&amp;TEXT(Настройки!$J4+TIME(0,Май!H15,0),"ч::мм"))</f>
        <v/>
      </c>
      <c r="F16" s="31" t="str">
        <f ca="1">IF(TEXT(Настройки!$J4+TIME(0,Май!I15,0),"ч::мм")=TEXT(Настройки!$J4,"ч:мм"),"",TEXT(Настройки!$J4,"ч:мм")&amp;"-"&amp;TEXT(Настройки!$J4+TIME(0,Май!I15,0),"ч::мм"))</f>
        <v/>
      </c>
      <c r="G16" s="31" t="str">
        <f ca="1">IF(TEXT(Настройки!$J4+TIME(0,Май!J15,0),"ч::мм")=TEXT(Настройки!$J4,"ч:мм"),"",TEXT(Настройки!$J4,"ч:мм")&amp;"-"&amp;TEXT(Настройки!$J4+TIME(0,Май!J15,0),"ч::мм"))</f>
        <v/>
      </c>
      <c r="H16" s="31" t="str">
        <f ca="1">IF(TEXT(Настройки!$J4+TIME(0,Май!K15,0),"ч::мм")=TEXT(Настройки!$J4,"ч:мм"),"",TEXT(Настройки!$J4,"ч:мм")&amp;"-"&amp;TEXT(Настройки!$J4+TIME(0,Май!K15,0),"ч::мм"))</f>
        <v/>
      </c>
      <c r="I16" s="31" t="str">
        <f ca="1">IF(TEXT(Настройки!$J4+TIME(0,Май!L15,0),"ч::мм")=TEXT(Настройки!$J4,"ч:мм"),"",TEXT(Настройки!$J4,"ч:мм")&amp;"-"&amp;TEXT(Настройки!$J4+TIME(0,Май!L15,0),"ч::мм"))</f>
        <v/>
      </c>
      <c r="J16" s="31" t="str">
        <f ca="1">IF(TEXT(Настройки!$J4+TIME(0,Май!M15,0),"ч::мм")=TEXT(Настройки!$J4,"ч:мм"),"",TEXT(Настройки!$J4,"ч:мм")&amp;"-"&amp;TEXT(Настройки!$J4+TIME(0,Май!M15,0),"ч::мм"))</f>
        <v/>
      </c>
      <c r="K16" s="31" t="str">
        <f ca="1">IF(TEXT(Настройки!$J4+TIME(0,Май!N15,0),"ч::мм")=TEXT(Настройки!$J4,"ч:мм"),"",TEXT(Настройки!$J4,"ч:мм")&amp;"-"&amp;TEXT(Настройки!$J4+TIME(0,Май!N15,0),"ч::мм"))</f>
        <v/>
      </c>
      <c r="L16" s="31" t="str">
        <f ca="1">IF(TEXT(Настройки!$J4+TIME(0,Май!O15,0),"ч::мм")=TEXT(Настройки!$J4,"ч:мм"),"",TEXT(Настройки!$J4,"ч:мм")&amp;"-"&amp;TEXT(Настройки!$J4+TIME(0,Май!O15,0),"ч::мм"))</f>
        <v/>
      </c>
      <c r="M16" s="31" t="str">
        <f ca="1">IF(TEXT(Настройки!$J4+TIME(0,Май!P15,0),"ч::мм")=TEXT(Настройки!$J4,"ч:мм"),"",TEXT(Настройки!$J4,"ч:мм")&amp;"-"&amp;TEXT(Настройки!$J4+TIME(0,Май!P15,0),"ч::мм"))</f>
        <v/>
      </c>
      <c r="N16" s="31" t="str">
        <f ca="1">IF(TEXT(Настройки!$J4+TIME(0,Май!Q15,0),"ч::мм")=TEXT(Настройки!$J4,"ч:мм"),"",TEXT(Настройки!$J4,"ч:мм")&amp;"-"&amp;TEXT(Настройки!$J4+TIME(0,Май!Q15,0),"ч::мм"))</f>
        <v/>
      </c>
      <c r="O16" s="31" t="str">
        <f ca="1">IF(TEXT(Настройки!$J4+TIME(0,Май!R15,0),"ч::мм")=TEXT(Настройки!$J4,"ч:мм"),"",TEXT(Настройки!$J4,"ч:мм")&amp;"-"&amp;TEXT(Настройки!$J4+TIME(0,Май!R15,0),"ч::мм"))</f>
        <v/>
      </c>
      <c r="P16" s="31" t="str">
        <f ca="1">IF(TEXT(Настройки!$J4+TIME(0,Май!S15,0),"ч::мм")=TEXT(Настройки!$J4,"ч:мм"),"",TEXT(Настройки!$J4,"ч:мм")&amp;"-"&amp;TEXT(Настройки!$J4+TIME(0,Май!S15,0),"ч::мм"))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Настройки!V11</f>
        <v>45428</v>
      </c>
      <c r="C20" s="30">
        <f>Настройки!W11</f>
        <v>45429</v>
      </c>
      <c r="D20" s="30">
        <f>Настройки!X11</f>
        <v>45430</v>
      </c>
      <c r="E20" s="30">
        <f>Настройки!Y11</f>
        <v>45431</v>
      </c>
      <c r="F20" s="30">
        <f>Настройки!Z11</f>
        <v>45432</v>
      </c>
      <c r="G20" s="30">
        <f>Настройки!AA11</f>
        <v>45433</v>
      </c>
      <c r="H20" s="30">
        <f>Настройки!AB11</f>
        <v>45434</v>
      </c>
      <c r="I20" s="30">
        <f>Настройки!AC11</f>
        <v>45435</v>
      </c>
      <c r="J20" s="30">
        <f>Настройки!AD11</f>
        <v>45436</v>
      </c>
      <c r="K20" s="30">
        <f>Настройки!AE11</f>
        <v>45437</v>
      </c>
      <c r="L20" s="30">
        <f>Настройки!AF11</f>
        <v>45438</v>
      </c>
      <c r="M20" s="30">
        <f>Настройки!AG11</f>
        <v>45439</v>
      </c>
      <c r="N20" s="30">
        <f>Настройки!AH11</f>
        <v>45440</v>
      </c>
      <c r="O20" s="30">
        <f>Настройки!AI11</f>
        <v>45441</v>
      </c>
      <c r="P20" s="30">
        <f>Настройки!AJ11</f>
        <v>45442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IF(TEXT(Настройки!$J2+TIME(0,Май!T13,0),"ч::мм")=TEXT(Настройки!$J2,"ч:мм"),"",TEXT(Настройки!$J2,"ч:мм")&amp;"-"&amp;TEXT(Настройки!$J2+TIME(0,Май!T13,0),"ч::мм"))</f>
        <v/>
      </c>
      <c r="C24" s="3" t="str">
        <f>IF(TEXT(Настройки!$J2+TIME(0,Май!U13,0),"ч::мм")=TEXT(Настройки!$J2,"ч:мм"),"",TEXT(Настройки!$J2,"ч:мм")&amp;"-"&amp;TEXT(Настройки!$J2+TIME(0,Май!U13,0),"ч::мм"))</f>
        <v/>
      </c>
      <c r="D24" s="3" t="str">
        <f>IF(TEXT(Настройки!$J2+TIME(0,Май!V13,0),"ч::мм")=TEXT(Настройки!$J2,"ч:мм"),"",TEXT(Настройки!$J2,"ч:мм")&amp;"-"&amp;TEXT(Настройки!$J2+TIME(0,Май!V13,0),"ч::мм"))</f>
        <v/>
      </c>
      <c r="E24" s="3" t="str">
        <f>IF(TEXT(Настройки!$J2+TIME(0,Май!W13,0),"ч::мм")=TEXT(Настройки!$J2,"ч:мм"),"",TEXT(Настройки!$J2,"ч:мм")&amp;"-"&amp;TEXT(Настройки!$J2+TIME(0,Май!W13,0),"ч::мм"))</f>
        <v/>
      </c>
      <c r="F24" s="3" t="str">
        <f>IF(TEXT(Настройки!$J2+TIME(0,Май!X13,0),"ч::мм")=TEXT(Настройки!$J2,"ч:мм"),"",TEXT(Настройки!$J2,"ч:мм")&amp;"-"&amp;TEXT(Настройки!$J2+TIME(0,Май!X13,0),"ч::мм"))</f>
        <v/>
      </c>
      <c r="G24" s="3" t="str">
        <f>IF(TEXT(Настройки!$J2+TIME(0,Май!Y13,0),"ч::мм")=TEXT(Настройки!$J2,"ч:мм"),"",TEXT(Настройки!$J2,"ч:мм")&amp;"-"&amp;TEXT(Настройки!$J2+TIME(0,Май!Y13,0),"ч::мм"))</f>
        <v/>
      </c>
      <c r="H24" s="3" t="str">
        <f>IF(TEXT(Настройки!$J2+TIME(0,Май!Z13,0),"ч::мм")=TEXT(Настройки!$J2,"ч:мм"),"",TEXT(Настройки!$J2,"ч:мм")&amp;"-"&amp;TEXT(Настройки!$J2+TIME(0,Май!Z13,0),"ч::мм"))</f>
        <v/>
      </c>
      <c r="I24" s="3" t="str">
        <f>IF(TEXT(Настройки!$J2+TIME(0,Май!AA13,0),"ч::мм")=TEXT(Настройки!$J2,"ч:мм"),"",TEXT(Настройки!$J2,"ч:мм")&amp;"-"&amp;TEXT(Настройки!$J2+TIME(0,Май!AA13,0),"ч::мм"))</f>
        <v/>
      </c>
      <c r="J24" s="3" t="str">
        <f>IF(TEXT(Настройки!$J2+TIME(0,Май!AB13,0),"ч::мм")=TEXT(Настройки!$J2,"ч:мм"),"",TEXT(Настройки!$J2,"ч:мм")&amp;"-"&amp;TEXT(Настройки!$J2+TIME(0,Май!AB13,0),"ч::мм"))</f>
        <v/>
      </c>
      <c r="K24" s="3" t="str">
        <f>IF(TEXT(Настройки!$J2+TIME(0,Май!AC13,0),"ч::мм")=TEXT(Настройки!$J2,"ч:мм"),"",TEXT(Настройки!$J2,"ч:мм")&amp;"-"&amp;TEXT(Настройки!$J2+TIME(0,Май!AC13,0),"ч::мм"))</f>
        <v/>
      </c>
      <c r="L24" s="3" t="str">
        <f>IF(TEXT(Настройки!$J2+TIME(0,Май!AD13,0),"ч::мм")=TEXT(Настройки!$J2,"ч:мм"),"",TEXT(Настройки!$J2,"ч:мм")&amp;"-"&amp;TEXT(Настройки!$J2+TIME(0,Май!AD13,0),"ч::мм"))</f>
        <v/>
      </c>
      <c r="M24" s="3" t="str">
        <f>IF(TEXT(Настройки!$J2+TIME(0,Май!AE13,0),"ч::мм")=TEXT(Настройки!$J2,"ч:мм"),"",TEXT(Настройки!$J2,"ч:мм")&amp;"-"&amp;TEXT(Настройки!$J2+TIME(0,Май!AE13,0),"ч::мм"))</f>
        <v/>
      </c>
      <c r="N24" s="3" t="str">
        <f>IF(TEXT(Настройки!$J2+TIME(0,Май!AF13,0),"ч::мм")=TEXT(Настройки!$J2,"ч:мм"),"",TEXT(Настройки!$J2,"ч:мм")&amp;"-"&amp;TEXT(Настройки!$J2+TIME(0,Май!AF13,0),"ч::мм"))</f>
        <v/>
      </c>
      <c r="O24" s="3" t="str">
        <f>IF(TEXT(Настройки!$J2+TIME(0,Май!AG13,0),"ч::мм")=TEXT(Настройки!$J2,"ч:мм"),"",TEXT(Настройки!$J2,"ч:мм")&amp;"-"&amp;TEXT(Настройки!$J2+TIME(0,Май!AG13,0),"ч::мм"))</f>
        <v/>
      </c>
      <c r="P24" s="3" t="str">
        <f>IF(TEXT(Настройки!$J2+TIME(0,Май!AH13,0),"ч::мм")=TEXT(Настройки!$J2,"ч:мм"),"",TEXT(Настройки!$J2,"ч:мм")&amp;"-"&amp;TEXT(Настройки!$J2+TIME(0,Май!AH13,0),"ч::мм"))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IF(TEXT(Настройки!$J3+TIME(0,Май!T14,0),"ч::мм")=TEXT(Настройки!$J3,"ч:мм"),"",TEXT(Настройки!$J3,"ч:мм")&amp;"-"&amp;TEXT(Настройки!$J3+TIME(0,Май!T14,0),"ч::мм"))</f>
        <v/>
      </c>
      <c r="C25" s="3" t="str">
        <f ca="1">IF(TEXT(Настройки!$J3+TIME(0,Май!U14,0),"ч::мм")=TEXT(Настройки!$J3,"ч:мм"),"",TEXT(Настройки!$J3,"ч:мм")&amp;"-"&amp;TEXT(Настройки!$J3+TIME(0,Май!U14,0),"ч::мм"))</f>
        <v/>
      </c>
      <c r="D25" s="3" t="str">
        <f ca="1">IF(TEXT(Настройки!$J3+TIME(0,Май!V14,0),"ч::мм")=TEXT(Настройки!$J3,"ч:мм"),"",TEXT(Настройки!$J3,"ч:мм")&amp;"-"&amp;TEXT(Настройки!$J3+TIME(0,Май!V14,0),"ч::мм"))</f>
        <v/>
      </c>
      <c r="E25" s="3" t="str">
        <f ca="1">IF(TEXT(Настройки!$J3+TIME(0,Май!W14,0),"ч::мм")=TEXT(Настройки!$J3,"ч:мм"),"",TEXT(Настройки!$J3,"ч:мм")&amp;"-"&amp;TEXT(Настройки!$J3+TIME(0,Май!W14,0),"ч::мм"))</f>
        <v/>
      </c>
      <c r="F25" s="3" t="str">
        <f ca="1">IF(TEXT(Настройки!$J3+TIME(0,Май!X14,0),"ч::мм")=TEXT(Настройки!$J3,"ч:мм"),"",TEXT(Настройки!$J3,"ч:мм")&amp;"-"&amp;TEXT(Настройки!$J3+TIME(0,Май!X14,0),"ч::мм"))</f>
        <v/>
      </c>
      <c r="G25" s="3" t="str">
        <f ca="1">IF(TEXT(Настройки!$J3+TIME(0,Май!Y14,0),"ч::мм")=TEXT(Настройки!$J3,"ч:мм"),"",TEXT(Настройки!$J3,"ч:мм")&amp;"-"&amp;TEXT(Настройки!$J3+TIME(0,Май!Y14,0),"ч::мм"))</f>
        <v/>
      </c>
      <c r="H25" s="3" t="str">
        <f ca="1">IF(TEXT(Настройки!$J3+TIME(0,Май!Z14,0),"ч::мм")=TEXT(Настройки!$J3,"ч:мм"),"",TEXT(Настройки!$J3,"ч:мм")&amp;"-"&amp;TEXT(Настройки!$J3+TIME(0,Май!Z14,0),"ч::мм"))</f>
        <v/>
      </c>
      <c r="I25" s="3" t="str">
        <f ca="1">IF(TEXT(Настройки!$J3+TIME(0,Май!AA14,0),"ч::мм")=TEXT(Настройки!$J3,"ч:мм"),"",TEXT(Настройки!$J3,"ч:мм")&amp;"-"&amp;TEXT(Настройки!$J3+TIME(0,Май!AA14,0),"ч::мм"))</f>
        <v/>
      </c>
      <c r="J25" s="3" t="str">
        <f ca="1">IF(TEXT(Настройки!$J3+TIME(0,Май!AB14,0),"ч::мм")=TEXT(Настройки!$J3,"ч:мм"),"",TEXT(Настройки!$J3,"ч:мм")&amp;"-"&amp;TEXT(Настройки!$J3+TIME(0,Май!AB14,0),"ч::мм"))</f>
        <v/>
      </c>
      <c r="K25" s="3" t="str">
        <f ca="1">IF(TEXT(Настройки!$J3+TIME(0,Май!AC14,0),"ч::мм")=TEXT(Настройки!$J3,"ч:мм"),"",TEXT(Настройки!$J3,"ч:мм")&amp;"-"&amp;TEXT(Настройки!$J3+TIME(0,Май!AC14,0),"ч::мм"))</f>
        <v/>
      </c>
      <c r="L25" s="3" t="str">
        <f ca="1">IF(TEXT(Настройки!$J3+TIME(0,Май!AD14,0),"ч::мм")=TEXT(Настройки!$J3,"ч:мм"),"",TEXT(Настройки!$J3,"ч:мм")&amp;"-"&amp;TEXT(Настройки!$J3+TIME(0,Май!AD14,0),"ч::мм"))</f>
        <v/>
      </c>
      <c r="M25" s="3" t="str">
        <f ca="1">IF(TEXT(Настройки!$J3+TIME(0,Май!AE14,0),"ч::мм")=TEXT(Настройки!$J3,"ч:мм"),"",TEXT(Настройки!$J3,"ч:мм")&amp;"-"&amp;TEXT(Настройки!$J3+TIME(0,Май!AE14,0),"ч::мм"))</f>
        <v/>
      </c>
      <c r="N25" s="3" t="str">
        <f ca="1">IF(TEXT(Настройки!$J3+TIME(0,Май!AF14,0),"ч::мм")=TEXT(Настройки!$J3,"ч:мм"),"",TEXT(Настройки!$J3,"ч:мм")&amp;"-"&amp;TEXT(Настройки!$J3+TIME(0,Май!AF14,0),"ч::мм"))</f>
        <v/>
      </c>
      <c r="O25" s="3" t="str">
        <f ca="1">IF(TEXT(Настройки!$J3+TIME(0,Май!AG14,0),"ч::мм")=TEXT(Настройки!$J3,"ч:мм"),"",TEXT(Настройки!$J3,"ч:мм")&amp;"-"&amp;TEXT(Настройки!$J3+TIME(0,Май!AG14,0),"ч::мм"))</f>
        <v/>
      </c>
      <c r="P25" s="3" t="str">
        <f ca="1">IF(TEXT(Настройки!$J3+TIME(0,Май!AH14,0),"ч::мм")=TEXT(Настройки!$J3,"ч:мм"),"",TEXT(Настройки!$J3,"ч:мм")&amp;"-"&amp;TEXT(Настройки!$J3+TIME(0,Май!AH14,0),"ч::мм"))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IF(TEXT(Настройки!$J4+TIME(0,Май!T15,0),"ч::мм")=TEXT(Настройки!$J4,"ч:мм"),"",TEXT(Настройки!$J4,"ч:мм")&amp;"-"&amp;TEXT(Настройки!$J4+TIME(0,Май!T15,0),"ч::мм"))</f>
        <v/>
      </c>
      <c r="C26" s="3" t="str">
        <f ca="1">IF(TEXT(Настройки!$J4+TIME(0,Май!U15,0),"ч::мм")=TEXT(Настройки!$J4,"ч:мм"),"",TEXT(Настройки!$J4,"ч:мм")&amp;"-"&amp;TEXT(Настройки!$J4+TIME(0,Май!U15,0),"ч::мм"))</f>
        <v/>
      </c>
      <c r="D26" s="3" t="str">
        <f ca="1">IF(TEXT(Настройки!$J4+TIME(0,Май!V15,0),"ч::мм")=TEXT(Настройки!$J4,"ч:мм"),"",TEXT(Настройки!$J4,"ч:мм")&amp;"-"&amp;TEXT(Настройки!$J4+TIME(0,Май!V15,0),"ч::мм"))</f>
        <v/>
      </c>
      <c r="E26" s="3" t="str">
        <f ca="1">IF(TEXT(Настройки!$J4+TIME(0,Май!W15,0),"ч::мм")=TEXT(Настройки!$J4,"ч:мм"),"",TEXT(Настройки!$J4,"ч:мм")&amp;"-"&amp;TEXT(Настройки!$J4+TIME(0,Май!W15,0),"ч::мм"))</f>
        <v/>
      </c>
      <c r="F26" s="3" t="str">
        <f ca="1">IF(TEXT(Настройки!$J4+TIME(0,Май!X15,0),"ч::мм")=TEXT(Настройки!$J4,"ч:мм"),"",TEXT(Настройки!$J4,"ч:мм")&amp;"-"&amp;TEXT(Настройки!$J4+TIME(0,Май!X15,0),"ч::мм"))</f>
        <v/>
      </c>
      <c r="G26" s="3" t="str">
        <f ca="1">IF(TEXT(Настройки!$J4+TIME(0,Май!Y15,0),"ч::мм")=TEXT(Настройки!$J4,"ч:мм"),"",TEXT(Настройки!$J4,"ч:мм")&amp;"-"&amp;TEXT(Настройки!$J4+TIME(0,Май!Y15,0),"ч::мм"))</f>
        <v/>
      </c>
      <c r="H26" s="3" t="str">
        <f ca="1">IF(TEXT(Настройки!$J4+TIME(0,Май!Z15,0),"ч::мм")=TEXT(Настройки!$J4,"ч:мм"),"",TEXT(Настройки!$J4,"ч:мм")&amp;"-"&amp;TEXT(Настройки!$J4+TIME(0,Май!Z15,0),"ч::мм"))</f>
        <v/>
      </c>
      <c r="I26" s="3" t="str">
        <f ca="1">IF(TEXT(Настройки!$J4+TIME(0,Май!AA15,0),"ч::мм")=TEXT(Настройки!$J4,"ч:мм"),"",TEXT(Настройки!$J4,"ч:мм")&amp;"-"&amp;TEXT(Настройки!$J4+TIME(0,Май!AA15,0),"ч::мм"))</f>
        <v/>
      </c>
      <c r="J26" s="3" t="str">
        <f ca="1">IF(TEXT(Настройки!$J4+TIME(0,Май!AB15,0),"ч::мм")=TEXT(Настройки!$J4,"ч:мм"),"",TEXT(Настройки!$J4,"ч:мм")&amp;"-"&amp;TEXT(Настройки!$J4+TIME(0,Май!AB15,0),"ч::мм"))</f>
        <v/>
      </c>
      <c r="K26" s="3" t="str">
        <f ca="1">IF(TEXT(Настройки!$J4+TIME(0,Май!AC15,0),"ч::мм")=TEXT(Настройки!$J4,"ч:мм"),"",TEXT(Настройки!$J4,"ч:мм")&amp;"-"&amp;TEXT(Настройки!$J4+TIME(0,Май!AC15,0),"ч::мм"))</f>
        <v/>
      </c>
      <c r="L26" s="3" t="str">
        <f ca="1">IF(TEXT(Настройки!$J4+TIME(0,Май!AD15,0),"ч::мм")=TEXT(Настройки!$J4,"ч:мм"),"",TEXT(Настройки!$J4,"ч:мм")&amp;"-"&amp;TEXT(Настройки!$J4+TIME(0,Май!AD15,0),"ч::мм"))</f>
        <v/>
      </c>
      <c r="M26" s="3" t="str">
        <f ca="1">IF(TEXT(Настройки!$J4+TIME(0,Май!AE15,0),"ч::мм")=TEXT(Настройки!$J4,"ч:мм"),"",TEXT(Настройки!$J4,"ч:мм")&amp;"-"&amp;TEXT(Настройки!$J4+TIME(0,Май!AE15,0),"ч::мм"))</f>
        <v/>
      </c>
      <c r="N26" s="3" t="str">
        <f ca="1">IF(TEXT(Настройки!$J4+TIME(0,Май!AF15,0),"ч::мм")=TEXT(Настройки!$J4,"ч:мм"),"",TEXT(Настройки!$J4,"ч:мм")&amp;"-"&amp;TEXT(Настройки!$J4+TIME(0,Май!AF15,0),"ч::мм"))</f>
        <v/>
      </c>
      <c r="O26" s="3" t="str">
        <f ca="1">IF(TEXT(Настройки!$J4+TIME(0,Май!AG15,0),"ч::мм")=TEXT(Настройки!$J4,"ч:мм"),"",TEXT(Настройки!$J4,"ч:мм")&amp;"-"&amp;TEXT(Настройки!$J4+TIME(0,Май!AG15,0),"ч::мм"))</f>
        <v/>
      </c>
      <c r="P26" s="3" t="str">
        <f ca="1">IF(TEXT(Настройки!$J4+TIME(0,Май!AH15,0),"ч::мм")=TEXT(Настройки!$J4,"ч:мм"),"",TEXT(Настройки!$J4,"ч:мм")&amp;"-"&amp;TEXT(Настройки!$J4+TIME(0,Май!AH15,0),"ч::мм"))</f>
        <v/>
      </c>
    </row>
    <row r="27" spans="1:18" x14ac:dyDescent="0.25">
      <c r="Q27" s="10"/>
      <c r="R27" s="10"/>
    </row>
    <row r="28" spans="1:18" x14ac:dyDescent="0.25">
      <c r="A28" s="72"/>
      <c r="B28" s="57" t="s">
        <v>55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2"/>
      <c r="Q28" s="34"/>
      <c r="R28" s="10"/>
    </row>
    <row r="29" spans="1:18" x14ac:dyDescent="0.25">
      <c r="A29" s="79"/>
      <c r="B29" s="83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5"/>
      <c r="Q29" s="34"/>
      <c r="R29" s="10"/>
    </row>
    <row r="30" spans="1:18" x14ac:dyDescent="0.25">
      <c r="A30" s="79"/>
      <c r="B30" s="30">
        <f>Настройки!AK11</f>
        <v>45443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2"/>
      <c r="R30" s="10"/>
    </row>
    <row r="31" spans="1:18" x14ac:dyDescent="0.25">
      <c r="A31" s="79"/>
      <c r="B31" s="57" t="s">
        <v>54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2"/>
      <c r="Q31" s="34"/>
      <c r="R31" s="10"/>
    </row>
    <row r="32" spans="1:18" x14ac:dyDescent="0.25">
      <c r="A32" s="80"/>
      <c r="B32" s="83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5"/>
      <c r="Q32" s="34"/>
      <c r="R32" s="10"/>
    </row>
    <row r="33" spans="1:16" x14ac:dyDescent="0.25">
      <c r="A33" s="3" t="s">
        <v>138</v>
      </c>
      <c r="B33" s="3" t="s">
        <v>113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3" t="str">
        <f t="shared" ref="A34:A36" si="1">A14</f>
        <v>9:00-9:00</v>
      </c>
      <c r="B34" s="3" t="str">
        <f>IF(TEXT(Настройки!$J2+TIME(0,Май!AI13,0),"ч::мм")=TEXT(Настройки!$J2,"ч:мм"),"",TEXT(Настройки!$J2,"ч:мм")&amp;"-"&amp;TEXT(Настройки!$J2+TIME(0,Май!AI13,0),"ч::мм"))</f>
        <v/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</row>
    <row r="35" spans="1:16" x14ac:dyDescent="0.25">
      <c r="A35" s="33" t="str">
        <f t="shared" ca="1" si="1"/>
        <v>13:00-13:00</v>
      </c>
      <c r="B35" s="3" t="str">
        <f ca="1">IF(TEXT(Настройки!$J3+TIME(0,Май!AI14,0),"ч::мм")=TEXT(Настройки!$J3,"ч:мм"),"",TEXT(Настройки!$J3,"ч:мм")&amp;"-"&amp;TEXT(Настройки!$J3+TIME(0,Май!AI14,0),"ч::мм"))</f>
        <v/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1:16" x14ac:dyDescent="0.25">
      <c r="A36" s="33" t="str">
        <f t="shared" ca="1" si="1"/>
        <v>16:00-16:00</v>
      </c>
      <c r="B36" s="3" t="str">
        <f ca="1">IF(TEXT(Настройки!$J4+TIME(0,Май!AI15,0),"ч::мм")=TEXT(Настройки!$J4,"ч:мм"),"",TEXT(Настройки!$J4,"ч:мм")&amp;"-"&amp;TEXT(Настройки!$J4+TIME(0,Май!AI15,0),"ч::мм"))</f>
        <v/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</sheetData>
  <mergeCells count="12">
    <mergeCell ref="A18:A22"/>
    <mergeCell ref="B18:P19"/>
    <mergeCell ref="B21:P22"/>
    <mergeCell ref="A28:A32"/>
    <mergeCell ref="B28:P29"/>
    <mergeCell ref="B31:P32"/>
    <mergeCell ref="A2:P2"/>
    <mergeCell ref="F6:G6"/>
    <mergeCell ref="H6:I6"/>
    <mergeCell ref="A8:A12"/>
    <mergeCell ref="B8:P9"/>
    <mergeCell ref="B11:P12"/>
  </mergeCells>
  <conditionalFormatting sqref="B10:P10">
    <cfRule type="expression" dxfId="806" priority="3">
      <formula>WEEKDAY(B10:P10,2)&gt;5</formula>
    </cfRule>
  </conditionalFormatting>
  <conditionalFormatting sqref="B20:P20">
    <cfRule type="expression" dxfId="805" priority="2">
      <formula>WEEKDAY(B20:P20,2)&gt;5</formula>
    </cfRule>
  </conditionalFormatting>
  <conditionalFormatting sqref="B30">
    <cfRule type="expression" dxfId="804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3"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4" tint="0.39997558519241921"/>
    <pageSetUpPr fitToPage="1"/>
  </sheetPr>
  <dimension ref="A2:AK28"/>
  <sheetViews>
    <sheetView zoomScale="60" zoomScaleNormal="6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4.140625" style="3" customWidth="1"/>
    <col min="3" max="3" width="17.5703125" style="3" customWidth="1"/>
    <col min="4" max="4" width="9.28515625" style="3" customWidth="1"/>
    <col min="5" max="5" width="11.28515625" style="3" bestFit="1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7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7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7" ht="18.75" x14ac:dyDescent="0.25">
      <c r="C5" s="15"/>
      <c r="L5" s="11" t="s">
        <v>69</v>
      </c>
      <c r="M5" s="77" t="s">
        <v>123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7" ht="18.75" x14ac:dyDescent="0.25">
      <c r="C6" s="15"/>
      <c r="L6" s="11"/>
      <c r="M6" s="17"/>
      <c r="N6" s="26"/>
      <c r="O6" s="26"/>
      <c r="P6" s="26"/>
      <c r="Q6" s="26"/>
      <c r="R6" s="17"/>
      <c r="S6" s="26"/>
      <c r="T6" s="13"/>
      <c r="U6" s="13"/>
    </row>
    <row r="7" spans="1:37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59"/>
      <c r="AI7" s="53" t="s">
        <v>64</v>
      </c>
      <c r="AJ7" s="53" t="s">
        <v>64</v>
      </c>
      <c r="AK7" s="4"/>
    </row>
    <row r="8" spans="1:37" ht="15.75" customHeight="1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9"/>
      <c r="AI8" s="53"/>
      <c r="AJ8" s="53"/>
      <c r="AK8" s="4"/>
    </row>
    <row r="9" spans="1:37" x14ac:dyDescent="0.25">
      <c r="A9" s="63"/>
      <c r="B9" s="66"/>
      <c r="C9" s="66"/>
      <c r="D9" s="73"/>
      <c r="E9" s="18">
        <f>Настройки!G12</f>
        <v>45444</v>
      </c>
      <c r="F9" s="18">
        <f>Настройки!H12</f>
        <v>45445</v>
      </c>
      <c r="G9" s="18">
        <f>Настройки!I12</f>
        <v>45446</v>
      </c>
      <c r="H9" s="18">
        <f>Настройки!J12</f>
        <v>45447</v>
      </c>
      <c r="I9" s="18">
        <f>Настройки!K12</f>
        <v>45448</v>
      </c>
      <c r="J9" s="18">
        <f>Настройки!L12</f>
        <v>45449</v>
      </c>
      <c r="K9" s="18">
        <f>Настройки!M12</f>
        <v>45450</v>
      </c>
      <c r="L9" s="18">
        <f>Настройки!N12</f>
        <v>45451</v>
      </c>
      <c r="M9" s="18">
        <f>Настройки!O12</f>
        <v>45452</v>
      </c>
      <c r="N9" s="18">
        <f>Настройки!P12</f>
        <v>45453</v>
      </c>
      <c r="O9" s="18">
        <f>Настройки!Q12</f>
        <v>45454</v>
      </c>
      <c r="P9" s="18">
        <f>Настройки!R12</f>
        <v>45455</v>
      </c>
      <c r="Q9" s="18">
        <f>Настройки!S12</f>
        <v>45456</v>
      </c>
      <c r="R9" s="18">
        <f>Настройки!T12</f>
        <v>45457</v>
      </c>
      <c r="S9" s="18">
        <f>Настройки!U12</f>
        <v>45458</v>
      </c>
      <c r="T9" s="18">
        <f>Настройки!V12</f>
        <v>45459</v>
      </c>
      <c r="U9" s="18">
        <f>Настройки!W12</f>
        <v>45460</v>
      </c>
      <c r="V9" s="18">
        <f>Настройки!X12</f>
        <v>45461</v>
      </c>
      <c r="W9" s="18">
        <f>Настройки!Y12</f>
        <v>45462</v>
      </c>
      <c r="X9" s="18">
        <f>Настройки!Z12</f>
        <v>45463</v>
      </c>
      <c r="Y9" s="18">
        <f>Настройки!AA12</f>
        <v>45464</v>
      </c>
      <c r="Z9" s="18">
        <f>Настройки!AB12</f>
        <v>45465</v>
      </c>
      <c r="AA9" s="18">
        <f>Настройки!AC12</f>
        <v>45466</v>
      </c>
      <c r="AB9" s="18">
        <f>Настройки!AD12</f>
        <v>45467</v>
      </c>
      <c r="AC9" s="18">
        <f>Настройки!AE12</f>
        <v>45468</v>
      </c>
      <c r="AD9" s="18">
        <f>Настройки!AF12</f>
        <v>45469</v>
      </c>
      <c r="AE9" s="18">
        <f>Настройки!AG12</f>
        <v>45470</v>
      </c>
      <c r="AF9" s="18">
        <f>Настройки!AH12</f>
        <v>45471</v>
      </c>
      <c r="AG9" s="18">
        <f>Настройки!AI12</f>
        <v>45472</v>
      </c>
      <c r="AH9" s="18">
        <f>Настройки!AJ12</f>
        <v>45473</v>
      </c>
      <c r="AI9" s="53"/>
      <c r="AJ9" s="53"/>
      <c r="AK9" s="4"/>
    </row>
    <row r="10" spans="1:37" ht="15.75" customHeight="1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86"/>
      <c r="AI10" s="53"/>
      <c r="AJ10" s="53"/>
      <c r="AK10" s="4"/>
    </row>
    <row r="11" spans="1:37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2"/>
      <c r="AI11" s="53"/>
      <c r="AJ11" s="53"/>
    </row>
    <row r="12" spans="1:37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14" t="s">
        <v>75</v>
      </c>
      <c r="F12" s="14" t="s">
        <v>76</v>
      </c>
      <c r="G12" s="14" t="s">
        <v>77</v>
      </c>
      <c r="H12" s="14" t="s">
        <v>78</v>
      </c>
      <c r="I12" s="14" t="s">
        <v>79</v>
      </c>
      <c r="J12" s="14" t="s">
        <v>80</v>
      </c>
      <c r="K12" s="14" t="s">
        <v>81</v>
      </c>
      <c r="L12" s="14" t="s">
        <v>82</v>
      </c>
      <c r="M12" s="14" t="s">
        <v>83</v>
      </c>
      <c r="N12" s="14" t="s">
        <v>84</v>
      </c>
      <c r="O12" s="14" t="s">
        <v>85</v>
      </c>
      <c r="P12" s="14" t="s">
        <v>86</v>
      </c>
      <c r="Q12" s="14" t="s">
        <v>87</v>
      </c>
      <c r="R12" s="14" t="s">
        <v>88</v>
      </c>
      <c r="S12" s="14" t="s">
        <v>89</v>
      </c>
      <c r="T12" s="14" t="s">
        <v>90</v>
      </c>
      <c r="U12" s="14" t="s">
        <v>91</v>
      </c>
      <c r="V12" s="14" t="s">
        <v>92</v>
      </c>
      <c r="W12" s="14" t="s">
        <v>93</v>
      </c>
      <c r="X12" s="14" t="s">
        <v>94</v>
      </c>
      <c r="Y12" s="14" t="s">
        <v>95</v>
      </c>
      <c r="Z12" s="14" t="s">
        <v>96</v>
      </c>
      <c r="AA12" s="14" t="s">
        <v>97</v>
      </c>
      <c r="AB12" s="14" t="s">
        <v>98</v>
      </c>
      <c r="AC12" s="14" t="s">
        <v>99</v>
      </c>
      <c r="AD12" s="14" t="s">
        <v>100</v>
      </c>
      <c r="AE12" s="14" t="s">
        <v>101</v>
      </c>
      <c r="AF12" s="14" t="s">
        <v>102</v>
      </c>
      <c r="AG12" s="14" t="s">
        <v>103</v>
      </c>
      <c r="AH12" s="14" t="s">
        <v>104</v>
      </c>
      <c r="AI12" s="3" t="s">
        <v>62</v>
      </c>
      <c r="AJ12" s="3" t="s">
        <v>63</v>
      </c>
    </row>
    <row r="13" spans="1:37" ht="22.5" customHeight="1" x14ac:dyDescent="0.25">
      <c r="A13" s="5" t="s">
        <v>56</v>
      </c>
      <c r="B13" s="3">
        <f ca="1">SUMPRODUCT((Настройки!$G$26:$AJ$26=1)*E16:AH16)</f>
        <v>0</v>
      </c>
      <c r="C13" s="14"/>
      <c r="D13" s="5">
        <v>1</v>
      </c>
      <c r="E13" s="3">
        <f>SUMPRODUCT((Июнь[№]=1)*Июнь[1],Июнь[Периодичность])</f>
        <v>0</v>
      </c>
      <c r="F13" s="24">
        <f>SUMPRODUCT((Июнь[№]=1)*Июнь[2],Июнь[Периодичность])</f>
        <v>0</v>
      </c>
      <c r="G13" s="24">
        <f>SUMPRODUCT((Июнь[№]=1)*Июнь[3],Июнь[Периодичность])</f>
        <v>0</v>
      </c>
      <c r="H13" s="24">
        <f>SUMPRODUCT((Июнь[№]=1)*Июнь[4],Июнь[Периодичность])</f>
        <v>0</v>
      </c>
      <c r="I13" s="24">
        <f>SUMPRODUCT((Июнь[№]=1)*Июнь[5],Июнь[Периодичность])</f>
        <v>0</v>
      </c>
      <c r="J13" s="24">
        <f>SUMPRODUCT((Июнь[№]=1)*Июнь[6],Июнь[Периодичность])</f>
        <v>0</v>
      </c>
      <c r="K13" s="24">
        <f>SUMPRODUCT((Июнь[№]=1)*Июнь[7],Июнь[Периодичность])</f>
        <v>0</v>
      </c>
      <c r="L13" s="24">
        <f>SUMPRODUCT((Июнь[№]=1)*Июнь[8],Июнь[Периодичность])</f>
        <v>0</v>
      </c>
      <c r="M13" s="24">
        <f>SUMPRODUCT((Июнь[№]=1)*Июнь[9],Июнь[Периодичность])</f>
        <v>0</v>
      </c>
      <c r="N13" s="24">
        <f>SUMPRODUCT((Июнь[№]=1)*Июнь[10],Июнь[Периодичность])</f>
        <v>0</v>
      </c>
      <c r="O13" s="24">
        <f>SUMPRODUCT((Июнь[№]=1)*Июнь[11],Июнь[Периодичность])</f>
        <v>0</v>
      </c>
      <c r="P13" s="24">
        <f>SUMPRODUCT((Июнь[№]=1)*Июнь[12],Июнь[Периодичность])</f>
        <v>0</v>
      </c>
      <c r="Q13" s="24">
        <f>SUMPRODUCT((Июнь[№]=1)*Июнь[13],Июнь[Периодичность])</f>
        <v>0</v>
      </c>
      <c r="R13" s="24">
        <f>SUMPRODUCT((Июнь[№]=1)*Июнь[14],Июнь[Периодичность])</f>
        <v>0</v>
      </c>
      <c r="S13" s="24">
        <f>SUMPRODUCT((Июнь[№]=1)*Июнь[15],Июнь[Периодичность])</f>
        <v>0</v>
      </c>
      <c r="T13" s="24">
        <f>SUMPRODUCT((Июнь[№]=1)*Июнь[16],Июнь[Периодичность])</f>
        <v>0</v>
      </c>
      <c r="U13" s="24">
        <f>SUMPRODUCT((Июнь[№]=1)*Июнь[17],Июнь[Периодичность])</f>
        <v>0</v>
      </c>
      <c r="V13" s="24">
        <f>SUMPRODUCT((Июнь[№]=1)*Июнь[18],Июнь[Периодичность])</f>
        <v>0</v>
      </c>
      <c r="W13" s="24">
        <f>SUMPRODUCT((Июнь[№]=1)*Июнь[19],Июнь[Периодичность])</f>
        <v>0</v>
      </c>
      <c r="X13" s="24">
        <f>SUMPRODUCT((Июнь[№]=1)*Июнь[20],Июнь[Периодичность])</f>
        <v>0</v>
      </c>
      <c r="Y13" s="24">
        <f>SUMPRODUCT((Июнь[№]=1)*Июнь[21],Июнь[Периодичность])</f>
        <v>0</v>
      </c>
      <c r="Z13" s="24">
        <f>SUMPRODUCT((Июнь[№]=1)*Июнь[22],Июнь[Периодичность])</f>
        <v>0</v>
      </c>
      <c r="AA13" s="24">
        <f>SUMPRODUCT((Июнь[№]=1)*Июнь[23],Июнь[Периодичность])</f>
        <v>0</v>
      </c>
      <c r="AB13" s="24">
        <f>SUMPRODUCT((Июнь[№]=1)*Июнь[24],Июнь[Периодичность])</f>
        <v>0</v>
      </c>
      <c r="AC13" s="24">
        <f>SUMPRODUCT((Июнь[№]=1)*Июнь[25],Июнь[Периодичность])</f>
        <v>0</v>
      </c>
      <c r="AD13" s="24">
        <f>SUMPRODUCT((Июнь[№]=1)*Июнь[26],Июнь[Периодичность])</f>
        <v>0</v>
      </c>
      <c r="AE13" s="24">
        <f>SUMPRODUCT((Июнь[№]=1)*Июнь[27],Июнь[Периодичность])</f>
        <v>0</v>
      </c>
      <c r="AF13" s="24">
        <f>SUMPRODUCT((Июнь[№]=1)*Июнь[28],Июнь[Периодичность])</f>
        <v>0</v>
      </c>
      <c r="AG13" s="24">
        <f>SUMPRODUCT((Июнь[№]=1)*Июнь[29],Июнь[Периодичность])</f>
        <v>0</v>
      </c>
      <c r="AH13" s="24">
        <f>SUMPRODUCT((Июнь[№]=1)*Июнь[30],Июнь[Периодичность])</f>
        <v>0</v>
      </c>
    </row>
    <row r="14" spans="1:37" ht="20.25" customHeight="1" x14ac:dyDescent="0.25">
      <c r="B14" s="3">
        <f ca="1">SUMPRODUCT((Настройки!$G$26:$AJ$26=2)*E16:AH16)</f>
        <v>0</v>
      </c>
      <c r="D14" s="5">
        <v>2</v>
      </c>
      <c r="E14" s="3">
        <f ca="1">SUMPRODUCT((Июнь[№]=2)*Июнь[1],OFFSET(Июнь[Периодичность],-1,0))</f>
        <v>0</v>
      </c>
      <c r="F14" s="24">
        <f ca="1">SUMPRODUCT((Июнь[№]=2)*Июнь[2],OFFSET(Июнь[Периодичность],-1,0))</f>
        <v>0</v>
      </c>
      <c r="G14" s="24">
        <f ca="1">SUMPRODUCT((Июнь[№]=2)*Июнь[3],OFFSET(Июнь[Периодичность],-1,0))</f>
        <v>0</v>
      </c>
      <c r="H14" s="24">
        <f ca="1">SUMPRODUCT((Июнь[№]=2)*Июнь[4],OFFSET(Июнь[Периодичность],-1,0))</f>
        <v>0</v>
      </c>
      <c r="I14" s="24">
        <f ca="1">SUMPRODUCT((Июнь[№]=2)*Июнь[5],OFFSET(Июнь[Периодичность],-1,0))</f>
        <v>0</v>
      </c>
      <c r="J14" s="24">
        <f ca="1">SUMPRODUCT((Июнь[№]=2)*Июнь[6],OFFSET(Июнь[Периодичность],-1,0))</f>
        <v>0</v>
      </c>
      <c r="K14" s="24">
        <f ca="1">SUMPRODUCT((Июнь[№]=2)*Июнь[7],OFFSET(Июнь[Периодичность],-1,0))</f>
        <v>0</v>
      </c>
      <c r="L14" s="24">
        <f ca="1">SUMPRODUCT((Июнь[№]=2)*Июнь[8],OFFSET(Июнь[Периодичность],-1,0))</f>
        <v>0</v>
      </c>
      <c r="M14" s="24">
        <f ca="1">SUMPRODUCT((Июнь[№]=2)*Июнь[9],OFFSET(Июнь[Периодичность],-1,0))</f>
        <v>0</v>
      </c>
      <c r="N14" s="24">
        <f ca="1">SUMPRODUCT((Июнь[№]=2)*Июнь[10],OFFSET(Июнь[Периодичность],-1,0))</f>
        <v>0</v>
      </c>
      <c r="O14" s="24">
        <f ca="1">SUMPRODUCT((Июнь[№]=2)*Июнь[11],OFFSET(Июнь[Периодичность],-1,0))</f>
        <v>0</v>
      </c>
      <c r="P14" s="24">
        <f ca="1">SUMPRODUCT((Июнь[№]=2)*Июнь[12],OFFSET(Июнь[Периодичность],-1,0))</f>
        <v>0</v>
      </c>
      <c r="Q14" s="24">
        <f ca="1">SUMPRODUCT((Июнь[№]=2)*Июнь[13],OFFSET(Июнь[Периодичность],-1,0))</f>
        <v>0</v>
      </c>
      <c r="R14" s="24">
        <f ca="1">SUMPRODUCT((Июнь[№]=2)*Июнь[14],OFFSET(Июнь[Периодичность],-1,0))</f>
        <v>0</v>
      </c>
      <c r="S14" s="24">
        <f ca="1">SUMPRODUCT((Июнь[№]=2)*Июнь[15],OFFSET(Июнь[Периодичность],-1,0))</f>
        <v>0</v>
      </c>
      <c r="T14" s="24">
        <f ca="1">SUMPRODUCT((Июнь[№]=2)*Июнь[16],OFFSET(Июнь[Периодичность],-1,0))</f>
        <v>0</v>
      </c>
      <c r="U14" s="24">
        <f ca="1">SUMPRODUCT((Июнь[№]=2)*Июнь[17],OFFSET(Июнь[Периодичность],-1,0))</f>
        <v>0</v>
      </c>
      <c r="V14" s="24">
        <f ca="1">SUMPRODUCT((Июнь[№]=2)*Июнь[18],OFFSET(Июнь[Периодичность],-1,0))</f>
        <v>0</v>
      </c>
      <c r="W14" s="24">
        <f ca="1">SUMPRODUCT((Июнь[№]=2)*Июнь[19],OFFSET(Июнь[Периодичность],-1,0))</f>
        <v>0</v>
      </c>
      <c r="X14" s="24">
        <f ca="1">SUMPRODUCT((Июнь[№]=2)*Июнь[20],OFFSET(Июнь[Периодичность],-1,0))</f>
        <v>0</v>
      </c>
      <c r="Y14" s="24">
        <f ca="1">SUMPRODUCT((Июнь[№]=2)*Июнь[21],OFFSET(Июнь[Периодичность],-1,0))</f>
        <v>0</v>
      </c>
      <c r="Z14" s="24">
        <f ca="1">SUMPRODUCT((Июнь[№]=2)*Июнь[22],OFFSET(Июнь[Периодичность],-1,0))</f>
        <v>0</v>
      </c>
      <c r="AA14" s="24">
        <f ca="1">SUMPRODUCT((Июнь[№]=2)*Июнь[23],OFFSET(Июнь[Периодичность],-1,0))</f>
        <v>0</v>
      </c>
      <c r="AB14" s="24">
        <f ca="1">SUMPRODUCT((Июнь[№]=2)*Июнь[24],OFFSET(Июнь[Периодичность],-1,0))</f>
        <v>0</v>
      </c>
      <c r="AC14" s="24">
        <f ca="1">SUMPRODUCT((Июнь[№]=2)*Июнь[25],OFFSET(Июнь[Периодичность],-1,0))</f>
        <v>0</v>
      </c>
      <c r="AD14" s="24">
        <f ca="1">SUMPRODUCT((Июнь[№]=2)*Июнь[26],OFFSET(Июнь[Периодичность],-1,0))</f>
        <v>0</v>
      </c>
      <c r="AE14" s="24">
        <f ca="1">SUMPRODUCT((Июнь[№]=2)*Июнь[27],OFFSET(Июнь[Периодичность],-1,0))</f>
        <v>0</v>
      </c>
      <c r="AF14" s="24">
        <f ca="1">SUMPRODUCT((Июнь[№]=2)*Июнь[28],OFFSET(Июнь[Периодичность],-1,0))</f>
        <v>0</v>
      </c>
      <c r="AG14" s="24">
        <f ca="1">SUMPRODUCT((Июнь[№]=2)*Июнь[29],OFFSET(Июнь[Периодичность],-1,0))</f>
        <v>0</v>
      </c>
      <c r="AH14" s="24">
        <f ca="1">SUMPRODUCT((Июнь[№]=2)*Июнь[30],OFFSET(Июнь[Периодичность],-1,0))</f>
        <v>0</v>
      </c>
    </row>
    <row r="15" spans="1:37" ht="22.5" customHeight="1" x14ac:dyDescent="0.25">
      <c r="B15" s="3">
        <f ca="1">SUMPRODUCT((Настройки!$G$26:$AJ$26=3)*E16:AH16)</f>
        <v>0</v>
      </c>
      <c r="D15" s="5">
        <v>3</v>
      </c>
      <c r="E15" s="3">
        <f ca="1">SUMPRODUCT((Июнь[№]=3)*Июнь[1],OFFSET(Июнь[Периодичность],-2,0))</f>
        <v>0</v>
      </c>
      <c r="F15" s="24">
        <f ca="1">SUMPRODUCT((Июнь[№]=3)*Июнь[2],OFFSET(Июнь[Периодичность],-2,0))</f>
        <v>0</v>
      </c>
      <c r="G15" s="24">
        <f ca="1">SUMPRODUCT((Июнь[№]=3)*Июнь[3],OFFSET(Июнь[Периодичность],-2,0))</f>
        <v>0</v>
      </c>
      <c r="H15" s="24">
        <f ca="1">SUMPRODUCT((Июнь[№]=3)*Июнь[4],OFFSET(Июнь[Периодичность],-2,0))</f>
        <v>0</v>
      </c>
      <c r="I15" s="24">
        <f ca="1">SUMPRODUCT((Июнь[№]=3)*Июнь[5],OFFSET(Июнь[Периодичность],-2,0))</f>
        <v>0</v>
      </c>
      <c r="J15" s="24">
        <f ca="1">SUMPRODUCT((Июнь[№]=3)*Июнь[6],OFFSET(Июнь[Периодичность],-2,0))</f>
        <v>0</v>
      </c>
      <c r="K15" s="24">
        <f ca="1">SUMPRODUCT((Июнь[№]=3)*Июнь[7],OFFSET(Июнь[Периодичность],-2,0))</f>
        <v>0</v>
      </c>
      <c r="L15" s="24">
        <f ca="1">SUMPRODUCT((Июнь[№]=3)*Июнь[8],OFFSET(Июнь[Периодичность],-2,0))</f>
        <v>0</v>
      </c>
      <c r="M15" s="24">
        <f ca="1">SUMPRODUCT((Июнь[№]=3)*Июнь[9],OFFSET(Июнь[Периодичность],-2,0))</f>
        <v>0</v>
      </c>
      <c r="N15" s="24">
        <f ca="1">SUMPRODUCT((Июнь[№]=3)*Июнь[10],OFFSET(Июнь[Периодичность],-2,0))</f>
        <v>0</v>
      </c>
      <c r="O15" s="24">
        <f ca="1">SUMPRODUCT((Июнь[№]=3)*Июнь[11],OFFSET(Июнь[Периодичность],-2,0))</f>
        <v>0</v>
      </c>
      <c r="P15" s="24">
        <f ca="1">SUMPRODUCT((Июнь[№]=3)*Июнь[12],OFFSET(Июнь[Периодичность],-2,0))</f>
        <v>0</v>
      </c>
      <c r="Q15" s="24">
        <f ca="1">SUMPRODUCT((Июнь[№]=3)*Июнь[13],OFFSET(Июнь[Периодичность],-2,0))</f>
        <v>0</v>
      </c>
      <c r="R15" s="24">
        <f ca="1">SUMPRODUCT((Июнь[№]=3)*Июнь[14],OFFSET(Июнь[Периодичность],-2,0))</f>
        <v>0</v>
      </c>
      <c r="S15" s="24">
        <f ca="1">SUMPRODUCT((Июнь[№]=3)*Июнь[15],OFFSET(Июнь[Периодичность],-2,0))</f>
        <v>0</v>
      </c>
      <c r="T15" s="24">
        <f ca="1">SUMPRODUCT((Июнь[№]=3)*Июнь[16],OFFSET(Июнь[Периодичность],-2,0))</f>
        <v>0</v>
      </c>
      <c r="U15" s="24">
        <f ca="1">SUMPRODUCT((Июнь[№]=3)*Июнь[17],OFFSET(Июнь[Периодичность],-2,0))</f>
        <v>0</v>
      </c>
      <c r="V15" s="24">
        <f ca="1">SUMPRODUCT((Июнь[№]=3)*Июнь[18],OFFSET(Июнь[Периодичность],-2,0))</f>
        <v>0</v>
      </c>
      <c r="W15" s="24">
        <f ca="1">SUMPRODUCT((Июнь[№]=3)*Июнь[19],OFFSET(Июнь[Периодичность],-2,0))</f>
        <v>0</v>
      </c>
      <c r="X15" s="24">
        <f ca="1">SUMPRODUCT((Июнь[№]=3)*Июнь[20],OFFSET(Июнь[Периодичность],-2,0))</f>
        <v>0</v>
      </c>
      <c r="Y15" s="24">
        <f ca="1">SUMPRODUCT((Июнь[№]=3)*Июнь[21],OFFSET(Июнь[Периодичность],-2,0))</f>
        <v>0</v>
      </c>
      <c r="Z15" s="24">
        <f ca="1">SUMPRODUCT((Июнь[№]=3)*Июнь[22],OFFSET(Июнь[Периодичность],-2,0))</f>
        <v>0</v>
      </c>
      <c r="AA15" s="24">
        <f ca="1">SUMPRODUCT((Июнь[№]=3)*Июнь[23],OFFSET(Июнь[Периодичность],-2,0))</f>
        <v>0</v>
      </c>
      <c r="AB15" s="24">
        <f ca="1">SUMPRODUCT((Июнь[№]=3)*Июнь[24],OFFSET(Июнь[Периодичность],-2,0))</f>
        <v>0</v>
      </c>
      <c r="AC15" s="24">
        <f ca="1">SUMPRODUCT((Июнь[№]=3)*Июнь[25],OFFSET(Июнь[Периодичность],-2,0))</f>
        <v>0</v>
      </c>
      <c r="AD15" s="24">
        <f ca="1">SUMPRODUCT((Июнь[№]=3)*Июнь[26],OFFSET(Июнь[Периодичность],-2,0))</f>
        <v>0</v>
      </c>
      <c r="AE15" s="24">
        <f ca="1">SUMPRODUCT((Июнь[№]=3)*Июнь[27],OFFSET(Июнь[Периодичность],-2,0))</f>
        <v>0</v>
      </c>
      <c r="AF15" s="24">
        <f ca="1">SUMPRODUCT((Июнь[№]=3)*Июнь[28],OFFSET(Июнь[Периодичность],-2,0))</f>
        <v>0</v>
      </c>
      <c r="AG15" s="24">
        <f ca="1">SUMPRODUCT((Июнь[№]=3)*Июнь[29],OFFSET(Июнь[Периодичность],-2,0))</f>
        <v>0</v>
      </c>
      <c r="AH15" s="24">
        <f ca="1">SUMPRODUCT((Июнь[№]=3)*Июнь[30],OFFSET(Июнь[Периодичность],-2,0))</f>
        <v>0</v>
      </c>
      <c r="AJ15" s="10"/>
    </row>
    <row r="16" spans="1:37" ht="18" customHeight="1" x14ac:dyDescent="0.25">
      <c r="B16" s="3">
        <f ca="1">SUMPRODUCT((Настройки!$G$26:$AJ$26=4)*E16:AH16)</f>
        <v>0</v>
      </c>
      <c r="D16" s="5"/>
      <c r="E16" s="3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J16" s="10"/>
    </row>
    <row r="17" spans="1:36" ht="21.75" customHeight="1" x14ac:dyDescent="0.25">
      <c r="B17" s="3">
        <f ca="1">SUMPRODUCT((Настройки!$G$26:$AJ$26=5)*E16:AH16)</f>
        <v>0</v>
      </c>
      <c r="C17" s="5">
        <f ca="1">ИюньИтоги[[#This Row],[№]]*60</f>
        <v>0</v>
      </c>
      <c r="D17" s="7">
        <f ca="1">SUM(ИюньИтоги[[#This Row],[1]:[30]])</f>
        <v>0</v>
      </c>
      <c r="E17" s="6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5">
        <f ca="1">SUM(Июнь[УСЛУГ])</f>
        <v>0</v>
      </c>
      <c r="AJ17" s="16">
        <f ca="1">SUM(Июнь[МИНУТ])</f>
        <v>0</v>
      </c>
    </row>
    <row r="18" spans="1:36" ht="21.75" customHeight="1" x14ac:dyDescent="0.25">
      <c r="B18" s="14">
        <f ca="1">SUMPRODUCT((Настройки!$G$26:$AJ$26=6)*E16:AH16)</f>
        <v>0</v>
      </c>
      <c r="C18" s="14"/>
      <c r="D18" s="7"/>
      <c r="E18" s="14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14"/>
      <c r="AJ18" s="46"/>
    </row>
    <row r="20" spans="1:36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59"/>
      <c r="AI20" s="53" t="s">
        <v>64</v>
      </c>
      <c r="AJ20" s="53" t="s">
        <v>64</v>
      </c>
    </row>
    <row r="21" spans="1:36" ht="15.75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9"/>
      <c r="AI21" s="53"/>
      <c r="AJ21" s="53"/>
    </row>
    <row r="22" spans="1:36" x14ac:dyDescent="0.25">
      <c r="A22" s="63"/>
      <c r="B22" s="63"/>
      <c r="C22" s="64"/>
      <c r="D22" s="66"/>
      <c r="E22" s="22">
        <f>Настройки!G12</f>
        <v>45444</v>
      </c>
      <c r="F22" s="22">
        <f>Настройки!H12</f>
        <v>45445</v>
      </c>
      <c r="G22" s="22">
        <f>Настройки!I12</f>
        <v>45446</v>
      </c>
      <c r="H22" s="22">
        <f>Настройки!J12</f>
        <v>45447</v>
      </c>
      <c r="I22" s="22">
        <f>Настройки!K12</f>
        <v>45448</v>
      </c>
      <c r="J22" s="22">
        <f>Настройки!L12</f>
        <v>45449</v>
      </c>
      <c r="K22" s="22">
        <f>Настройки!M12</f>
        <v>45450</v>
      </c>
      <c r="L22" s="22">
        <f>Настройки!N12</f>
        <v>45451</v>
      </c>
      <c r="M22" s="22">
        <f>Настройки!O12</f>
        <v>45452</v>
      </c>
      <c r="N22" s="22">
        <f>Настройки!P12</f>
        <v>45453</v>
      </c>
      <c r="O22" s="22">
        <f>Настройки!Q12</f>
        <v>45454</v>
      </c>
      <c r="P22" s="22">
        <f>Настройки!R12</f>
        <v>45455</v>
      </c>
      <c r="Q22" s="22">
        <f>Настройки!S12</f>
        <v>45456</v>
      </c>
      <c r="R22" s="22">
        <f>Настройки!T12</f>
        <v>45457</v>
      </c>
      <c r="S22" s="22">
        <f>Настройки!U12</f>
        <v>45458</v>
      </c>
      <c r="T22" s="22">
        <f>Настройки!V12</f>
        <v>45459</v>
      </c>
      <c r="U22" s="22">
        <f>Настройки!W12</f>
        <v>45460</v>
      </c>
      <c r="V22" s="22">
        <f>Настройки!X12</f>
        <v>45461</v>
      </c>
      <c r="W22" s="22">
        <f>Настройки!Y12</f>
        <v>45462</v>
      </c>
      <c r="X22" s="22">
        <f>Настройки!Z12</f>
        <v>45463</v>
      </c>
      <c r="Y22" s="22">
        <f>Настройки!AA12</f>
        <v>45464</v>
      </c>
      <c r="Z22" s="22">
        <f>Настройки!AB12</f>
        <v>45465</v>
      </c>
      <c r="AA22" s="22">
        <f>Настройки!AC12</f>
        <v>45466</v>
      </c>
      <c r="AB22" s="22">
        <f>Настройки!AD12</f>
        <v>45467</v>
      </c>
      <c r="AC22" s="22">
        <f>Настройки!AE12</f>
        <v>45468</v>
      </c>
      <c r="AD22" s="22">
        <f>Настройки!AF12</f>
        <v>45469</v>
      </c>
      <c r="AE22" s="22">
        <f>Настройки!AG12</f>
        <v>45470</v>
      </c>
      <c r="AF22" s="22">
        <f>Настройки!AH12</f>
        <v>45471</v>
      </c>
      <c r="AG22" s="22">
        <f>Настройки!AI12</f>
        <v>45472</v>
      </c>
      <c r="AH22" s="22">
        <f>Настройки!AJ12</f>
        <v>45473</v>
      </c>
      <c r="AI22" s="53"/>
      <c r="AJ22" s="53"/>
    </row>
    <row r="23" spans="1:36" x14ac:dyDescent="0.25">
      <c r="A23" s="63"/>
      <c r="B23" s="63"/>
      <c r="C23" s="64"/>
      <c r="D23" s="66"/>
      <c r="E23" s="58" t="s">
        <v>54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86"/>
      <c r="AI23" s="53"/>
      <c r="AJ23" s="53"/>
    </row>
    <row r="24" spans="1:36" x14ac:dyDescent="0.25">
      <c r="A24" s="63"/>
      <c r="B24" s="63"/>
      <c r="C24" s="64"/>
      <c r="D24" s="6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88"/>
      <c r="AI24" s="53"/>
      <c r="AJ24" s="53"/>
    </row>
    <row r="25" spans="1:36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62</v>
      </c>
      <c r="AJ25" s="3" t="s">
        <v>63</v>
      </c>
    </row>
    <row r="26" spans="1:36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5">
        <f ca="1">IF(Июнь[[#This Row],[№]]=1,SUM(Июнь[[#This Row],[1]:[30]])+SUM(OFFSET(Июнь[[#This Row],[1]:[30]],1,0))+SUM(OFFSET(Июнь[[#This Row],[1]:[30]],2,0)),"")</f>
        <v>0</v>
      </c>
      <c r="AJ26" s="5">
        <f ca="1">IF(Июнь[[#This Row],[УСЛУГ]]&lt;&gt;"",Июнь[[#This Row],[УСЛУГ]]*Июнь[[#This Row],[Периодичность]],"")</f>
        <v>0</v>
      </c>
    </row>
    <row r="27" spans="1:36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5" t="str">
        <f ca="1">IF(Июнь[[#This Row],[№]]=1,SUM(Июнь[[#This Row],[1]:[30]])+SUM(OFFSET(Июнь[[#This Row],[1]:[30]],1,0))+SUM(OFFSET(Июнь[[#This Row],[1]:[30]],2,0)),"")</f>
        <v/>
      </c>
      <c r="AJ27" s="5" t="str">
        <f ca="1">IF(Июнь[[#This Row],[УСЛУГ]]&lt;&gt;"",Июнь[[#This Row],[УСЛУГ]]*Июнь[[#This Row],[Периодичность]],"")</f>
        <v/>
      </c>
    </row>
    <row r="28" spans="1:36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5" t="str">
        <f ca="1">IF(Июнь[[#This Row],[№]]=1,SUM(Июнь[[#This Row],[1]:[30]])+SUM(OFFSET(Июнь[[#This Row],[1]:[30]],1,0))+SUM(OFFSET(Июнь[[#This Row],[1]:[30]],2,0)),"")</f>
        <v/>
      </c>
      <c r="AJ28" s="5" t="str">
        <f ca="1">IF(Июнь[[#This Row],[УСЛУГ]]&lt;&gt;"",Июнь[[#This Row],[УСЛУГ]]*Июнь[[#This Row],[Периодичность]],"")</f>
        <v/>
      </c>
    </row>
  </sheetData>
  <mergeCells count="20">
    <mergeCell ref="AJ7:AJ11"/>
    <mergeCell ref="E10:AH11"/>
    <mergeCell ref="A20:A24"/>
    <mergeCell ref="B20:C24"/>
    <mergeCell ref="D20:D24"/>
    <mergeCell ref="E20:AH21"/>
    <mergeCell ref="AI20:AI24"/>
    <mergeCell ref="AJ20:AJ24"/>
    <mergeCell ref="E23:AH24"/>
    <mergeCell ref="A7:A11"/>
    <mergeCell ref="B7:B11"/>
    <mergeCell ref="C7:C11"/>
    <mergeCell ref="D7:D11"/>
    <mergeCell ref="E7:AH8"/>
    <mergeCell ref="AI7:AI11"/>
    <mergeCell ref="A2:AJ2"/>
    <mergeCell ref="A3:AJ3"/>
    <mergeCell ref="J4:L4"/>
    <mergeCell ref="M4:U4"/>
    <mergeCell ref="M5:Q5"/>
  </mergeCells>
  <conditionalFormatting sqref="E9:AH9">
    <cfRule type="expression" dxfId="762" priority="2">
      <formula>WEEKDAY(E9:AH9,2)&gt;5</formula>
    </cfRule>
  </conditionalFormatting>
  <conditionalFormatting sqref="E22:AH22">
    <cfRule type="expression" dxfId="761" priority="1">
      <formula>WEEKDAY(E22:AH22,2)&gt;5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2" fitToHeight="0" orientation="landscape" horizontalDpi="300" verticalDpi="300" r:id="rId1"/>
  <ignoredErrors>
    <ignoredError sqref="E13 B13:B18 AI17:AJ17 E16:E17 E14:E15" calculatedColumn="1"/>
  </ignoredErrors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7" tint="0.39997558519241921"/>
    <pageSetUpPr fitToPage="1"/>
  </sheetPr>
  <dimension ref="A2:AF27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123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Настройки!G12</f>
        <v>45444</v>
      </c>
      <c r="C10" s="30">
        <f>Настройки!H12</f>
        <v>45445</v>
      </c>
      <c r="D10" s="30">
        <f>Настройки!I12</f>
        <v>45446</v>
      </c>
      <c r="E10" s="30">
        <f>Настройки!J12</f>
        <v>45447</v>
      </c>
      <c r="F10" s="30">
        <f>Настройки!K12</f>
        <v>45448</v>
      </c>
      <c r="G10" s="30">
        <f>Настройки!L12</f>
        <v>45449</v>
      </c>
      <c r="H10" s="30">
        <f>Настройки!M12</f>
        <v>45450</v>
      </c>
      <c r="I10" s="30">
        <f>Настройки!N12</f>
        <v>45451</v>
      </c>
      <c r="J10" s="30">
        <f>Настройки!O12</f>
        <v>45452</v>
      </c>
      <c r="K10" s="30">
        <f>Настройки!P12</f>
        <v>45453</v>
      </c>
      <c r="L10" s="30">
        <f>Настройки!Q12</f>
        <v>45454</v>
      </c>
      <c r="M10" s="30">
        <f>Настройки!R12</f>
        <v>45455</v>
      </c>
      <c r="N10" s="30">
        <f>Настройки!S12</f>
        <v>45456</v>
      </c>
      <c r="O10" s="30">
        <f>Настройки!T12</f>
        <v>45457</v>
      </c>
      <c r="P10" s="30">
        <f>Настройки!U12</f>
        <v>45458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IF(Настройки!J2&lt;&gt;"",TEXT(Настройки!J2,"ч:мм")&amp;"-"&amp;TEXT(Настройки!J2+TIME(0,MAX(Июнь!E13:AH13),0),"ч:мм"),"")</f>
        <v>9:00-9:00</v>
      </c>
      <c r="B14" s="31" t="str">
        <f>IF(TEXT(Настройки!$J2+TIME(0,Июнь!E13,0),"ч::мм")=TEXT(Настройки!$J2,"ч:мм"),"",TEXT(Настройки!$J2,"ч:мм")&amp;"-"&amp;TEXT(Настройки!$J2+TIME(0,Июнь!E13,0),"ч::мм"))</f>
        <v/>
      </c>
      <c r="C14" s="31" t="str">
        <f>IF(TEXT(Настройки!$J2+TIME(0,Июнь!F13,0),"ч::мм")=TEXT(Настройки!$J2,"ч:мм"),"",TEXT(Настройки!$J2,"ч:мм")&amp;"-"&amp;TEXT(Настройки!$J2+TIME(0,Июнь!F13,0),"ч::мм"))</f>
        <v/>
      </c>
      <c r="D14" s="31" t="str">
        <f>IF(TEXT(Настройки!$J2+TIME(0,Июнь!G13,0),"ч::мм")=TEXT(Настройки!$J2,"ч:мм"),"",TEXT(Настройки!$J2,"ч:мм")&amp;"-"&amp;TEXT(Настройки!$J2+TIME(0,Июнь!G13,0),"ч::мм"))</f>
        <v/>
      </c>
      <c r="E14" s="31" t="str">
        <f>IF(TEXT(Настройки!$J2+TIME(0,Июнь!H13,0),"ч::мм")=TEXT(Настройки!$J2,"ч:мм"),"",TEXT(Настройки!$J2,"ч:мм")&amp;"-"&amp;TEXT(Настройки!$J2+TIME(0,Июнь!H13,0),"ч::мм"))</f>
        <v/>
      </c>
      <c r="F14" s="31" t="str">
        <f>IF(TEXT(Настройки!$J2+TIME(0,Июнь!I13,0),"ч::мм")=TEXT(Настройки!$J2,"ч:мм"),"",TEXT(Настройки!$J2,"ч:мм")&amp;"-"&amp;TEXT(Настройки!$J2+TIME(0,Июнь!I13,0),"ч::мм"))</f>
        <v/>
      </c>
      <c r="G14" s="31" t="str">
        <f>IF(TEXT(Настройки!$J2+TIME(0,Июнь!J13,0),"ч::мм")=TEXT(Настройки!$J2,"ч:мм"),"",TEXT(Настройки!$J2,"ч:мм")&amp;"-"&amp;TEXT(Настройки!$J2+TIME(0,Июнь!J13,0),"ч::мм"))</f>
        <v/>
      </c>
      <c r="H14" s="31" t="str">
        <f>IF(TEXT(Настройки!$J2+TIME(0,Июнь!K13,0),"ч::мм")=TEXT(Настройки!$J2,"ч:мм"),"",TEXT(Настройки!$J2,"ч:мм")&amp;"-"&amp;TEXT(Настройки!$J2+TIME(0,Июнь!K13,0),"ч::мм"))</f>
        <v/>
      </c>
      <c r="I14" s="31" t="str">
        <f>IF(TEXT(Настройки!$J2+TIME(0,Июнь!L13,0),"ч::мм")=TEXT(Настройки!$J2,"ч:мм"),"",TEXT(Настройки!$J2,"ч:мм")&amp;"-"&amp;TEXT(Настройки!$J2+TIME(0,Июнь!L13,0),"ч::мм"))</f>
        <v/>
      </c>
      <c r="J14" s="31" t="str">
        <f>IF(TEXT(Настройки!$J2+TIME(0,Июнь!M13,0),"ч::мм")=TEXT(Настройки!$J2,"ч:мм"),"",TEXT(Настройки!$J2,"ч:мм")&amp;"-"&amp;TEXT(Настройки!$J2+TIME(0,Июнь!M13,0),"ч::мм"))</f>
        <v/>
      </c>
      <c r="K14" s="31" t="str">
        <f>IF(TEXT(Настройки!$J2+TIME(0,Июнь!N13,0),"ч::мм")=TEXT(Настройки!$J2,"ч:мм"),"",TEXT(Настройки!$J2,"ч:мм")&amp;"-"&amp;TEXT(Настройки!$J2+TIME(0,Июнь!N13,0),"ч::мм"))</f>
        <v/>
      </c>
      <c r="L14" s="31" t="str">
        <f>IF(TEXT(Настройки!$J2+TIME(0,Июнь!O13,0),"ч::мм")=TEXT(Настройки!$J2,"ч:мм"),"",TEXT(Настройки!$J2,"ч:мм")&amp;"-"&amp;TEXT(Настройки!$J2+TIME(0,Июнь!O13,0),"ч::мм"))</f>
        <v/>
      </c>
      <c r="M14" s="31" t="str">
        <f>IF(TEXT(Настройки!$J2+TIME(0,Июнь!P13,0),"ч::мм")=TEXT(Настройки!$J2,"ч:мм"),"",TEXT(Настройки!$J2,"ч:мм")&amp;"-"&amp;TEXT(Настройки!$J2+TIME(0,Июнь!P13,0),"ч::мм"))</f>
        <v/>
      </c>
      <c r="N14" s="31" t="str">
        <f>IF(TEXT(Настройки!$J2+TIME(0,Июнь!Q13,0),"ч::мм")=TEXT(Настройки!$J2,"ч:мм"),"",TEXT(Настройки!$J2,"ч:мм")&amp;"-"&amp;TEXT(Настройки!$J2+TIME(0,Июнь!Q13,0),"ч::мм"))</f>
        <v/>
      </c>
      <c r="O14" s="31" t="str">
        <f>IF(TEXT(Настройки!$J2+TIME(0,Июнь!R13,0),"ч::мм")=TEXT(Настройки!$J2,"ч:мм"),"",TEXT(Настройки!$J2,"ч:мм")&amp;"-"&amp;TEXT(Настройки!$J2+TIME(0,Июнь!R13,0),"ч::мм"))</f>
        <v/>
      </c>
      <c r="P14" s="31" t="str">
        <f>IF(TEXT(Настройки!$J2+TIME(0,Июнь!S13,0),"ч::мм")=TEXT(Настройки!$J2,"ч:мм"),"",TEXT(Настройки!$J2,"ч:мм")&amp;"-"&amp;TEXT(Настройки!$J2+TIME(0,Июнь!S13,0),"ч::мм"))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IF(Настройки!J3&lt;&gt;"",TEXT(Настройки!J3,"ч:мм")&amp;"-"&amp;TEXT(Настройки!J3+TIME(0,MAX(Июнь!E14:AH14),0),"ч:мм"),"")</f>
        <v>13:00-13:00</v>
      </c>
      <c r="B15" s="31" t="str">
        <f ca="1">IF(TEXT(Настройки!$J3+TIME(0,Июнь!E14,0),"ч::мм")=TEXT(Настройки!$J3,"ч:мм"),"",TEXT(Настройки!$J3,"ч:мм")&amp;"-"&amp;TEXT(Настройки!$J3+TIME(0,Июнь!E14,0),"ч::мм"))</f>
        <v/>
      </c>
      <c r="C15" s="31" t="str">
        <f ca="1">IF(TEXT(Настройки!$J3+TIME(0,Июнь!F14,0),"ч::мм")=TEXT(Настройки!$J3,"ч:мм"),"",TEXT(Настройки!$J3,"ч:мм")&amp;"-"&amp;TEXT(Настройки!$J3+TIME(0,Июнь!F14,0),"ч::мм"))</f>
        <v/>
      </c>
      <c r="D15" s="31" t="str">
        <f ca="1">IF(TEXT(Настройки!$J3+TIME(0,Июнь!G14,0),"ч::мм")=TEXT(Настройки!$J3,"ч:мм"),"",TEXT(Настройки!$J3,"ч:мм")&amp;"-"&amp;TEXT(Настройки!$J3+TIME(0,Июнь!G14,0),"ч::мм"))</f>
        <v/>
      </c>
      <c r="E15" s="31" t="str">
        <f ca="1">IF(TEXT(Настройки!$J3+TIME(0,Июнь!H14,0),"ч::мм")=TEXT(Настройки!$J3,"ч:мм"),"",TEXT(Настройки!$J3,"ч:мм")&amp;"-"&amp;TEXT(Настройки!$J3+TIME(0,Июнь!H14,0),"ч::мм"))</f>
        <v/>
      </c>
      <c r="F15" s="31" t="str">
        <f ca="1">IF(TEXT(Настройки!$J3+TIME(0,Июнь!I14,0),"ч::мм")=TEXT(Настройки!$J3,"ч:мм"),"",TEXT(Настройки!$J3,"ч:мм")&amp;"-"&amp;TEXT(Настройки!$J3+TIME(0,Июнь!I14,0),"ч::мм"))</f>
        <v/>
      </c>
      <c r="G15" s="31" t="str">
        <f ca="1">IF(TEXT(Настройки!$J3+TIME(0,Июнь!J14,0),"ч::мм")=TEXT(Настройки!$J3,"ч:мм"),"",TEXT(Настройки!$J3,"ч:мм")&amp;"-"&amp;TEXT(Настройки!$J3+TIME(0,Июнь!J14,0),"ч::мм"))</f>
        <v/>
      </c>
      <c r="H15" s="31" t="str">
        <f ca="1">IF(TEXT(Настройки!$J3+TIME(0,Июнь!K14,0),"ч::мм")=TEXT(Настройки!$J3,"ч:мм"),"",TEXT(Настройки!$J3,"ч:мм")&amp;"-"&amp;TEXT(Настройки!$J3+TIME(0,Июнь!K14,0),"ч::мм"))</f>
        <v/>
      </c>
      <c r="I15" s="31" t="str">
        <f ca="1">IF(TEXT(Настройки!$J3+TIME(0,Июнь!L14,0),"ч::мм")=TEXT(Настройки!$J3,"ч:мм"),"",TEXT(Настройки!$J3,"ч:мм")&amp;"-"&amp;TEXT(Настройки!$J3+TIME(0,Июнь!L14,0),"ч::мм"))</f>
        <v/>
      </c>
      <c r="J15" s="31" t="str">
        <f ca="1">IF(TEXT(Настройки!$J3+TIME(0,Июнь!M14,0),"ч::мм")=TEXT(Настройки!$J3,"ч:мм"),"",TEXT(Настройки!$J3,"ч:мм")&amp;"-"&amp;TEXT(Настройки!$J3+TIME(0,Июнь!M14,0),"ч::мм"))</f>
        <v/>
      </c>
      <c r="K15" s="31" t="str">
        <f ca="1">IF(TEXT(Настройки!$J3+TIME(0,Июнь!N14,0),"ч::мм")=TEXT(Настройки!$J3,"ч:мм"),"",TEXT(Настройки!$J3,"ч:мм")&amp;"-"&amp;TEXT(Настройки!$J3+TIME(0,Июнь!N14,0),"ч::мм"))</f>
        <v/>
      </c>
      <c r="L15" s="31" t="str">
        <f ca="1">IF(TEXT(Настройки!$J3+TIME(0,Июнь!O14,0),"ч::мм")=TEXT(Настройки!$J3,"ч:мм"),"",TEXT(Настройки!$J3,"ч:мм")&amp;"-"&amp;TEXT(Настройки!$J3+TIME(0,Июнь!O14,0),"ч::мм"))</f>
        <v/>
      </c>
      <c r="M15" s="31" t="str">
        <f ca="1">IF(TEXT(Настройки!$J3+TIME(0,Июнь!P14,0),"ч::мм")=TEXT(Настройки!$J3,"ч:мм"),"",TEXT(Настройки!$J3,"ч:мм")&amp;"-"&amp;TEXT(Настройки!$J3+TIME(0,Июнь!P14,0),"ч::мм"))</f>
        <v/>
      </c>
      <c r="N15" s="31" t="str">
        <f ca="1">IF(TEXT(Настройки!$J3+TIME(0,Июнь!Q14,0),"ч::мм")=TEXT(Настройки!$J3,"ч:мм"),"",TEXT(Настройки!$J3,"ч:мм")&amp;"-"&amp;TEXT(Настройки!$J3+TIME(0,Июнь!Q14,0),"ч::мм"))</f>
        <v/>
      </c>
      <c r="O15" s="31" t="str">
        <f ca="1">IF(TEXT(Настройки!$J3+TIME(0,Июнь!R14,0),"ч::мм")=TEXT(Настройки!$J3,"ч:мм"),"",TEXT(Настройки!$J3,"ч:мм")&amp;"-"&amp;TEXT(Настройки!$J3+TIME(0,Июнь!R14,0),"ч::мм"))</f>
        <v/>
      </c>
      <c r="P15" s="31" t="str">
        <f ca="1">IF(TEXT(Настройки!$J3+TIME(0,Июнь!S14,0),"ч::мм")=TEXT(Настройки!$J3,"ч:мм"),"",TEXT(Настройки!$J3,"ч:мм")&amp;"-"&amp;TEXT(Настройки!$J3+TIME(0,Июнь!S14,0),"ч::мм"))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IF(Настройки!J4&lt;&gt;"",TEXT(Настройки!J4,"ч:мм")&amp;"-"&amp;TEXT(Настройки!J4+TIME(0,MAX(Июнь!E15:AH15),0),"ч:мм"),"")</f>
        <v>16:00-16:00</v>
      </c>
      <c r="B16" s="31" t="str">
        <f ca="1">IF(TEXT(Настройки!$J4+TIME(0,Июнь!E15,0),"ч::мм")=TEXT(Настройки!$J4,"ч:мм"),"",TEXT(Настройки!$J4,"ч:мм")&amp;"-"&amp;TEXT(Настройки!$J4+TIME(0,Июнь!E15,0),"ч::мм"))</f>
        <v/>
      </c>
      <c r="C16" s="31" t="str">
        <f ca="1">IF(TEXT(Настройки!$J4+TIME(0,Июнь!F15,0),"ч::мм")=TEXT(Настройки!$J4,"ч:мм"),"",TEXT(Настройки!$J4,"ч:мм")&amp;"-"&amp;TEXT(Настройки!$J4+TIME(0,Июнь!F15,0),"ч::мм"))</f>
        <v/>
      </c>
      <c r="D16" s="31" t="str">
        <f ca="1">IF(TEXT(Настройки!$J4+TIME(0,Июнь!G15,0),"ч::мм")=TEXT(Настройки!$J4,"ч:мм"),"",TEXT(Настройки!$J4,"ч:мм")&amp;"-"&amp;TEXT(Настройки!$J4+TIME(0,Июнь!G15,0),"ч::мм"))</f>
        <v/>
      </c>
      <c r="E16" s="31" t="str">
        <f ca="1">IF(TEXT(Настройки!$J4+TIME(0,Июнь!H15,0),"ч::мм")=TEXT(Настройки!$J4,"ч:мм"),"",TEXT(Настройки!$J4,"ч:мм")&amp;"-"&amp;TEXT(Настройки!$J4+TIME(0,Июнь!H15,0),"ч::мм"))</f>
        <v/>
      </c>
      <c r="F16" s="31" t="str">
        <f ca="1">IF(TEXT(Настройки!$J4+TIME(0,Июнь!I15,0),"ч::мм")=TEXT(Настройки!$J4,"ч:мм"),"",TEXT(Настройки!$J4,"ч:мм")&amp;"-"&amp;TEXT(Настройки!$J4+TIME(0,Июнь!I15,0),"ч::мм"))</f>
        <v/>
      </c>
      <c r="G16" s="31" t="str">
        <f ca="1">IF(TEXT(Настройки!$J4+TIME(0,Июнь!J15,0),"ч::мм")=TEXT(Настройки!$J4,"ч:мм"),"",TEXT(Настройки!$J4,"ч:мм")&amp;"-"&amp;TEXT(Настройки!$J4+TIME(0,Июнь!J15,0),"ч::мм"))</f>
        <v/>
      </c>
      <c r="H16" s="31" t="str">
        <f ca="1">IF(TEXT(Настройки!$J4+TIME(0,Июнь!K15,0),"ч::мм")=TEXT(Настройки!$J4,"ч:мм"),"",TEXT(Настройки!$J4,"ч:мм")&amp;"-"&amp;TEXT(Настройки!$J4+TIME(0,Июнь!K15,0),"ч::мм"))</f>
        <v/>
      </c>
      <c r="I16" s="31" t="str">
        <f ca="1">IF(TEXT(Настройки!$J4+TIME(0,Июнь!L15,0),"ч::мм")=TEXT(Настройки!$J4,"ч:мм"),"",TEXT(Настройки!$J4,"ч:мм")&amp;"-"&amp;TEXT(Настройки!$J4+TIME(0,Июнь!L15,0),"ч::мм"))</f>
        <v/>
      </c>
      <c r="J16" s="31" t="str">
        <f ca="1">IF(TEXT(Настройки!$J4+TIME(0,Июнь!M15,0),"ч::мм")=TEXT(Настройки!$J4,"ч:мм"),"",TEXT(Настройки!$J4,"ч:мм")&amp;"-"&amp;TEXT(Настройки!$J4+TIME(0,Июнь!M15,0),"ч::мм"))</f>
        <v/>
      </c>
      <c r="K16" s="31" t="str">
        <f ca="1">IF(TEXT(Настройки!$J4+TIME(0,Июнь!N15,0),"ч::мм")=TEXT(Настройки!$J4,"ч:мм"),"",TEXT(Настройки!$J4,"ч:мм")&amp;"-"&amp;TEXT(Настройки!$J4+TIME(0,Июнь!N15,0),"ч::мм"))</f>
        <v/>
      </c>
      <c r="L16" s="31" t="str">
        <f ca="1">IF(TEXT(Настройки!$J4+TIME(0,Июнь!O15,0),"ч::мм")=TEXT(Настройки!$J4,"ч:мм"),"",TEXT(Настройки!$J4,"ч:мм")&amp;"-"&amp;TEXT(Настройки!$J4+TIME(0,Июнь!O15,0),"ч::мм"))</f>
        <v/>
      </c>
      <c r="M16" s="31" t="str">
        <f ca="1">IF(TEXT(Настройки!$J4+TIME(0,Июнь!P15,0),"ч::мм")=TEXT(Настройки!$J4,"ч:мм"),"",TEXT(Настройки!$J4,"ч:мм")&amp;"-"&amp;TEXT(Настройки!$J4+TIME(0,Июнь!P15,0),"ч::мм"))</f>
        <v/>
      </c>
      <c r="N16" s="31" t="str">
        <f ca="1">IF(TEXT(Настройки!$J4+TIME(0,Июнь!Q15,0),"ч::мм")=TEXT(Настройки!$J4,"ч:мм"),"",TEXT(Настройки!$J4,"ч:мм")&amp;"-"&amp;TEXT(Настройки!$J4+TIME(0,Июнь!Q15,0),"ч::мм"))</f>
        <v/>
      </c>
      <c r="O16" s="31" t="str">
        <f ca="1">IF(TEXT(Настройки!$J4+TIME(0,Июнь!R15,0),"ч::мм")=TEXT(Настройки!$J4,"ч:мм"),"",TEXT(Настройки!$J4,"ч:мм")&amp;"-"&amp;TEXT(Настройки!$J4+TIME(0,Июнь!R15,0),"ч::мм"))</f>
        <v/>
      </c>
      <c r="P16" s="31" t="str">
        <f ca="1">IF(TEXT(Настройки!$J4+TIME(0,Июнь!S15,0),"ч::мм")=TEXT(Настройки!$J4,"ч:мм"),"",TEXT(Настройки!$J4,"ч:мм")&amp;"-"&amp;TEXT(Настройки!$J4+TIME(0,Июнь!S15,0),"ч::мм"))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Настройки!V12</f>
        <v>45459</v>
      </c>
      <c r="C20" s="30">
        <f>Настройки!W12</f>
        <v>45460</v>
      </c>
      <c r="D20" s="30">
        <f>Настройки!X12</f>
        <v>45461</v>
      </c>
      <c r="E20" s="30">
        <f>Настройки!Y12</f>
        <v>45462</v>
      </c>
      <c r="F20" s="30">
        <f>Настройки!Z12</f>
        <v>45463</v>
      </c>
      <c r="G20" s="30">
        <f>Настройки!AA12</f>
        <v>45464</v>
      </c>
      <c r="H20" s="30">
        <f>Настройки!AB12</f>
        <v>45465</v>
      </c>
      <c r="I20" s="30">
        <f>Настройки!AC12</f>
        <v>45466</v>
      </c>
      <c r="J20" s="30">
        <f>Настройки!AD12</f>
        <v>45467</v>
      </c>
      <c r="K20" s="30">
        <f>Настройки!AE12</f>
        <v>45468</v>
      </c>
      <c r="L20" s="30">
        <f>Настройки!AF12</f>
        <v>45469</v>
      </c>
      <c r="M20" s="30">
        <f>Настройки!AG12</f>
        <v>45470</v>
      </c>
      <c r="N20" s="30">
        <f>Настройки!AH12</f>
        <v>45471</v>
      </c>
      <c r="O20" s="30">
        <f>Настройки!AI12</f>
        <v>45472</v>
      </c>
      <c r="P20" s="30">
        <f>Настройки!AJ12</f>
        <v>45473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IF(TEXT(Настройки!$J2+TIME(0,Июнь!T13,0),"ч::мм")=TEXT(Настройки!$J2,"ч:мм"),"",TEXT(Настройки!$J2,"ч:мм")&amp;"-"&amp;TEXT(Настройки!$J2+TIME(0,Июнь!T13,0),"ч::мм"))</f>
        <v/>
      </c>
      <c r="C24" s="3" t="str">
        <f>IF(TEXT(Настройки!$J2+TIME(0,Июнь!U13,0),"ч::мм")=TEXT(Настройки!$J2,"ч:мм"),"",TEXT(Настройки!$J2,"ч:мм")&amp;"-"&amp;TEXT(Настройки!$J2+TIME(0,Июнь!U13,0),"ч::мм"))</f>
        <v/>
      </c>
      <c r="D24" s="3" t="str">
        <f>IF(TEXT(Настройки!$J2+TIME(0,Июнь!V13,0),"ч::мм")=TEXT(Настройки!$J2,"ч:мм"),"",TEXT(Настройки!$J2,"ч:мм")&amp;"-"&amp;TEXT(Настройки!$J2+TIME(0,Июнь!V13,0),"ч::мм"))</f>
        <v/>
      </c>
      <c r="E24" s="3" t="str">
        <f>IF(TEXT(Настройки!$J2+TIME(0,Июнь!W13,0),"ч::мм")=TEXT(Настройки!$J2,"ч:мм"),"",TEXT(Настройки!$J2,"ч:мм")&amp;"-"&amp;TEXT(Настройки!$J2+TIME(0,Июнь!W13,0),"ч::мм"))</f>
        <v/>
      </c>
      <c r="F24" s="3" t="str">
        <f>IF(TEXT(Настройки!$J2+TIME(0,Июнь!X13,0),"ч::мм")=TEXT(Настройки!$J2,"ч:мм"),"",TEXT(Настройки!$J2,"ч:мм")&amp;"-"&amp;TEXT(Настройки!$J2+TIME(0,Июнь!X13,0),"ч::мм"))</f>
        <v/>
      </c>
      <c r="G24" s="3" t="str">
        <f>IF(TEXT(Настройки!$J2+TIME(0,Июнь!Y13,0),"ч::мм")=TEXT(Настройки!$J2,"ч:мм"),"",TEXT(Настройки!$J2,"ч:мм")&amp;"-"&amp;TEXT(Настройки!$J2+TIME(0,Июнь!Y13,0),"ч::мм"))</f>
        <v/>
      </c>
      <c r="H24" s="3" t="str">
        <f>IF(TEXT(Настройки!$J2+TIME(0,Июнь!Z13,0),"ч::мм")=TEXT(Настройки!$J2,"ч:мм"),"",TEXT(Настройки!$J2,"ч:мм")&amp;"-"&amp;TEXT(Настройки!$J2+TIME(0,Июнь!Z13,0),"ч::мм"))</f>
        <v/>
      </c>
      <c r="I24" s="3" t="str">
        <f>IF(TEXT(Настройки!$J2+TIME(0,Июнь!AA13,0),"ч::мм")=TEXT(Настройки!$J2,"ч:мм"),"",TEXT(Настройки!$J2,"ч:мм")&amp;"-"&amp;TEXT(Настройки!$J2+TIME(0,Июнь!AA13,0),"ч::мм"))</f>
        <v/>
      </c>
      <c r="J24" s="3" t="str">
        <f>IF(TEXT(Настройки!$J2+TIME(0,Июнь!AB13,0),"ч::мм")=TEXT(Настройки!$J2,"ч:мм"),"",TEXT(Настройки!$J2,"ч:мм")&amp;"-"&amp;TEXT(Настройки!$J2+TIME(0,Июнь!AB13,0),"ч::мм"))</f>
        <v/>
      </c>
      <c r="K24" s="3" t="str">
        <f>IF(TEXT(Настройки!$J2+TIME(0,Июнь!AC13,0),"ч::мм")=TEXT(Настройки!$J2,"ч:мм"),"",TEXT(Настройки!$J2,"ч:мм")&amp;"-"&amp;TEXT(Настройки!$J2+TIME(0,Июнь!AC13,0),"ч::мм"))</f>
        <v/>
      </c>
      <c r="L24" s="3" t="str">
        <f>IF(TEXT(Настройки!$J2+TIME(0,Июнь!AD13,0),"ч::мм")=TEXT(Настройки!$J2,"ч:мм"),"",TEXT(Настройки!$J2,"ч:мм")&amp;"-"&amp;TEXT(Настройки!$J2+TIME(0,Июнь!AD13,0),"ч::мм"))</f>
        <v/>
      </c>
      <c r="M24" s="3" t="str">
        <f>IF(TEXT(Настройки!$J2+TIME(0,Июнь!AE13,0),"ч::мм")=TEXT(Настройки!$J2,"ч:мм"),"",TEXT(Настройки!$J2,"ч:мм")&amp;"-"&amp;TEXT(Настройки!$J2+TIME(0,Июнь!AE13,0),"ч::мм"))</f>
        <v/>
      </c>
      <c r="N24" s="3" t="str">
        <f>IF(TEXT(Настройки!$J2+TIME(0,Июнь!AF13,0),"ч::мм")=TEXT(Настройки!$J2,"ч:мм"),"",TEXT(Настройки!$J2,"ч:мм")&amp;"-"&amp;TEXT(Настройки!$J2+TIME(0,Июнь!AF13,0),"ч::мм"))</f>
        <v/>
      </c>
      <c r="O24" s="3" t="str">
        <f>IF(TEXT(Настройки!$J2+TIME(0,Июнь!AG13,0),"ч::мм")=TEXT(Настройки!$J2,"ч:мм"),"",TEXT(Настройки!$J2,"ч:мм")&amp;"-"&amp;TEXT(Настройки!$J2+TIME(0,Июнь!AG13,0),"ч::мм"))</f>
        <v/>
      </c>
      <c r="P24" s="3" t="str">
        <f>IF(TEXT(Настройки!$J2+TIME(0,Июнь!AH13,0),"ч::мм")=TEXT(Настройки!$J2,"ч:мм"),"",TEXT(Настройки!$J2,"ч:мм")&amp;"-"&amp;TEXT(Настройки!$J2+TIME(0,Июнь!AH13,0),"ч::мм"))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IF(TEXT(Настройки!$J3+TIME(0,Июнь!T14,0),"ч::мм")=TEXT(Настройки!$J3,"ч:мм"),"",TEXT(Настройки!$J3,"ч:мм")&amp;"-"&amp;TEXT(Настройки!$J3+TIME(0,Июнь!T14,0),"ч::мм"))</f>
        <v/>
      </c>
      <c r="C25" s="3" t="str">
        <f ca="1">IF(TEXT(Настройки!$J3+TIME(0,Июнь!U14,0),"ч::мм")=TEXT(Настройки!$J3,"ч:мм"),"",TEXT(Настройки!$J3,"ч:мм")&amp;"-"&amp;TEXT(Настройки!$J3+TIME(0,Июнь!U14,0),"ч::мм"))</f>
        <v/>
      </c>
      <c r="D25" s="3" t="str">
        <f ca="1">IF(TEXT(Настройки!$J3+TIME(0,Июнь!V14,0),"ч::мм")=TEXT(Настройки!$J3,"ч:мм"),"",TEXT(Настройки!$J3,"ч:мм")&amp;"-"&amp;TEXT(Настройки!$J3+TIME(0,Июнь!V14,0),"ч::мм"))</f>
        <v/>
      </c>
      <c r="E25" s="3" t="str">
        <f ca="1">IF(TEXT(Настройки!$J3+TIME(0,Июнь!W14,0),"ч::мм")=TEXT(Настройки!$J3,"ч:мм"),"",TEXT(Настройки!$J3,"ч:мм")&amp;"-"&amp;TEXT(Настройки!$J3+TIME(0,Июнь!W14,0),"ч::мм"))</f>
        <v/>
      </c>
      <c r="F25" s="3" t="str">
        <f ca="1">IF(TEXT(Настройки!$J3+TIME(0,Июнь!X14,0),"ч::мм")=TEXT(Настройки!$J3,"ч:мм"),"",TEXT(Настройки!$J3,"ч:мм")&amp;"-"&amp;TEXT(Настройки!$J3+TIME(0,Июнь!X14,0),"ч::мм"))</f>
        <v/>
      </c>
      <c r="G25" s="3" t="str">
        <f ca="1">IF(TEXT(Настройки!$J3+TIME(0,Июнь!Y14,0),"ч::мм")=TEXT(Настройки!$J3,"ч:мм"),"",TEXT(Настройки!$J3,"ч:мм")&amp;"-"&amp;TEXT(Настройки!$J3+TIME(0,Июнь!Y14,0),"ч::мм"))</f>
        <v/>
      </c>
      <c r="H25" s="3" t="str">
        <f ca="1">IF(TEXT(Настройки!$J3+TIME(0,Июнь!Z14,0),"ч::мм")=TEXT(Настройки!$J3,"ч:мм"),"",TEXT(Настройки!$J3,"ч:мм")&amp;"-"&amp;TEXT(Настройки!$J3+TIME(0,Июнь!Z14,0),"ч::мм"))</f>
        <v/>
      </c>
      <c r="I25" s="3" t="str">
        <f ca="1">IF(TEXT(Настройки!$J3+TIME(0,Июнь!AA14,0),"ч::мм")=TEXT(Настройки!$J3,"ч:мм"),"",TEXT(Настройки!$J3,"ч:мм")&amp;"-"&amp;TEXT(Настройки!$J3+TIME(0,Июнь!AA14,0),"ч::мм"))</f>
        <v/>
      </c>
      <c r="J25" s="3" t="str">
        <f ca="1">IF(TEXT(Настройки!$J3+TIME(0,Июнь!AB14,0),"ч::мм")=TEXT(Настройки!$J3,"ч:мм"),"",TEXT(Настройки!$J3,"ч:мм")&amp;"-"&amp;TEXT(Настройки!$J3+TIME(0,Июнь!AB14,0),"ч::мм"))</f>
        <v/>
      </c>
      <c r="K25" s="3" t="str">
        <f ca="1">IF(TEXT(Настройки!$J3+TIME(0,Июнь!AC14,0),"ч::мм")=TEXT(Настройки!$J3,"ч:мм"),"",TEXT(Настройки!$J3,"ч:мм")&amp;"-"&amp;TEXT(Настройки!$J3+TIME(0,Июнь!AC14,0),"ч::мм"))</f>
        <v/>
      </c>
      <c r="L25" s="3" t="str">
        <f ca="1">IF(TEXT(Настройки!$J3+TIME(0,Июнь!AD14,0),"ч::мм")=TEXT(Настройки!$J3,"ч:мм"),"",TEXT(Настройки!$J3,"ч:мм")&amp;"-"&amp;TEXT(Настройки!$J3+TIME(0,Июнь!AD14,0),"ч::мм"))</f>
        <v/>
      </c>
      <c r="M25" s="3" t="str">
        <f ca="1">IF(TEXT(Настройки!$J3+TIME(0,Июнь!AE14,0),"ч::мм")=TEXT(Настройки!$J3,"ч:мм"),"",TEXT(Настройки!$J3,"ч:мм")&amp;"-"&amp;TEXT(Настройки!$J3+TIME(0,Июнь!AE14,0),"ч::мм"))</f>
        <v/>
      </c>
      <c r="N25" s="3" t="str">
        <f ca="1">IF(TEXT(Настройки!$J3+TIME(0,Июнь!AF14,0),"ч::мм")=TEXT(Настройки!$J3,"ч:мм"),"",TEXT(Настройки!$J3,"ч:мм")&amp;"-"&amp;TEXT(Настройки!$J3+TIME(0,Июнь!AF14,0),"ч::мм"))</f>
        <v/>
      </c>
      <c r="O25" s="3" t="str">
        <f ca="1">IF(TEXT(Настройки!$J3+TIME(0,Июнь!AG14,0),"ч::мм")=TEXT(Настройки!$J3,"ч:мм"),"",TEXT(Настройки!$J3,"ч:мм")&amp;"-"&amp;TEXT(Настройки!$J3+TIME(0,Июнь!AG14,0),"ч::мм"))</f>
        <v/>
      </c>
      <c r="P25" s="3" t="str">
        <f ca="1">IF(TEXT(Настройки!$J3+TIME(0,Июнь!AH14,0),"ч::мм")=TEXT(Настройки!$J3,"ч:мм"),"",TEXT(Настройки!$J3,"ч:мм")&amp;"-"&amp;TEXT(Настройки!$J3+TIME(0,Июнь!AH14,0),"ч::мм"))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IF(TEXT(Настройки!$J4+TIME(0,Июнь!T15,0),"ч::мм")=TEXT(Настройки!$J4,"ч:мм"),"",TEXT(Настройки!$J4,"ч:мм")&amp;"-"&amp;TEXT(Настройки!$J4+TIME(0,Июнь!T15,0),"ч::мм"))</f>
        <v/>
      </c>
      <c r="C26" s="3" t="str">
        <f ca="1">IF(TEXT(Настройки!$J4+TIME(0,Июнь!U15,0),"ч::мм")=TEXT(Настройки!$J4,"ч:мм"),"",TEXT(Настройки!$J4,"ч:мм")&amp;"-"&amp;TEXT(Настройки!$J4+TIME(0,Июнь!U15,0),"ч::мм"))</f>
        <v/>
      </c>
      <c r="D26" s="3" t="str">
        <f ca="1">IF(TEXT(Настройки!$J4+TIME(0,Июнь!V15,0),"ч::мм")=TEXT(Настройки!$J4,"ч:мм"),"",TEXT(Настройки!$J4,"ч:мм")&amp;"-"&amp;TEXT(Настройки!$J4+TIME(0,Июнь!V15,0),"ч::мм"))</f>
        <v/>
      </c>
      <c r="E26" s="3" t="str">
        <f ca="1">IF(TEXT(Настройки!$J4+TIME(0,Июнь!W15,0),"ч::мм")=TEXT(Настройки!$J4,"ч:мм"),"",TEXT(Настройки!$J4,"ч:мм")&amp;"-"&amp;TEXT(Настройки!$J4+TIME(0,Июнь!W15,0),"ч::мм"))</f>
        <v/>
      </c>
      <c r="F26" s="3" t="str">
        <f ca="1">IF(TEXT(Настройки!$J4+TIME(0,Июнь!X15,0),"ч::мм")=TEXT(Настройки!$J4,"ч:мм"),"",TEXT(Настройки!$J4,"ч:мм")&amp;"-"&amp;TEXT(Настройки!$J4+TIME(0,Июнь!X15,0),"ч::мм"))</f>
        <v/>
      </c>
      <c r="G26" s="3" t="str">
        <f ca="1">IF(TEXT(Настройки!$J4+TIME(0,Июнь!Y15,0),"ч::мм")=TEXT(Настройки!$J4,"ч:мм"),"",TEXT(Настройки!$J4,"ч:мм")&amp;"-"&amp;TEXT(Настройки!$J4+TIME(0,Июнь!Y15,0),"ч::мм"))</f>
        <v/>
      </c>
      <c r="H26" s="3" t="str">
        <f ca="1">IF(TEXT(Настройки!$J4+TIME(0,Июнь!Z15,0),"ч::мм")=TEXT(Настройки!$J4,"ч:мм"),"",TEXT(Настройки!$J4,"ч:мм")&amp;"-"&amp;TEXT(Настройки!$J4+TIME(0,Июнь!Z15,0),"ч::мм"))</f>
        <v/>
      </c>
      <c r="I26" s="3" t="str">
        <f ca="1">IF(TEXT(Настройки!$J4+TIME(0,Июнь!AA15,0),"ч::мм")=TEXT(Настройки!$J4,"ч:мм"),"",TEXT(Настройки!$J4,"ч:мм")&amp;"-"&amp;TEXT(Настройки!$J4+TIME(0,Июнь!AA15,0),"ч::мм"))</f>
        <v/>
      </c>
      <c r="J26" s="3" t="str">
        <f ca="1">IF(TEXT(Настройки!$J4+TIME(0,Июнь!AB15,0),"ч::мм")=TEXT(Настройки!$J4,"ч:мм"),"",TEXT(Настройки!$J4,"ч:мм")&amp;"-"&amp;TEXT(Настройки!$J4+TIME(0,Июнь!AB15,0),"ч::мм"))</f>
        <v/>
      </c>
      <c r="K26" s="3" t="str">
        <f ca="1">IF(TEXT(Настройки!$J4+TIME(0,Июнь!AC15,0),"ч::мм")=TEXT(Настройки!$J4,"ч:мм"),"",TEXT(Настройки!$J4,"ч:мм")&amp;"-"&amp;TEXT(Настройки!$J4+TIME(0,Июнь!AC15,0),"ч::мм"))</f>
        <v/>
      </c>
      <c r="L26" s="3" t="str">
        <f ca="1">IF(TEXT(Настройки!$J4+TIME(0,Июнь!AD15,0),"ч::мм")=TEXT(Настройки!$J4,"ч:мм"),"",TEXT(Настройки!$J4,"ч:мм")&amp;"-"&amp;TEXT(Настройки!$J4+TIME(0,Июнь!AD15,0),"ч::мм"))</f>
        <v/>
      </c>
      <c r="M26" s="3" t="str">
        <f ca="1">IF(TEXT(Настройки!$J4+TIME(0,Июнь!AE15,0),"ч::мм")=TEXT(Настройки!$J4,"ч:мм"),"",TEXT(Настройки!$J4,"ч:мм")&amp;"-"&amp;TEXT(Настройки!$J4+TIME(0,Июнь!AE15,0),"ч::мм"))</f>
        <v/>
      </c>
      <c r="N26" s="3" t="str">
        <f ca="1">IF(TEXT(Настройки!$J4+TIME(0,Июнь!AF15,0),"ч::мм")=TEXT(Настройки!$J4,"ч:мм"),"",TEXT(Настройки!$J4,"ч:мм")&amp;"-"&amp;TEXT(Настройки!$J4+TIME(0,Июнь!AF15,0),"ч::мм"))</f>
        <v/>
      </c>
      <c r="O26" s="3" t="str">
        <f ca="1">IF(TEXT(Настройки!$J4+TIME(0,Июнь!AG15,0),"ч::мм")=TEXT(Настройки!$J4,"ч:мм"),"",TEXT(Настройки!$J4,"ч:мм")&amp;"-"&amp;TEXT(Настройки!$J4+TIME(0,Июнь!AG15,0),"ч::мм"))</f>
        <v/>
      </c>
      <c r="P26" s="3" t="str">
        <f ca="1">IF(TEXT(Настройки!$J4+TIME(0,Июнь!AH15,0),"ч::мм")=TEXT(Настройки!$J4,"ч:мм"),"",TEXT(Настройки!$J4,"ч:мм")&amp;"-"&amp;TEXT(Настройки!$J4+TIME(0,Июнь!AH15,0),"ч::мм"))</f>
        <v/>
      </c>
    </row>
    <row r="27" spans="1:18" x14ac:dyDescent="0.25">
      <c r="Q27" s="10"/>
      <c r="R27" s="10"/>
    </row>
  </sheetData>
  <mergeCells count="9">
    <mergeCell ref="A18:A22"/>
    <mergeCell ref="B18:P19"/>
    <mergeCell ref="B21:P22"/>
    <mergeCell ref="A2:P2"/>
    <mergeCell ref="F6:G6"/>
    <mergeCell ref="H6:I6"/>
    <mergeCell ref="A8:A12"/>
    <mergeCell ref="B8:P9"/>
    <mergeCell ref="B11:P12"/>
  </mergeCells>
  <conditionalFormatting sqref="B10:P10">
    <cfRule type="expression" dxfId="695" priority="3">
      <formula>WEEKDAY(B10:P10,2)&gt;5</formula>
    </cfRule>
  </conditionalFormatting>
  <conditionalFormatting sqref="B20:P20">
    <cfRule type="expression" dxfId="694" priority="2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4" tint="0.39997558519241921"/>
    <pageSetUpPr fitToPage="1"/>
  </sheetPr>
  <dimension ref="A2:AL28"/>
  <sheetViews>
    <sheetView zoomScale="60" zoomScaleNormal="6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4.28515625" style="3" customWidth="1"/>
    <col min="3" max="3" width="17.7109375" style="3" customWidth="1"/>
    <col min="4" max="4" width="9.28515625" style="3" customWidth="1"/>
    <col min="5" max="5" width="6.85546875" style="3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8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8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8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8" ht="18.75" x14ac:dyDescent="0.25">
      <c r="L5" s="11" t="s">
        <v>69</v>
      </c>
      <c r="M5" s="77" t="s">
        <v>72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8" ht="17.25" customHeight="1" x14ac:dyDescent="0.25"/>
    <row r="7" spans="1:38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9"/>
      <c r="AJ7" s="53" t="s">
        <v>64</v>
      </c>
      <c r="AK7" s="54" t="s">
        <v>64</v>
      </c>
    </row>
    <row r="8" spans="1:38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9"/>
      <c r="AJ8" s="53"/>
      <c r="AK8" s="55"/>
    </row>
    <row r="9" spans="1:38" x14ac:dyDescent="0.25">
      <c r="A9" s="63"/>
      <c r="B9" s="66"/>
      <c r="C9" s="66"/>
      <c r="D9" s="73"/>
      <c r="E9" s="18">
        <f>Настройки!G13</f>
        <v>45474</v>
      </c>
      <c r="F9" s="18">
        <f>Настройки!H13</f>
        <v>45475</v>
      </c>
      <c r="G9" s="18">
        <f>Настройки!I13</f>
        <v>45476</v>
      </c>
      <c r="H9" s="18">
        <f>Настройки!J13</f>
        <v>45477</v>
      </c>
      <c r="I9" s="18">
        <f>Настройки!K13</f>
        <v>45478</v>
      </c>
      <c r="J9" s="18">
        <f>Настройки!L13</f>
        <v>45479</v>
      </c>
      <c r="K9" s="18">
        <f>Настройки!M13</f>
        <v>45480</v>
      </c>
      <c r="L9" s="18">
        <f>Настройки!N13</f>
        <v>45481</v>
      </c>
      <c r="M9" s="18">
        <f>Настройки!O13</f>
        <v>45482</v>
      </c>
      <c r="N9" s="18">
        <f>Настройки!P13</f>
        <v>45483</v>
      </c>
      <c r="O9" s="18">
        <f>Настройки!Q13</f>
        <v>45484</v>
      </c>
      <c r="P9" s="18">
        <f>Настройки!R13</f>
        <v>45485</v>
      </c>
      <c r="Q9" s="18">
        <f>Настройки!S13</f>
        <v>45486</v>
      </c>
      <c r="R9" s="18">
        <f>Настройки!T13</f>
        <v>45487</v>
      </c>
      <c r="S9" s="18">
        <f>Настройки!U13</f>
        <v>45488</v>
      </c>
      <c r="T9" s="18">
        <f>Настройки!V13</f>
        <v>45489</v>
      </c>
      <c r="U9" s="18">
        <f>Настройки!W13</f>
        <v>45490</v>
      </c>
      <c r="V9" s="18">
        <f>Настройки!X13</f>
        <v>45491</v>
      </c>
      <c r="W9" s="18">
        <f>Настройки!Y13</f>
        <v>45492</v>
      </c>
      <c r="X9" s="18">
        <f>Настройки!Z13</f>
        <v>45493</v>
      </c>
      <c r="Y9" s="18">
        <f>Настройки!AA13</f>
        <v>45494</v>
      </c>
      <c r="Z9" s="18">
        <f>Настройки!AB13</f>
        <v>45495</v>
      </c>
      <c r="AA9" s="18">
        <f>Настройки!AC13</f>
        <v>45496</v>
      </c>
      <c r="AB9" s="18">
        <f>Настройки!AD13</f>
        <v>45497</v>
      </c>
      <c r="AC9" s="18">
        <f>Настройки!AE13</f>
        <v>45498</v>
      </c>
      <c r="AD9" s="18">
        <f>Настройки!AF13</f>
        <v>45499</v>
      </c>
      <c r="AE9" s="18">
        <f>Настройки!AG13</f>
        <v>45500</v>
      </c>
      <c r="AF9" s="18">
        <f>Настройки!AH13</f>
        <v>45501</v>
      </c>
      <c r="AG9" s="18">
        <f>Настройки!AI13</f>
        <v>45502</v>
      </c>
      <c r="AH9" s="18">
        <f>Настройки!AJ13</f>
        <v>45503</v>
      </c>
      <c r="AI9" s="18">
        <f>Настройки!AK13</f>
        <v>45504</v>
      </c>
      <c r="AJ9" s="53"/>
      <c r="AK9" s="55"/>
    </row>
    <row r="10" spans="1:38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9"/>
      <c r="AJ10" s="53"/>
      <c r="AK10" s="55"/>
    </row>
    <row r="11" spans="1:38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2"/>
      <c r="AJ11" s="53"/>
      <c r="AK11" s="56"/>
    </row>
    <row r="12" spans="1:38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SUMPRODUCT((Настройки!$G$27:$AK$27=1)*E16:AI16)</f>
        <v>0</v>
      </c>
      <c r="D13" s="5">
        <v>1</v>
      </c>
      <c r="E13" s="24">
        <f>SUMPRODUCT((Июль[№]=1)*Июль[1],Июль[Периодичность])</f>
        <v>0</v>
      </c>
      <c r="F13" s="24">
        <f>SUMPRODUCT((Июль[№]=1)*Июль[2],Июль[Периодичность])</f>
        <v>0</v>
      </c>
      <c r="G13" s="24">
        <f>SUMPRODUCT((Июль[№]=1)*Июль[3],Июль[Периодичность])</f>
        <v>0</v>
      </c>
      <c r="H13" s="24">
        <f>SUMPRODUCT((Июль[№]=1)*Июль[4],Июль[Периодичность])</f>
        <v>0</v>
      </c>
      <c r="I13" s="24">
        <f>SUMPRODUCT((Июль[№]=1)*Июль[5],Июль[Периодичность])</f>
        <v>0</v>
      </c>
      <c r="J13" s="24">
        <f>SUMPRODUCT((Июль[№]=1)*Июль[6],Июль[Периодичность])</f>
        <v>0</v>
      </c>
      <c r="K13" s="24">
        <f>SUMPRODUCT((Июль[№]=1)*Июль[7],Июль[Периодичность])</f>
        <v>0</v>
      </c>
      <c r="L13" s="24">
        <f>SUMPRODUCT((Июль[№]=1)*Июль[8],Июль[Периодичность])</f>
        <v>0</v>
      </c>
      <c r="M13" s="24">
        <f>SUMPRODUCT((Июль[№]=1)*Июль[9],Июль[Периодичность])</f>
        <v>0</v>
      </c>
      <c r="N13" s="24">
        <f>SUMPRODUCT((Июль[№]=1)*Июль[10],Июль[Периодичность])</f>
        <v>0</v>
      </c>
      <c r="O13" s="24">
        <f>SUMPRODUCT((Июль[№]=1)*Июль[11],Июль[Периодичность])</f>
        <v>0</v>
      </c>
      <c r="P13" s="24">
        <f>SUMPRODUCT((Июль[№]=1)*Июль[12],Июль[Периодичность])</f>
        <v>0</v>
      </c>
      <c r="Q13" s="24">
        <f>SUMPRODUCT((Июль[№]=1)*Июль[13],Июль[Периодичность])</f>
        <v>0</v>
      </c>
      <c r="R13" s="24">
        <f>SUMPRODUCT((Июль[№]=1)*Июль[14],Июль[Периодичность])</f>
        <v>0</v>
      </c>
      <c r="S13" s="24">
        <f>SUMPRODUCT((Июль[№]=1)*Июль[15],Июль[Периодичность])</f>
        <v>0</v>
      </c>
      <c r="T13" s="24">
        <f>SUMPRODUCT((Июль[№]=1)*Июль[16],Июль[Периодичность])</f>
        <v>0</v>
      </c>
      <c r="U13" s="24">
        <f>SUMPRODUCT((Июль[№]=1)*Июль[17],Июль[Периодичность])</f>
        <v>0</v>
      </c>
      <c r="V13" s="24">
        <f>SUMPRODUCT((Июль[№]=1)*Июль[18],Июль[Периодичность])</f>
        <v>0</v>
      </c>
      <c r="W13" s="24">
        <f>SUMPRODUCT((Июль[№]=1)*Июль[19],Июль[Периодичность])</f>
        <v>0</v>
      </c>
      <c r="X13" s="24">
        <f>SUMPRODUCT((Июль[№]=1)*Июль[20],Июль[Периодичность])</f>
        <v>0</v>
      </c>
      <c r="Y13" s="24">
        <f>SUMPRODUCT((Июль[№]=1)*Июль[21],Июль[Периодичность])</f>
        <v>0</v>
      </c>
      <c r="Z13" s="24">
        <f>SUMPRODUCT((Июль[№]=1)*Июль[22],Июль[Периодичность])</f>
        <v>0</v>
      </c>
      <c r="AA13" s="24">
        <f>SUMPRODUCT((Июль[№]=1)*Июль[23],Июль[Периодичность])</f>
        <v>0</v>
      </c>
      <c r="AB13" s="24">
        <f>SUMPRODUCT((Июль[№]=1)*Июль[24],Июль[Периодичность])</f>
        <v>0</v>
      </c>
      <c r="AC13" s="24">
        <f>SUMPRODUCT((Июль[№]=1)*Июль[25],Июль[Периодичность])</f>
        <v>0</v>
      </c>
      <c r="AD13" s="24">
        <f>SUMPRODUCT((Июль[№]=1)*Июль[26],Июль[Периодичность])</f>
        <v>0</v>
      </c>
      <c r="AE13" s="24">
        <f>SUMPRODUCT((Июль[№]=1)*Июль[27],Июль[Периодичность])</f>
        <v>0</v>
      </c>
      <c r="AF13" s="24">
        <f>SUMPRODUCT((Июль[№]=1)*Июль[28],Июль[Периодичность])</f>
        <v>0</v>
      </c>
      <c r="AG13" s="24">
        <f>SUMPRODUCT((Июль[№]=1)*Июль[29],Июль[Периодичность])</f>
        <v>0</v>
      </c>
      <c r="AH13" s="24">
        <f>SUMPRODUCT((Июль[№]=1)*Июль[30],Июль[Периодичность])</f>
        <v>0</v>
      </c>
      <c r="AI13" s="24">
        <f>SUMPRODUCT((Июль[№]=1)*Июль[31],Июль[Периодичность])</f>
        <v>0</v>
      </c>
      <c r="AL13" s="4"/>
    </row>
    <row r="14" spans="1:38" x14ac:dyDescent="0.25">
      <c r="B14" s="3">
        <f ca="1">SUMPRODUCT((Настройки!$G$27:$AK$27=2)*E16:AI16)</f>
        <v>0</v>
      </c>
      <c r="D14" s="5">
        <v>2</v>
      </c>
      <c r="E14" s="24">
        <f ca="1">SUMPRODUCT((Июль[№]=2)*Июль[1],OFFSET(Июль[Периодичность],-1,0))</f>
        <v>0</v>
      </c>
      <c r="F14" s="24">
        <f ca="1">SUMPRODUCT((Июль[№]=2)*Июль[2],OFFSET(Июль[Периодичность],-1,0))</f>
        <v>0</v>
      </c>
      <c r="G14" s="24">
        <f ca="1">SUMPRODUCT((Июль[№]=2)*Июль[3],OFFSET(Июль[Периодичность],-1,0))</f>
        <v>0</v>
      </c>
      <c r="H14" s="24">
        <f ca="1">SUMPRODUCT((Июль[№]=2)*Июль[4],OFFSET(Июль[Периодичность],-1,0))</f>
        <v>0</v>
      </c>
      <c r="I14" s="24">
        <f ca="1">SUMPRODUCT((Июль[№]=2)*Июль[5],OFFSET(Июль[Периодичность],-1,0))</f>
        <v>0</v>
      </c>
      <c r="J14" s="24">
        <f ca="1">SUMPRODUCT((Июль[№]=2)*Июль[6],OFFSET(Июль[Периодичность],-1,0))</f>
        <v>0</v>
      </c>
      <c r="K14" s="24">
        <f ca="1">SUMPRODUCT((Июль[№]=2)*Июль[7],OFFSET(Июль[Периодичность],-1,0))</f>
        <v>0</v>
      </c>
      <c r="L14" s="24">
        <f ca="1">SUMPRODUCT((Июль[№]=2)*Июль[8],OFFSET(Июль[Периодичность],-1,0))</f>
        <v>0</v>
      </c>
      <c r="M14" s="24">
        <f ca="1">SUMPRODUCT((Июль[№]=2)*Июль[9],OFFSET(Июль[Периодичность],-1,0))</f>
        <v>0</v>
      </c>
      <c r="N14" s="24">
        <f ca="1">SUMPRODUCT((Июль[№]=2)*Июль[10],OFFSET(Июль[Периодичность],-1,0))</f>
        <v>0</v>
      </c>
      <c r="O14" s="24">
        <f ca="1">SUMPRODUCT((Июль[№]=2)*Июль[11],OFFSET(Июль[Периодичность],-1,0))</f>
        <v>0</v>
      </c>
      <c r="P14" s="24">
        <f ca="1">SUMPRODUCT((Июль[№]=2)*Июль[12],OFFSET(Июль[Периодичность],-1,0))</f>
        <v>0</v>
      </c>
      <c r="Q14" s="24">
        <f ca="1">SUMPRODUCT((Июль[№]=2)*Июль[13],OFFSET(Июль[Периодичность],-1,0))</f>
        <v>0</v>
      </c>
      <c r="R14" s="24">
        <f ca="1">SUMPRODUCT((Июль[№]=2)*Июль[14],OFFSET(Июль[Периодичность],-1,0))</f>
        <v>0</v>
      </c>
      <c r="S14" s="24">
        <f ca="1">SUMPRODUCT((Июль[№]=2)*Июль[15],OFFSET(Июль[Периодичность],-1,0))</f>
        <v>0</v>
      </c>
      <c r="T14" s="24">
        <f ca="1">SUMPRODUCT((Июль[№]=2)*Июль[16],OFFSET(Июль[Периодичность],-1,0))</f>
        <v>0</v>
      </c>
      <c r="U14" s="24">
        <f ca="1">SUMPRODUCT((Июль[№]=2)*Июль[17],OFFSET(Июль[Периодичность],-1,0))</f>
        <v>0</v>
      </c>
      <c r="V14" s="24">
        <f ca="1">SUMPRODUCT((Июль[№]=2)*Июль[18],OFFSET(Июль[Периодичность],-1,0))</f>
        <v>0</v>
      </c>
      <c r="W14" s="24">
        <f ca="1">SUMPRODUCT((Июль[№]=2)*Июль[19],OFFSET(Июль[Периодичность],-1,0))</f>
        <v>0</v>
      </c>
      <c r="X14" s="24">
        <f ca="1">SUMPRODUCT((Июль[№]=2)*Июль[20],OFFSET(Июль[Периодичность],-1,0))</f>
        <v>0</v>
      </c>
      <c r="Y14" s="24">
        <f ca="1">SUMPRODUCT((Июль[№]=2)*Июль[21],OFFSET(Июль[Периодичность],-1,0))</f>
        <v>0</v>
      </c>
      <c r="Z14" s="24">
        <f ca="1">SUMPRODUCT((Июль[№]=2)*Июль[22],OFFSET(Июль[Периодичность],-1,0))</f>
        <v>0</v>
      </c>
      <c r="AA14" s="24">
        <f ca="1">SUMPRODUCT((Июль[№]=2)*Июль[23],OFFSET(Июль[Периодичность],-1,0))</f>
        <v>0</v>
      </c>
      <c r="AB14" s="24">
        <f ca="1">SUMPRODUCT((Июль[№]=2)*Июль[24],OFFSET(Июль[Периодичность],-1,0))</f>
        <v>0</v>
      </c>
      <c r="AC14" s="24">
        <f ca="1">SUMPRODUCT((Июль[№]=2)*Июль[25],OFFSET(Июль[Периодичность],-1,0))</f>
        <v>0</v>
      </c>
      <c r="AD14" s="24">
        <f ca="1">SUMPRODUCT((Июль[№]=2)*Июль[26],OFFSET(Июль[Периодичность],-1,0))</f>
        <v>0</v>
      </c>
      <c r="AE14" s="24">
        <f ca="1">SUMPRODUCT((Июль[№]=2)*Июль[27],OFFSET(Июль[Периодичность],-1,0))</f>
        <v>0</v>
      </c>
      <c r="AF14" s="24">
        <f ca="1">SUMPRODUCT((Июль[№]=2)*Июль[28],OFFSET(Июль[Периодичность],-1,0))</f>
        <v>0</v>
      </c>
      <c r="AG14" s="24">
        <f ca="1">SUMPRODUCT((Июль[№]=2)*Июль[29],OFFSET(Июль[Периодичность],-1,0))</f>
        <v>0</v>
      </c>
      <c r="AH14" s="24">
        <f ca="1">SUMPRODUCT((Июль[№]=2)*Июль[30],OFFSET(Июль[Периодичность],-1,0))</f>
        <v>0</v>
      </c>
      <c r="AI14" s="24">
        <f ca="1">SUMPRODUCT((Июль[№]=2)*Июль[31],OFFSET(Июль[Периодичность],-1,0))</f>
        <v>0</v>
      </c>
      <c r="AL14" s="4"/>
    </row>
    <row r="15" spans="1:38" x14ac:dyDescent="0.25">
      <c r="B15" s="3">
        <f ca="1">SUMPRODUCT((Настройки!$G$27:$AK$27=3)*E16:AI16)</f>
        <v>0</v>
      </c>
      <c r="D15" s="5">
        <v>3</v>
      </c>
      <c r="E15" s="24">
        <f ca="1">SUMPRODUCT((Июль[№]=3)*Июль[1],OFFSET(Июль[Периодичность],-2,0))</f>
        <v>0</v>
      </c>
      <c r="F15" s="24">
        <f ca="1">SUMPRODUCT((Июль[№]=3)*Июль[2],OFFSET(Июль[Периодичность],-2,0))</f>
        <v>0</v>
      </c>
      <c r="G15" s="24">
        <f ca="1">SUMPRODUCT((Июль[№]=3)*Июль[3],OFFSET(Июль[Периодичность],-2,0))</f>
        <v>0</v>
      </c>
      <c r="H15" s="24">
        <f ca="1">SUMPRODUCT((Июль[№]=3)*Июль[4],OFFSET(Июль[Периодичность],-2,0))</f>
        <v>0</v>
      </c>
      <c r="I15" s="24">
        <f ca="1">SUMPRODUCT((Июль[№]=3)*Июль[5],OFFSET(Июль[Периодичность],-2,0))</f>
        <v>0</v>
      </c>
      <c r="J15" s="24">
        <f ca="1">SUMPRODUCT((Июль[№]=3)*Июль[6],OFFSET(Июль[Периодичность],-2,0))</f>
        <v>0</v>
      </c>
      <c r="K15" s="24">
        <f ca="1">SUMPRODUCT((Июль[№]=3)*Июль[7],OFFSET(Июль[Периодичность],-2,0))</f>
        <v>0</v>
      </c>
      <c r="L15" s="24">
        <f ca="1">SUMPRODUCT((Июль[№]=3)*Июль[8],OFFSET(Июль[Периодичность],-2,0))</f>
        <v>0</v>
      </c>
      <c r="M15" s="24">
        <f ca="1">SUMPRODUCT((Июль[№]=3)*Июль[9],OFFSET(Июль[Периодичность],-2,0))</f>
        <v>0</v>
      </c>
      <c r="N15" s="24">
        <f ca="1">SUMPRODUCT((Июль[№]=3)*Июль[10],OFFSET(Июль[Периодичность],-2,0))</f>
        <v>0</v>
      </c>
      <c r="O15" s="24">
        <f ca="1">SUMPRODUCT((Июль[№]=3)*Июль[11],OFFSET(Июль[Периодичность],-2,0))</f>
        <v>0</v>
      </c>
      <c r="P15" s="24">
        <f ca="1">SUMPRODUCT((Июль[№]=3)*Июль[12],OFFSET(Июль[Периодичность],-2,0))</f>
        <v>0</v>
      </c>
      <c r="Q15" s="24">
        <f ca="1">SUMPRODUCT((Июль[№]=3)*Июль[13],OFFSET(Июль[Периодичность],-2,0))</f>
        <v>0</v>
      </c>
      <c r="R15" s="24">
        <f ca="1">SUMPRODUCT((Июль[№]=3)*Июль[14],OFFSET(Июль[Периодичность],-2,0))</f>
        <v>0</v>
      </c>
      <c r="S15" s="24">
        <f ca="1">SUMPRODUCT((Июль[№]=3)*Июль[15],OFFSET(Июль[Периодичность],-2,0))</f>
        <v>0</v>
      </c>
      <c r="T15" s="24">
        <f ca="1">SUMPRODUCT((Июль[№]=3)*Июль[16],OFFSET(Июль[Периодичность],-2,0))</f>
        <v>0</v>
      </c>
      <c r="U15" s="24">
        <f ca="1">SUMPRODUCT((Июль[№]=3)*Июль[17],OFFSET(Июль[Периодичность],-2,0))</f>
        <v>0</v>
      </c>
      <c r="V15" s="24">
        <f ca="1">SUMPRODUCT((Июль[№]=3)*Июль[18],OFFSET(Июль[Периодичность],-2,0))</f>
        <v>0</v>
      </c>
      <c r="W15" s="24">
        <f ca="1">SUMPRODUCT((Июль[№]=3)*Июль[19],OFFSET(Июль[Периодичность],-2,0))</f>
        <v>0</v>
      </c>
      <c r="X15" s="24">
        <f ca="1">SUMPRODUCT((Июль[№]=3)*Июль[20],OFFSET(Июль[Периодичность],-2,0))</f>
        <v>0</v>
      </c>
      <c r="Y15" s="24">
        <f ca="1">SUMPRODUCT((Июль[№]=3)*Июль[21],OFFSET(Июль[Периодичность],-2,0))</f>
        <v>0</v>
      </c>
      <c r="Z15" s="24">
        <f ca="1">SUMPRODUCT((Июль[№]=3)*Июль[22],OFFSET(Июль[Периодичность],-2,0))</f>
        <v>0</v>
      </c>
      <c r="AA15" s="24">
        <f ca="1">SUMPRODUCT((Июль[№]=3)*Июль[23],OFFSET(Июль[Периодичность],-2,0))</f>
        <v>0</v>
      </c>
      <c r="AB15" s="24">
        <f ca="1">SUMPRODUCT((Июль[№]=3)*Июль[24],OFFSET(Июль[Периодичность],-2,0))</f>
        <v>0</v>
      </c>
      <c r="AC15" s="24">
        <f ca="1">SUMPRODUCT((Июль[№]=3)*Июль[25],OFFSET(Июль[Периодичность],-2,0))</f>
        <v>0</v>
      </c>
      <c r="AD15" s="24">
        <f ca="1">SUMPRODUCT((Июль[№]=3)*Июль[26],OFFSET(Июль[Периодичность],-2,0))</f>
        <v>0</v>
      </c>
      <c r="AE15" s="24">
        <f ca="1">SUMPRODUCT((Июль[№]=3)*Июль[27],OFFSET(Июль[Периодичность],-2,0))</f>
        <v>0</v>
      </c>
      <c r="AF15" s="24">
        <f ca="1">SUMPRODUCT((Июль[№]=3)*Июль[28],OFFSET(Июль[Периодичность],-2,0))</f>
        <v>0</v>
      </c>
      <c r="AG15" s="24">
        <f ca="1">SUMPRODUCT((Июль[№]=3)*Июль[29],OFFSET(Июль[Периодичность],-2,0))</f>
        <v>0</v>
      </c>
      <c r="AH15" s="24">
        <f ca="1">SUMPRODUCT((Июль[№]=3)*Июль[30],OFFSET(Июль[Периодичность],-2,0))</f>
        <v>0</v>
      </c>
      <c r="AI15" s="24">
        <f ca="1">SUMPRODUCT((Июль[№]=3)*Июль[31],OFFSET(Июль[Периодичность],-2,0))</f>
        <v>0</v>
      </c>
      <c r="AK15" s="10"/>
    </row>
    <row r="16" spans="1:38" ht="22.5" customHeight="1" x14ac:dyDescent="0.25">
      <c r="B16" s="3">
        <f ca="1">SUMPRODUCT((Настройки!$G$27:$AK$27=4)*E16:AI16)</f>
        <v>0</v>
      </c>
      <c r="D16" s="5"/>
      <c r="E16" s="24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I16" s="24">
        <f ca="1">SUM(AI13:AI15)</f>
        <v>0</v>
      </c>
      <c r="AK16" s="10"/>
    </row>
    <row r="17" spans="1:37" ht="22.5" customHeight="1" x14ac:dyDescent="0.25">
      <c r="B17" s="3">
        <f ca="1">SUMPRODUCT((Настройки!$G$27:$AK$27=5)*E16:AI16)</f>
        <v>0</v>
      </c>
      <c r="C17" s="5">
        <f ca="1">ИюльИтоги[[#This Row],[№]]*60</f>
        <v>0</v>
      </c>
      <c r="D17" s="7">
        <f ca="1">SUM(ИюльИтоги[[#This Row],[1]:[31]])</f>
        <v>0</v>
      </c>
      <c r="E17" s="25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25">
        <f ca="1">AI16/60</f>
        <v>0</v>
      </c>
      <c r="AJ17" s="5">
        <f ca="1">SUM(Июль[УСЛУГ])</f>
        <v>0</v>
      </c>
      <c r="AK17" s="16">
        <f ca="1">SUM(Июль[МИНУТ])</f>
        <v>0</v>
      </c>
    </row>
    <row r="18" spans="1:37" ht="22.5" customHeight="1" x14ac:dyDescent="0.25">
      <c r="B18" s="14">
        <f ca="1">SUMPRODUCT((Настройки!$G$27:$AK$27=6)*E16:AI16)</f>
        <v>0</v>
      </c>
      <c r="C18" s="14"/>
      <c r="D18" s="7"/>
      <c r="E18" s="47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47"/>
      <c r="AJ18" s="14"/>
      <c r="AK18" s="46"/>
    </row>
    <row r="19" spans="1:37" ht="20.25" customHeight="1" x14ac:dyDescent="0.25"/>
    <row r="20" spans="1:37" ht="22.5" customHeight="1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9"/>
      <c r="AJ20" s="53" t="s">
        <v>64</v>
      </c>
      <c r="AK20" s="54" t="s">
        <v>64</v>
      </c>
    </row>
    <row r="21" spans="1:37" ht="18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9"/>
      <c r="AJ21" s="53"/>
      <c r="AK21" s="55"/>
    </row>
    <row r="22" spans="1:37" ht="21.75" customHeight="1" x14ac:dyDescent="0.25">
      <c r="A22" s="63"/>
      <c r="B22" s="63"/>
      <c r="C22" s="64"/>
      <c r="D22" s="66"/>
      <c r="E22" s="21">
        <f>Настройки!G13</f>
        <v>45474</v>
      </c>
      <c r="F22" s="21">
        <f>Настройки!H13</f>
        <v>45475</v>
      </c>
      <c r="G22" s="21">
        <f>Настройки!I13</f>
        <v>45476</v>
      </c>
      <c r="H22" s="21">
        <f>Настройки!J13</f>
        <v>45477</v>
      </c>
      <c r="I22" s="21">
        <f>Настройки!K13</f>
        <v>45478</v>
      </c>
      <c r="J22" s="21">
        <f>Настройки!L13</f>
        <v>45479</v>
      </c>
      <c r="K22" s="21">
        <f>Настройки!M13</f>
        <v>45480</v>
      </c>
      <c r="L22" s="21">
        <f>Настройки!N13</f>
        <v>45481</v>
      </c>
      <c r="M22" s="21">
        <f>Настройки!O13</f>
        <v>45482</v>
      </c>
      <c r="N22" s="21">
        <f>Настройки!P13</f>
        <v>45483</v>
      </c>
      <c r="O22" s="21">
        <f>Настройки!Q13</f>
        <v>45484</v>
      </c>
      <c r="P22" s="21">
        <f>Настройки!R13</f>
        <v>45485</v>
      </c>
      <c r="Q22" s="21">
        <f>Настройки!S13</f>
        <v>45486</v>
      </c>
      <c r="R22" s="21">
        <f>Настройки!T13</f>
        <v>45487</v>
      </c>
      <c r="S22" s="21">
        <f>Настройки!U13</f>
        <v>45488</v>
      </c>
      <c r="T22" s="21">
        <f>Настройки!V13</f>
        <v>45489</v>
      </c>
      <c r="U22" s="21">
        <f>Настройки!W13</f>
        <v>45490</v>
      </c>
      <c r="V22" s="21">
        <f>Настройки!X13</f>
        <v>45491</v>
      </c>
      <c r="W22" s="21">
        <f>Настройки!Y13</f>
        <v>45492</v>
      </c>
      <c r="X22" s="21">
        <f>Настройки!Z13</f>
        <v>45493</v>
      </c>
      <c r="Y22" s="21">
        <f>Настройки!AA13</f>
        <v>45494</v>
      </c>
      <c r="Z22" s="21">
        <f>Настройки!AB13</f>
        <v>45495</v>
      </c>
      <c r="AA22" s="21">
        <f>Настройки!AC13</f>
        <v>45496</v>
      </c>
      <c r="AB22" s="21">
        <f>Настройки!AD13</f>
        <v>45497</v>
      </c>
      <c r="AC22" s="21">
        <f>Настройки!AE13</f>
        <v>45498</v>
      </c>
      <c r="AD22" s="21">
        <f>Настройки!AF13</f>
        <v>45499</v>
      </c>
      <c r="AE22" s="21">
        <f>Настройки!AG13</f>
        <v>45500</v>
      </c>
      <c r="AF22" s="21">
        <f>Настройки!AH13</f>
        <v>45501</v>
      </c>
      <c r="AG22" s="21">
        <f>Настройки!AI13</f>
        <v>45502</v>
      </c>
      <c r="AH22" s="21">
        <f>Настройки!AJ13</f>
        <v>45503</v>
      </c>
      <c r="AI22" s="21">
        <f>Настройки!AK13</f>
        <v>45504</v>
      </c>
      <c r="AJ22" s="53"/>
      <c r="AK22" s="55"/>
    </row>
    <row r="23" spans="1:37" x14ac:dyDescent="0.25">
      <c r="A23" s="63"/>
      <c r="B23" s="63"/>
      <c r="C23" s="64"/>
      <c r="D23" s="66"/>
      <c r="E23" s="63" t="s">
        <v>54</v>
      </c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70"/>
      <c r="AJ23" s="53"/>
      <c r="AK23" s="55"/>
    </row>
    <row r="24" spans="1:37" x14ac:dyDescent="0.25">
      <c r="A24" s="63"/>
      <c r="B24" s="63"/>
      <c r="C24" s="64"/>
      <c r="D24" s="66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70"/>
      <c r="AJ24" s="53"/>
      <c r="AK24" s="56"/>
    </row>
    <row r="25" spans="1:37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IF(Июль[[#This Row],[№]]=1,SUM(Июль[[#This Row],[1]:[31]])+SUM(OFFSET(Июль[[#This Row],[1]:[31]],1,0))+SUM(OFFSET(Июль[[#This Row],[1]:[31]],2,0)),"")</f>
        <v>0</v>
      </c>
      <c r="AK26" s="5">
        <f ca="1">IF(Июль[[#This Row],[УСЛУГ]]&lt;&gt;"",Июль[[#This Row],[УСЛУГ]]*Июль[[#This Row],[Периодичность]],"")</f>
        <v>0</v>
      </c>
    </row>
    <row r="27" spans="1:37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IF(Июль[[#This Row],[№]]=1,SUM(Июль[[#This Row],[1]:[31]])+SUM(OFFSET(Июль[[#This Row],[1]:[31]],1,0))+SUM(OFFSET(Июль[[#This Row],[1]:[31]],2,0)),"")</f>
        <v/>
      </c>
      <c r="AK27" s="5" t="str">
        <f ca="1">IF(Июль[[#This Row],[УСЛУГ]]&lt;&gt;"",Июль[[#This Row],[УСЛУГ]]*Июль[[#This Row],[Периодичность]],"")</f>
        <v/>
      </c>
    </row>
    <row r="28" spans="1:37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IF(Июль[[#This Row],[№]]=1,SUM(Июль[[#This Row],[1]:[31]])+SUM(OFFSET(Июль[[#This Row],[1]:[31]],1,0))+SUM(OFFSET(Июль[[#This Row],[1]:[31]],2,0)),"")</f>
        <v/>
      </c>
      <c r="AK28" s="5" t="str">
        <f ca="1">IF(Июль[[#This Row],[УСЛУГ]]&lt;&gt;"",Июль[[#This Row],[УСЛУГ]]*Июль[[#This Row],[Периодичность]],"")</f>
        <v/>
      </c>
    </row>
  </sheetData>
  <mergeCells count="20">
    <mergeCell ref="E20:AI21"/>
    <mergeCell ref="E23:AI24"/>
    <mergeCell ref="AK7:AK11"/>
    <mergeCell ref="A20:A24"/>
    <mergeCell ref="B20:C24"/>
    <mergeCell ref="D20:D24"/>
    <mergeCell ref="AJ20:AJ24"/>
    <mergeCell ref="AK20:AK24"/>
    <mergeCell ref="A7:A11"/>
    <mergeCell ref="B7:B11"/>
    <mergeCell ref="C7:C11"/>
    <mergeCell ref="D7:D11"/>
    <mergeCell ref="AJ7:AJ11"/>
    <mergeCell ref="E10:AI11"/>
    <mergeCell ref="E7:AI8"/>
    <mergeCell ref="A2:AJ2"/>
    <mergeCell ref="A3:AJ3"/>
    <mergeCell ref="J4:L4"/>
    <mergeCell ref="M4:U4"/>
    <mergeCell ref="M5:Q5"/>
  </mergeCells>
  <conditionalFormatting sqref="E9:AI9">
    <cfRule type="expression" dxfId="657" priority="3">
      <formula>WEEKDAY(E9:AI9,2)&gt;5</formula>
    </cfRule>
  </conditionalFormatting>
  <conditionalFormatting sqref="E22:AI22">
    <cfRule type="expression" dxfId="656" priority="1">
      <formula>WEEKDAY(E22:AI22,2)&gt;5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AI13:AK13 E13 B13:B18 E16:E17 AI16:AK17 AJ14:AK14 AJ15:AK15 E14:AI15" calculatedColumn="1"/>
  </ignoredErrors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7" tint="0.39997558519241921"/>
    <pageSetUpPr fitToPage="1"/>
  </sheetPr>
  <dimension ref="A2:AF36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72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Настройки!G13</f>
        <v>45474</v>
      </c>
      <c r="C10" s="30">
        <f>Настройки!H13</f>
        <v>45475</v>
      </c>
      <c r="D10" s="30">
        <f>Настройки!I13</f>
        <v>45476</v>
      </c>
      <c r="E10" s="30">
        <f>Настройки!J13</f>
        <v>45477</v>
      </c>
      <c r="F10" s="30">
        <f>Настройки!K13</f>
        <v>45478</v>
      </c>
      <c r="G10" s="30">
        <f>Настройки!L13</f>
        <v>45479</v>
      </c>
      <c r="H10" s="30">
        <f>Настройки!M13</f>
        <v>45480</v>
      </c>
      <c r="I10" s="30">
        <f>Настройки!N13</f>
        <v>45481</v>
      </c>
      <c r="J10" s="30">
        <f>Настройки!O13</f>
        <v>45482</v>
      </c>
      <c r="K10" s="30">
        <f>Настройки!P13</f>
        <v>45483</v>
      </c>
      <c r="L10" s="30">
        <f>Настройки!Q13</f>
        <v>45484</v>
      </c>
      <c r="M10" s="30">
        <f>Настройки!R13</f>
        <v>45485</v>
      </c>
      <c r="N10" s="30">
        <f>Настройки!S13</f>
        <v>45486</v>
      </c>
      <c r="O10" s="30">
        <f>Настройки!T13</f>
        <v>45487</v>
      </c>
      <c r="P10" s="30">
        <f>Настройки!U13</f>
        <v>45488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IF(Настройки!J2&lt;&gt;"",TEXT(Настройки!J2,"ч:мм")&amp;"-"&amp;TEXT(Настройки!J2+TIME(0,MAX(Июль!E13:AI13),0),"ч:мм"),"")</f>
        <v>9:00-9:00</v>
      </c>
      <c r="B14" s="31" t="str">
        <f>IF(TEXT(Настройки!$J2+TIME(0,Июль!E13,0),"ч::мм")=TEXT(Настройки!$J2,"ч:мм"),"",TEXT(Настройки!$J2,"ч:мм")&amp;"-"&amp;TEXT(Настройки!$J2+TIME(0,Июль!E13,0),"ч::мм"))</f>
        <v/>
      </c>
      <c r="C14" s="31" t="str">
        <f>IF(TEXT(Настройки!$J2+TIME(0,Июль!F13,0),"ч::мм")=TEXT(Настройки!$J2,"ч:мм"),"",TEXT(Настройки!$J2,"ч:мм")&amp;"-"&amp;TEXT(Настройки!$J2+TIME(0,Июль!F13,0),"ч::мм"))</f>
        <v/>
      </c>
      <c r="D14" s="31" t="str">
        <f>IF(TEXT(Настройки!$J2+TIME(0,Июль!G13,0),"ч::мм")=TEXT(Настройки!$J2,"ч:мм"),"",TEXT(Настройки!$J2,"ч:мм")&amp;"-"&amp;TEXT(Настройки!$J2+TIME(0,Июль!G13,0),"ч::мм"))</f>
        <v/>
      </c>
      <c r="E14" s="31" t="str">
        <f>IF(TEXT(Настройки!$J2+TIME(0,Июль!H13,0),"ч::мм")=TEXT(Настройки!$J2,"ч:мм"),"",TEXT(Настройки!$J2,"ч:мм")&amp;"-"&amp;TEXT(Настройки!$J2+TIME(0,Июль!H13,0),"ч::мм"))</f>
        <v/>
      </c>
      <c r="F14" s="31" t="str">
        <f>IF(TEXT(Настройки!$J2+TIME(0,Июль!I13,0),"ч::мм")=TEXT(Настройки!$J2,"ч:мм"),"",TEXT(Настройки!$J2,"ч:мм")&amp;"-"&amp;TEXT(Настройки!$J2+TIME(0,Июль!I13,0),"ч::мм"))</f>
        <v/>
      </c>
      <c r="G14" s="31" t="str">
        <f>IF(TEXT(Настройки!$J2+TIME(0,Июль!J13,0),"ч::мм")=TEXT(Настройки!$J2,"ч:мм"),"",TEXT(Настройки!$J2,"ч:мм")&amp;"-"&amp;TEXT(Настройки!$J2+TIME(0,Июль!J13,0),"ч::мм"))</f>
        <v/>
      </c>
      <c r="H14" s="31" t="str">
        <f>IF(TEXT(Настройки!$J2+TIME(0,Июль!K13,0),"ч::мм")=TEXT(Настройки!$J2,"ч:мм"),"",TEXT(Настройки!$J2,"ч:мм")&amp;"-"&amp;TEXT(Настройки!$J2+TIME(0,Июль!K13,0),"ч::мм"))</f>
        <v/>
      </c>
      <c r="I14" s="31" t="str">
        <f>IF(TEXT(Настройки!$J2+TIME(0,Июль!L13,0),"ч::мм")=TEXT(Настройки!$J2,"ч:мм"),"",TEXT(Настройки!$J2,"ч:мм")&amp;"-"&amp;TEXT(Настройки!$J2+TIME(0,Июль!L13,0),"ч::мм"))</f>
        <v/>
      </c>
      <c r="J14" s="31" t="str">
        <f>IF(TEXT(Настройки!$J2+TIME(0,Июль!M13,0),"ч::мм")=TEXT(Настройки!$J2,"ч:мм"),"",TEXT(Настройки!$J2,"ч:мм")&amp;"-"&amp;TEXT(Настройки!$J2+TIME(0,Июль!M13,0),"ч::мм"))</f>
        <v/>
      </c>
      <c r="K14" s="31" t="str">
        <f>IF(TEXT(Настройки!$J2+TIME(0,Июль!N13,0),"ч::мм")=TEXT(Настройки!$J2,"ч:мм"),"",TEXT(Настройки!$J2,"ч:мм")&amp;"-"&amp;TEXT(Настройки!$J2+TIME(0,Июль!N13,0),"ч::мм"))</f>
        <v/>
      </c>
      <c r="L14" s="31" t="str">
        <f>IF(TEXT(Настройки!$J2+TIME(0,Июль!O13,0),"ч::мм")=TEXT(Настройки!$J2,"ч:мм"),"",TEXT(Настройки!$J2,"ч:мм")&amp;"-"&amp;TEXT(Настройки!$J2+TIME(0,Июль!O13,0),"ч::мм"))</f>
        <v/>
      </c>
      <c r="M14" s="31" t="str">
        <f>IF(TEXT(Настройки!$J2+TIME(0,Июль!P13,0),"ч::мм")=TEXT(Настройки!$J2,"ч:мм"),"",TEXT(Настройки!$J2,"ч:мм")&amp;"-"&amp;TEXT(Настройки!$J2+TIME(0,Июль!P13,0),"ч::мм"))</f>
        <v/>
      </c>
      <c r="N14" s="31" t="str">
        <f>IF(TEXT(Настройки!$J2+TIME(0,Июль!Q13,0),"ч::мм")=TEXT(Настройки!$J2,"ч:мм"),"",TEXT(Настройки!$J2,"ч:мм")&amp;"-"&amp;TEXT(Настройки!$J2+TIME(0,Июль!Q13,0),"ч::мм"))</f>
        <v/>
      </c>
      <c r="O14" s="31" t="str">
        <f>IF(TEXT(Настройки!$J2+TIME(0,Июль!R13,0),"ч::мм")=TEXT(Настройки!$J2,"ч:мм"),"",TEXT(Настройки!$J2,"ч:мм")&amp;"-"&amp;TEXT(Настройки!$J2+TIME(0,Июль!R13,0),"ч::мм"))</f>
        <v/>
      </c>
      <c r="P14" s="31" t="str">
        <f>IF(TEXT(Настройки!$J2+TIME(0,Июль!S13,0),"ч::мм")=TEXT(Настройки!$J2,"ч:мм"),"",TEXT(Настройки!$J2,"ч:мм")&amp;"-"&amp;TEXT(Настройки!$J2+TIME(0,Июль!S13,0),"ч::мм"))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IF(Настройки!J3&lt;&gt;"",TEXT(Настройки!J3,"ч:мм")&amp;"-"&amp;TEXT(Настройки!J3+TIME(0,MAX(Июль!E14:AI14),0),"ч:мм"),"")</f>
        <v>13:00-13:00</v>
      </c>
      <c r="B15" s="31" t="str">
        <f ca="1">IF(TEXT(Настройки!$J3+TIME(0,Июль!E14,0),"ч::мм")=TEXT(Настройки!$J3,"ч:мм"),"",TEXT(Настройки!$J3,"ч:мм")&amp;"-"&amp;TEXT(Настройки!$J3+TIME(0,Июль!E14,0),"ч::мм"))</f>
        <v/>
      </c>
      <c r="C15" s="31" t="str">
        <f ca="1">IF(TEXT(Настройки!$J3+TIME(0,Июль!F14,0),"ч::мм")=TEXT(Настройки!$J3,"ч:мм"),"",TEXT(Настройки!$J3,"ч:мм")&amp;"-"&amp;TEXT(Настройки!$J3+TIME(0,Июль!F14,0),"ч::мм"))</f>
        <v/>
      </c>
      <c r="D15" s="31" t="str">
        <f ca="1">IF(TEXT(Настройки!$J3+TIME(0,Июль!G14,0),"ч::мм")=TEXT(Настройки!$J3,"ч:мм"),"",TEXT(Настройки!$J3,"ч:мм")&amp;"-"&amp;TEXT(Настройки!$J3+TIME(0,Июль!G14,0),"ч::мм"))</f>
        <v/>
      </c>
      <c r="E15" s="31" t="str">
        <f ca="1">IF(TEXT(Настройки!$J3+TIME(0,Июль!H14,0),"ч::мм")=TEXT(Настройки!$J3,"ч:мм"),"",TEXT(Настройки!$J3,"ч:мм")&amp;"-"&amp;TEXT(Настройки!$J3+TIME(0,Июль!H14,0),"ч::мм"))</f>
        <v/>
      </c>
      <c r="F15" s="31" t="str">
        <f ca="1">IF(TEXT(Настройки!$J3+TIME(0,Июль!I14,0),"ч::мм")=TEXT(Настройки!$J3,"ч:мм"),"",TEXT(Настройки!$J3,"ч:мм")&amp;"-"&amp;TEXT(Настройки!$J3+TIME(0,Июль!I14,0),"ч::мм"))</f>
        <v/>
      </c>
      <c r="G15" s="31" t="str">
        <f ca="1">IF(TEXT(Настройки!$J3+TIME(0,Июль!J14,0),"ч::мм")=TEXT(Настройки!$J3,"ч:мм"),"",TEXT(Настройки!$J3,"ч:мм")&amp;"-"&amp;TEXT(Настройки!$J3+TIME(0,Июль!J14,0),"ч::мм"))</f>
        <v/>
      </c>
      <c r="H15" s="31" t="str">
        <f ca="1">IF(TEXT(Настройки!$J3+TIME(0,Июль!K14,0),"ч::мм")=TEXT(Настройки!$J3,"ч:мм"),"",TEXT(Настройки!$J3,"ч:мм")&amp;"-"&amp;TEXT(Настройки!$J3+TIME(0,Июль!K14,0),"ч::мм"))</f>
        <v/>
      </c>
      <c r="I15" s="31" t="str">
        <f ca="1">IF(TEXT(Настройки!$J3+TIME(0,Июль!L14,0),"ч::мм")=TEXT(Настройки!$J3,"ч:мм"),"",TEXT(Настройки!$J3,"ч:мм")&amp;"-"&amp;TEXT(Настройки!$J3+TIME(0,Июль!L14,0),"ч::мм"))</f>
        <v/>
      </c>
      <c r="J15" s="31" t="str">
        <f ca="1">IF(TEXT(Настройки!$J3+TIME(0,Июль!M14,0),"ч::мм")=TEXT(Настройки!$J3,"ч:мм"),"",TEXT(Настройки!$J3,"ч:мм")&amp;"-"&amp;TEXT(Настройки!$J3+TIME(0,Июль!M14,0),"ч::мм"))</f>
        <v/>
      </c>
      <c r="K15" s="31" t="str">
        <f ca="1">IF(TEXT(Настройки!$J3+TIME(0,Июль!N14,0),"ч::мм")=TEXT(Настройки!$J3,"ч:мм"),"",TEXT(Настройки!$J3,"ч:мм")&amp;"-"&amp;TEXT(Настройки!$J3+TIME(0,Июль!N14,0),"ч::мм"))</f>
        <v/>
      </c>
      <c r="L15" s="31" t="str">
        <f ca="1">IF(TEXT(Настройки!$J3+TIME(0,Июль!O14,0),"ч::мм")=TEXT(Настройки!$J3,"ч:мм"),"",TEXT(Настройки!$J3,"ч:мм")&amp;"-"&amp;TEXT(Настройки!$J3+TIME(0,Июль!O14,0),"ч::мм"))</f>
        <v/>
      </c>
      <c r="M15" s="31" t="str">
        <f ca="1">IF(TEXT(Настройки!$J3+TIME(0,Июль!P14,0),"ч::мм")=TEXT(Настройки!$J3,"ч:мм"),"",TEXT(Настройки!$J3,"ч:мм")&amp;"-"&amp;TEXT(Настройки!$J3+TIME(0,Июль!P14,0),"ч::мм"))</f>
        <v/>
      </c>
      <c r="N15" s="31" t="str">
        <f ca="1">IF(TEXT(Настройки!$J3+TIME(0,Июль!Q14,0),"ч::мм")=TEXT(Настройки!$J3,"ч:мм"),"",TEXT(Настройки!$J3,"ч:мм")&amp;"-"&amp;TEXT(Настройки!$J3+TIME(0,Июль!Q14,0),"ч::мм"))</f>
        <v/>
      </c>
      <c r="O15" s="31" t="str">
        <f ca="1">IF(TEXT(Настройки!$J3+TIME(0,Июль!R14,0),"ч::мм")=TEXT(Настройки!$J3,"ч:мм"),"",TEXT(Настройки!$J3,"ч:мм")&amp;"-"&amp;TEXT(Настройки!$J3+TIME(0,Июль!R14,0),"ч::мм"))</f>
        <v/>
      </c>
      <c r="P15" s="31" t="str">
        <f ca="1">IF(TEXT(Настройки!$J3+TIME(0,Июль!S14,0),"ч::мм")=TEXT(Настройки!$J3,"ч:мм"),"",TEXT(Настройки!$J3,"ч:мм")&amp;"-"&amp;TEXT(Настройки!$J3+TIME(0,Июль!S14,0),"ч::мм"))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IF(Настройки!J4&lt;&gt;"",TEXT(Настройки!J4,"ч:мм")&amp;"-"&amp;TEXT(Настройки!J4+TIME(0,MAX(Июль!E15:AI15),0),"ч:мм"),"")</f>
        <v>16:00-16:00</v>
      </c>
      <c r="B16" s="31" t="str">
        <f ca="1">IF(TEXT(Настройки!$J4+TIME(0,Июль!E15,0),"ч::мм")=TEXT(Настройки!$J4,"ч:мм"),"",TEXT(Настройки!$J4,"ч:мм")&amp;"-"&amp;TEXT(Настройки!$J4+TIME(0,Июль!E15,0),"ч::мм"))</f>
        <v/>
      </c>
      <c r="C16" s="31" t="str">
        <f ca="1">IF(TEXT(Настройки!$J4+TIME(0,Июль!F15,0),"ч::мм")=TEXT(Настройки!$J4,"ч:мм"),"",TEXT(Настройки!$J4,"ч:мм")&amp;"-"&amp;TEXT(Настройки!$J4+TIME(0,Июль!F15,0),"ч::мм"))</f>
        <v/>
      </c>
      <c r="D16" s="31" t="str">
        <f ca="1">IF(TEXT(Настройки!$J4+TIME(0,Июль!G15,0),"ч::мм")=TEXT(Настройки!$J4,"ч:мм"),"",TEXT(Настройки!$J4,"ч:мм")&amp;"-"&amp;TEXT(Настройки!$J4+TIME(0,Июль!G15,0),"ч::мм"))</f>
        <v/>
      </c>
      <c r="E16" s="31" t="str">
        <f ca="1">IF(TEXT(Настройки!$J4+TIME(0,Июль!H15,0),"ч::мм")=TEXT(Настройки!$J4,"ч:мм"),"",TEXT(Настройки!$J4,"ч:мм")&amp;"-"&amp;TEXT(Настройки!$J4+TIME(0,Июль!H15,0),"ч::мм"))</f>
        <v/>
      </c>
      <c r="F16" s="31" t="str">
        <f ca="1">IF(TEXT(Настройки!$J4+TIME(0,Июль!I15,0),"ч::мм")=TEXT(Настройки!$J4,"ч:мм"),"",TEXT(Настройки!$J4,"ч:мм")&amp;"-"&amp;TEXT(Настройки!$J4+TIME(0,Июль!I15,0),"ч::мм"))</f>
        <v/>
      </c>
      <c r="G16" s="31" t="str">
        <f ca="1">IF(TEXT(Настройки!$J4+TIME(0,Июль!J15,0),"ч::мм")=TEXT(Настройки!$J4,"ч:мм"),"",TEXT(Настройки!$J4,"ч:мм")&amp;"-"&amp;TEXT(Настройки!$J4+TIME(0,Июль!J15,0),"ч::мм"))</f>
        <v/>
      </c>
      <c r="H16" s="31" t="str">
        <f ca="1">IF(TEXT(Настройки!$J4+TIME(0,Июль!K15,0),"ч::мм")=TEXT(Настройки!$J4,"ч:мм"),"",TEXT(Настройки!$J4,"ч:мм")&amp;"-"&amp;TEXT(Настройки!$J4+TIME(0,Июль!K15,0),"ч::мм"))</f>
        <v/>
      </c>
      <c r="I16" s="31" t="str">
        <f ca="1">IF(TEXT(Настройки!$J4+TIME(0,Июль!L15,0),"ч::мм")=TEXT(Настройки!$J4,"ч:мм"),"",TEXT(Настройки!$J4,"ч:мм")&amp;"-"&amp;TEXT(Настройки!$J4+TIME(0,Июль!L15,0),"ч::мм"))</f>
        <v/>
      </c>
      <c r="J16" s="31" t="str">
        <f ca="1">IF(TEXT(Настройки!$J4+TIME(0,Июль!M15,0),"ч::мм")=TEXT(Настройки!$J4,"ч:мм"),"",TEXT(Настройки!$J4,"ч:мм")&amp;"-"&amp;TEXT(Настройки!$J4+TIME(0,Июль!M15,0),"ч::мм"))</f>
        <v/>
      </c>
      <c r="K16" s="31" t="str">
        <f ca="1">IF(TEXT(Настройки!$J4+TIME(0,Июль!N15,0),"ч::мм")=TEXT(Настройки!$J4,"ч:мм"),"",TEXT(Настройки!$J4,"ч:мм")&amp;"-"&amp;TEXT(Настройки!$J4+TIME(0,Июль!N15,0),"ч::мм"))</f>
        <v/>
      </c>
      <c r="L16" s="31" t="str">
        <f ca="1">IF(TEXT(Настройки!$J4+TIME(0,Июль!O15,0),"ч::мм")=TEXT(Настройки!$J4,"ч:мм"),"",TEXT(Настройки!$J4,"ч:мм")&amp;"-"&amp;TEXT(Настройки!$J4+TIME(0,Июль!O15,0),"ч::мм"))</f>
        <v/>
      </c>
      <c r="M16" s="31" t="str">
        <f ca="1">IF(TEXT(Настройки!$J4+TIME(0,Июль!P15,0),"ч::мм")=TEXT(Настройки!$J4,"ч:мм"),"",TEXT(Настройки!$J4,"ч:мм")&amp;"-"&amp;TEXT(Настройки!$J4+TIME(0,Июль!P15,0),"ч::мм"))</f>
        <v/>
      </c>
      <c r="N16" s="31" t="str">
        <f ca="1">IF(TEXT(Настройки!$J4+TIME(0,Июль!Q15,0),"ч::мм")=TEXT(Настройки!$J4,"ч:мм"),"",TEXT(Настройки!$J4,"ч:мм")&amp;"-"&amp;TEXT(Настройки!$J4+TIME(0,Июль!Q15,0),"ч::мм"))</f>
        <v/>
      </c>
      <c r="O16" s="31" t="str">
        <f ca="1">IF(TEXT(Настройки!$J4+TIME(0,Июль!R15,0),"ч::мм")=TEXT(Настройки!$J4,"ч:мм"),"",TEXT(Настройки!$J4,"ч:мм")&amp;"-"&amp;TEXT(Настройки!$J4+TIME(0,Июль!R15,0),"ч::мм"))</f>
        <v/>
      </c>
      <c r="P16" s="31" t="str">
        <f ca="1">IF(TEXT(Настройки!$J4+TIME(0,Июль!S15,0),"ч::мм")=TEXT(Настройки!$J4,"ч:мм"),"",TEXT(Настройки!$J4,"ч:мм")&amp;"-"&amp;TEXT(Настройки!$J4+TIME(0,Июль!S15,0),"ч::мм"))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Настройки!V13</f>
        <v>45489</v>
      </c>
      <c r="C20" s="30">
        <f>Настройки!W13</f>
        <v>45490</v>
      </c>
      <c r="D20" s="30">
        <f>Настройки!X13</f>
        <v>45491</v>
      </c>
      <c r="E20" s="30">
        <f>Настройки!Y13</f>
        <v>45492</v>
      </c>
      <c r="F20" s="30">
        <f>Настройки!Z13</f>
        <v>45493</v>
      </c>
      <c r="G20" s="30">
        <f>Настройки!AA13</f>
        <v>45494</v>
      </c>
      <c r="H20" s="30">
        <f>Настройки!AB13</f>
        <v>45495</v>
      </c>
      <c r="I20" s="30">
        <f>Настройки!AC13</f>
        <v>45496</v>
      </c>
      <c r="J20" s="30">
        <f>Настройки!AD13</f>
        <v>45497</v>
      </c>
      <c r="K20" s="30">
        <f>Настройки!AE13</f>
        <v>45498</v>
      </c>
      <c r="L20" s="30">
        <f>Настройки!AF13</f>
        <v>45499</v>
      </c>
      <c r="M20" s="30">
        <f>Настройки!AG13</f>
        <v>45500</v>
      </c>
      <c r="N20" s="30">
        <f>Настройки!AH13</f>
        <v>45501</v>
      </c>
      <c r="O20" s="30">
        <f>Настройки!AI13</f>
        <v>45502</v>
      </c>
      <c r="P20" s="30">
        <f>Настройки!AJ13</f>
        <v>45503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IF(TEXT(Настройки!$J2+TIME(0,Июль!T13,0),"ч::мм")=TEXT(Настройки!$J2,"ч:мм"),"",TEXT(Настройки!$J2,"ч:мм")&amp;"-"&amp;TEXT(Настройки!$J2+TIME(0,Июль!T13,0),"ч::мм"))</f>
        <v/>
      </c>
      <c r="C24" s="3" t="str">
        <f>IF(TEXT(Настройки!$J2+TIME(0,Июль!U13,0),"ч::мм")=TEXT(Настройки!$J2,"ч:мм"),"",TEXT(Настройки!$J2,"ч:мм")&amp;"-"&amp;TEXT(Настройки!$J2+TIME(0,Июль!U13,0),"ч::мм"))</f>
        <v/>
      </c>
      <c r="D24" s="3" t="str">
        <f>IF(TEXT(Настройки!$J2+TIME(0,Июль!V13,0),"ч::мм")=TEXT(Настройки!$J2,"ч:мм"),"",TEXT(Настройки!$J2,"ч:мм")&amp;"-"&amp;TEXT(Настройки!$J2+TIME(0,Июль!V13,0),"ч::мм"))</f>
        <v/>
      </c>
      <c r="E24" s="3" t="str">
        <f>IF(TEXT(Настройки!$J2+TIME(0,Июль!W13,0),"ч::мм")=TEXT(Настройки!$J2,"ч:мм"),"",TEXT(Настройки!$J2,"ч:мм")&amp;"-"&amp;TEXT(Настройки!$J2+TIME(0,Июль!W13,0),"ч::мм"))</f>
        <v/>
      </c>
      <c r="F24" s="3" t="str">
        <f>IF(TEXT(Настройки!$J2+TIME(0,Июль!X13,0),"ч::мм")=TEXT(Настройки!$J2,"ч:мм"),"",TEXT(Настройки!$J2,"ч:мм")&amp;"-"&amp;TEXT(Настройки!$J2+TIME(0,Июль!X13,0),"ч::мм"))</f>
        <v/>
      </c>
      <c r="G24" s="3" t="str">
        <f>IF(TEXT(Настройки!$J2+TIME(0,Июль!Y13,0),"ч::мм")=TEXT(Настройки!$J2,"ч:мм"),"",TEXT(Настройки!$J2,"ч:мм")&amp;"-"&amp;TEXT(Настройки!$J2+TIME(0,Июль!Y13,0),"ч::мм"))</f>
        <v/>
      </c>
      <c r="H24" s="3" t="str">
        <f>IF(TEXT(Настройки!$J2+TIME(0,Июль!Z13,0),"ч::мм")=TEXT(Настройки!$J2,"ч:мм"),"",TEXT(Настройки!$J2,"ч:мм")&amp;"-"&amp;TEXT(Настройки!$J2+TIME(0,Июль!Z13,0),"ч::мм"))</f>
        <v/>
      </c>
      <c r="I24" s="3" t="str">
        <f>IF(TEXT(Настройки!$J2+TIME(0,Июль!AA13,0),"ч::мм")=TEXT(Настройки!$J2,"ч:мм"),"",TEXT(Настройки!$J2,"ч:мм")&amp;"-"&amp;TEXT(Настройки!$J2+TIME(0,Июль!AA13,0),"ч::мм"))</f>
        <v/>
      </c>
      <c r="J24" s="3" t="str">
        <f>IF(TEXT(Настройки!$J2+TIME(0,Июль!AB13,0),"ч::мм")=TEXT(Настройки!$J2,"ч:мм"),"",TEXT(Настройки!$J2,"ч:мм")&amp;"-"&amp;TEXT(Настройки!$J2+TIME(0,Июль!AB13,0),"ч::мм"))</f>
        <v/>
      </c>
      <c r="K24" s="3" t="str">
        <f>IF(TEXT(Настройки!$J2+TIME(0,Июль!AC13,0),"ч::мм")=TEXT(Настройки!$J2,"ч:мм"),"",TEXT(Настройки!$J2,"ч:мм")&amp;"-"&amp;TEXT(Настройки!$J2+TIME(0,Июль!AC13,0),"ч::мм"))</f>
        <v/>
      </c>
      <c r="L24" s="3" t="str">
        <f>IF(TEXT(Настройки!$J2+TIME(0,Июль!AD13,0),"ч::мм")=TEXT(Настройки!$J2,"ч:мм"),"",TEXT(Настройки!$J2,"ч:мм")&amp;"-"&amp;TEXT(Настройки!$J2+TIME(0,Июль!AD13,0),"ч::мм"))</f>
        <v/>
      </c>
      <c r="M24" s="3" t="str">
        <f>IF(TEXT(Настройки!$J2+TIME(0,Июль!AE13,0),"ч::мм")=TEXT(Настройки!$J2,"ч:мм"),"",TEXT(Настройки!$J2,"ч:мм")&amp;"-"&amp;TEXT(Настройки!$J2+TIME(0,Июль!AE13,0),"ч::мм"))</f>
        <v/>
      </c>
      <c r="N24" s="3" t="str">
        <f>IF(TEXT(Настройки!$J2+TIME(0,Июль!AF13,0),"ч::мм")=TEXT(Настройки!$J2,"ч:мм"),"",TEXT(Настройки!$J2,"ч:мм")&amp;"-"&amp;TEXT(Настройки!$J2+TIME(0,Июль!AF13,0),"ч::мм"))</f>
        <v/>
      </c>
      <c r="O24" s="3" t="str">
        <f>IF(TEXT(Настройки!$J2+TIME(0,Июль!AG13,0),"ч::мм")=TEXT(Настройки!$J2,"ч:мм"),"",TEXT(Настройки!$J2,"ч:мм")&amp;"-"&amp;TEXT(Настройки!$J2+TIME(0,Июль!AG13,0),"ч::мм"))</f>
        <v/>
      </c>
      <c r="P24" s="3" t="str">
        <f>IF(TEXT(Настройки!$J2+TIME(0,Июль!AH13,0),"ч::мм")=TEXT(Настройки!$J2,"ч:мм"),"",TEXT(Настройки!$J2,"ч:мм")&amp;"-"&amp;TEXT(Настройки!$J2+TIME(0,Июль!AH13,0),"ч::мм"))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IF(TEXT(Настройки!$J3+TIME(0,Июль!T14,0),"ч::мм")=TEXT(Настройки!$J3,"ч:мм"),"",TEXT(Настройки!$J3,"ч:мм")&amp;"-"&amp;TEXT(Настройки!$J3+TIME(0,Июль!T14,0),"ч::мм"))</f>
        <v/>
      </c>
      <c r="C25" s="3" t="str">
        <f ca="1">IF(TEXT(Настройки!$J3+TIME(0,Июль!U14,0),"ч::мм")=TEXT(Настройки!$J3,"ч:мм"),"",TEXT(Настройки!$J3,"ч:мм")&amp;"-"&amp;TEXT(Настройки!$J3+TIME(0,Июль!U14,0),"ч::мм"))</f>
        <v/>
      </c>
      <c r="D25" s="3" t="str">
        <f ca="1">IF(TEXT(Настройки!$J3+TIME(0,Июль!V14,0),"ч::мм")=TEXT(Настройки!$J3,"ч:мм"),"",TEXT(Настройки!$J3,"ч:мм")&amp;"-"&amp;TEXT(Настройки!$J3+TIME(0,Июль!V14,0),"ч::мм"))</f>
        <v/>
      </c>
      <c r="E25" s="3" t="str">
        <f ca="1">IF(TEXT(Настройки!$J3+TIME(0,Июль!W14,0),"ч::мм")=TEXT(Настройки!$J3,"ч:мм"),"",TEXT(Настройки!$J3,"ч:мм")&amp;"-"&amp;TEXT(Настройки!$J3+TIME(0,Июль!W14,0),"ч::мм"))</f>
        <v/>
      </c>
      <c r="F25" s="3" t="str">
        <f ca="1">IF(TEXT(Настройки!$J3+TIME(0,Июль!X14,0),"ч::мм")=TEXT(Настройки!$J3,"ч:мм"),"",TEXT(Настройки!$J3,"ч:мм")&amp;"-"&amp;TEXT(Настройки!$J3+TIME(0,Июль!X14,0),"ч::мм"))</f>
        <v/>
      </c>
      <c r="G25" s="3" t="str">
        <f ca="1">IF(TEXT(Настройки!$J3+TIME(0,Июль!Y14,0),"ч::мм")=TEXT(Настройки!$J3,"ч:мм"),"",TEXT(Настройки!$J3,"ч:мм")&amp;"-"&amp;TEXT(Настройки!$J3+TIME(0,Июль!Y14,0),"ч::мм"))</f>
        <v/>
      </c>
      <c r="H25" s="3" t="str">
        <f ca="1">IF(TEXT(Настройки!$J3+TIME(0,Июль!Z14,0),"ч::мм")=TEXT(Настройки!$J3,"ч:мм"),"",TEXT(Настройки!$J3,"ч:мм")&amp;"-"&amp;TEXT(Настройки!$J3+TIME(0,Июль!Z14,0),"ч::мм"))</f>
        <v/>
      </c>
      <c r="I25" s="3" t="str">
        <f ca="1">IF(TEXT(Настройки!$J3+TIME(0,Июль!AA14,0),"ч::мм")=TEXT(Настройки!$J3,"ч:мм"),"",TEXT(Настройки!$J3,"ч:мм")&amp;"-"&amp;TEXT(Настройки!$J3+TIME(0,Июль!AA14,0),"ч::мм"))</f>
        <v/>
      </c>
      <c r="J25" s="3" t="str">
        <f ca="1">IF(TEXT(Настройки!$J3+TIME(0,Июль!AB14,0),"ч::мм")=TEXT(Настройки!$J3,"ч:мм"),"",TEXT(Настройки!$J3,"ч:мм")&amp;"-"&amp;TEXT(Настройки!$J3+TIME(0,Июль!AB14,0),"ч::мм"))</f>
        <v/>
      </c>
      <c r="K25" s="3" t="str">
        <f ca="1">IF(TEXT(Настройки!$J3+TIME(0,Июль!AC14,0),"ч::мм")=TEXT(Настройки!$J3,"ч:мм"),"",TEXT(Настройки!$J3,"ч:мм")&amp;"-"&amp;TEXT(Настройки!$J3+TIME(0,Июль!AC14,0),"ч::мм"))</f>
        <v/>
      </c>
      <c r="L25" s="3" t="str">
        <f ca="1">IF(TEXT(Настройки!$J3+TIME(0,Июль!AD14,0),"ч::мм")=TEXT(Настройки!$J3,"ч:мм"),"",TEXT(Настройки!$J3,"ч:мм")&amp;"-"&amp;TEXT(Настройки!$J3+TIME(0,Июль!AD14,0),"ч::мм"))</f>
        <v/>
      </c>
      <c r="M25" s="3" t="str">
        <f ca="1">IF(TEXT(Настройки!$J3+TIME(0,Июль!AE14,0),"ч::мм")=TEXT(Настройки!$J3,"ч:мм"),"",TEXT(Настройки!$J3,"ч:мм")&amp;"-"&amp;TEXT(Настройки!$J3+TIME(0,Июль!AE14,0),"ч::мм"))</f>
        <v/>
      </c>
      <c r="N25" s="3" t="str">
        <f ca="1">IF(TEXT(Настройки!$J3+TIME(0,Июль!AF14,0),"ч::мм")=TEXT(Настройки!$J3,"ч:мм"),"",TEXT(Настройки!$J3,"ч:мм")&amp;"-"&amp;TEXT(Настройки!$J3+TIME(0,Июль!AF14,0),"ч::мм"))</f>
        <v/>
      </c>
      <c r="O25" s="3" t="str">
        <f ca="1">IF(TEXT(Настройки!$J3+TIME(0,Июль!AG14,0),"ч::мм")=TEXT(Настройки!$J3,"ч:мм"),"",TEXT(Настройки!$J3,"ч:мм")&amp;"-"&amp;TEXT(Настройки!$J3+TIME(0,Июль!AG14,0),"ч::мм"))</f>
        <v/>
      </c>
      <c r="P25" s="3" t="str">
        <f ca="1">IF(TEXT(Настройки!$J3+TIME(0,Июль!AH14,0),"ч::мм")=TEXT(Настройки!$J3,"ч:мм"),"",TEXT(Настройки!$J3,"ч:мм")&amp;"-"&amp;TEXT(Настройки!$J3+TIME(0,Июль!AH14,0),"ч::мм"))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IF(TEXT(Настройки!$J4+TIME(0,Июль!T15,0),"ч::мм")=TEXT(Настройки!$J4,"ч:мм"),"",TEXT(Настройки!$J4,"ч:мм")&amp;"-"&amp;TEXT(Настройки!$J4+TIME(0,Июль!T15,0),"ч::мм"))</f>
        <v/>
      </c>
      <c r="C26" s="3" t="str">
        <f ca="1">IF(TEXT(Настройки!$J4+TIME(0,Июль!U15,0),"ч::мм")=TEXT(Настройки!$J4,"ч:мм"),"",TEXT(Настройки!$J4,"ч:мм")&amp;"-"&amp;TEXT(Настройки!$J4+TIME(0,Июль!U15,0),"ч::мм"))</f>
        <v/>
      </c>
      <c r="D26" s="3" t="str">
        <f ca="1">IF(TEXT(Настройки!$J4+TIME(0,Июль!V15,0),"ч::мм")=TEXT(Настройки!$J4,"ч:мм"),"",TEXT(Настройки!$J4,"ч:мм")&amp;"-"&amp;TEXT(Настройки!$J4+TIME(0,Июль!V15,0),"ч::мм"))</f>
        <v/>
      </c>
      <c r="E26" s="3" t="str">
        <f ca="1">IF(TEXT(Настройки!$J4+TIME(0,Июль!W15,0),"ч::мм")=TEXT(Настройки!$J4,"ч:мм"),"",TEXT(Настройки!$J4,"ч:мм")&amp;"-"&amp;TEXT(Настройки!$J4+TIME(0,Июль!W15,0),"ч::мм"))</f>
        <v/>
      </c>
      <c r="F26" s="3" t="str">
        <f ca="1">IF(TEXT(Настройки!$J4+TIME(0,Июль!X15,0),"ч::мм")=TEXT(Настройки!$J4,"ч:мм"),"",TEXT(Настройки!$J4,"ч:мм")&amp;"-"&amp;TEXT(Настройки!$J4+TIME(0,Июль!X15,0),"ч::мм"))</f>
        <v/>
      </c>
      <c r="G26" s="3" t="str">
        <f ca="1">IF(TEXT(Настройки!$J4+TIME(0,Июль!Y15,0),"ч::мм")=TEXT(Настройки!$J4,"ч:мм"),"",TEXT(Настройки!$J4,"ч:мм")&amp;"-"&amp;TEXT(Настройки!$J4+TIME(0,Июль!Y15,0),"ч::мм"))</f>
        <v/>
      </c>
      <c r="H26" s="3" t="str">
        <f ca="1">IF(TEXT(Настройки!$J4+TIME(0,Июль!Z15,0),"ч::мм")=TEXT(Настройки!$J4,"ч:мм"),"",TEXT(Настройки!$J4,"ч:мм")&amp;"-"&amp;TEXT(Настройки!$J4+TIME(0,Июль!Z15,0),"ч::мм"))</f>
        <v/>
      </c>
      <c r="I26" s="3" t="str">
        <f ca="1">IF(TEXT(Настройки!$J4+TIME(0,Июль!AA15,0),"ч::мм")=TEXT(Настройки!$J4,"ч:мм"),"",TEXT(Настройки!$J4,"ч:мм")&amp;"-"&amp;TEXT(Настройки!$J4+TIME(0,Июль!AA15,0),"ч::мм"))</f>
        <v/>
      </c>
      <c r="J26" s="3" t="str">
        <f ca="1">IF(TEXT(Настройки!$J4+TIME(0,Июль!AB15,0),"ч::мм")=TEXT(Настройки!$J4,"ч:мм"),"",TEXT(Настройки!$J4,"ч:мм")&amp;"-"&amp;TEXT(Настройки!$J4+TIME(0,Июль!AB15,0),"ч::мм"))</f>
        <v/>
      </c>
      <c r="K26" s="3" t="str">
        <f ca="1">IF(TEXT(Настройки!$J4+TIME(0,Июль!AC15,0),"ч::мм")=TEXT(Настройки!$J4,"ч:мм"),"",TEXT(Настройки!$J4,"ч:мм")&amp;"-"&amp;TEXT(Настройки!$J4+TIME(0,Июль!AC15,0),"ч::мм"))</f>
        <v/>
      </c>
      <c r="L26" s="3" t="str">
        <f ca="1">IF(TEXT(Настройки!$J4+TIME(0,Июль!AD15,0),"ч::мм")=TEXT(Настройки!$J4,"ч:мм"),"",TEXT(Настройки!$J4,"ч:мм")&amp;"-"&amp;TEXT(Настройки!$J4+TIME(0,Июль!AD15,0),"ч::мм"))</f>
        <v/>
      </c>
      <c r="M26" s="3" t="str">
        <f ca="1">IF(TEXT(Настройки!$J4+TIME(0,Июль!AE15,0),"ч::мм")=TEXT(Настройки!$J4,"ч:мм"),"",TEXT(Настройки!$J4,"ч:мм")&amp;"-"&amp;TEXT(Настройки!$J4+TIME(0,Июль!AE15,0),"ч::мм"))</f>
        <v/>
      </c>
      <c r="N26" s="3" t="str">
        <f ca="1">IF(TEXT(Настройки!$J4+TIME(0,Июль!AF15,0),"ч::мм")=TEXT(Настройки!$J4,"ч:мм"),"",TEXT(Настройки!$J4,"ч:мм")&amp;"-"&amp;TEXT(Настройки!$J4+TIME(0,Июль!AF15,0),"ч::мм"))</f>
        <v/>
      </c>
      <c r="O26" s="3" t="str">
        <f ca="1">IF(TEXT(Настройки!$J4+TIME(0,Июль!AG15,0),"ч::мм")=TEXT(Настройки!$J4,"ч:мм"),"",TEXT(Настройки!$J4,"ч:мм")&amp;"-"&amp;TEXT(Настройки!$J4+TIME(0,Июль!AG15,0),"ч::мм"))</f>
        <v/>
      </c>
      <c r="P26" s="3" t="str">
        <f ca="1">IF(TEXT(Настройки!$J4+TIME(0,Июль!AH15,0),"ч::мм")=TEXT(Настройки!$J4,"ч:мм"),"",TEXT(Настройки!$J4,"ч:мм")&amp;"-"&amp;TEXT(Настройки!$J4+TIME(0,Июль!AH15,0),"ч::мм"))</f>
        <v/>
      </c>
    </row>
    <row r="27" spans="1:18" x14ac:dyDescent="0.25">
      <c r="Q27" s="10"/>
      <c r="R27" s="10"/>
    </row>
    <row r="28" spans="1:18" x14ac:dyDescent="0.25">
      <c r="A28" s="72"/>
      <c r="B28" s="57" t="s">
        <v>55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2"/>
      <c r="Q28" s="34"/>
      <c r="R28" s="10"/>
    </row>
    <row r="29" spans="1:18" x14ac:dyDescent="0.25">
      <c r="A29" s="79"/>
      <c r="B29" s="83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5"/>
      <c r="Q29" s="34"/>
      <c r="R29" s="10"/>
    </row>
    <row r="30" spans="1:18" x14ac:dyDescent="0.25">
      <c r="A30" s="79"/>
      <c r="B30" s="30">
        <f>Настройки!AK13</f>
        <v>45504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2"/>
      <c r="R30" s="10"/>
    </row>
    <row r="31" spans="1:18" x14ac:dyDescent="0.25">
      <c r="A31" s="79"/>
      <c r="B31" s="57" t="s">
        <v>54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2"/>
      <c r="Q31" s="34"/>
      <c r="R31" s="10"/>
    </row>
    <row r="32" spans="1:18" x14ac:dyDescent="0.25">
      <c r="A32" s="80"/>
      <c r="B32" s="83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5"/>
      <c r="Q32" s="34"/>
      <c r="R32" s="10"/>
    </row>
    <row r="33" spans="1:16" x14ac:dyDescent="0.25">
      <c r="A33" s="3" t="s">
        <v>138</v>
      </c>
      <c r="B33" s="3" t="s">
        <v>113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3" t="str">
        <f t="shared" ref="A34:A36" si="1">A14</f>
        <v>9:00-9:00</v>
      </c>
      <c r="B34" s="3" t="str">
        <f>IF(TEXT(Настройки!$J2+TIME(0,Июль!AI13,0),"ч::мм")=TEXT(Настройки!$J2,"ч:мм"),"",TEXT(Настройки!$J2,"ч:мм")&amp;"-"&amp;TEXT(Настройки!$J2+TIME(0,Июль!AI13,0),"ч::мм"))</f>
        <v/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</row>
    <row r="35" spans="1:16" x14ac:dyDescent="0.25">
      <c r="A35" s="33" t="str">
        <f t="shared" ca="1" si="1"/>
        <v>13:00-13:00</v>
      </c>
      <c r="B35" s="3" t="str">
        <f ca="1">IF(TEXT(Настройки!$J3+TIME(0,Июль!AI14,0),"ч::мм")=TEXT(Настройки!$J3,"ч:мм"),"",TEXT(Настройки!$J3,"ч:мм")&amp;"-"&amp;TEXT(Настройки!$J3+TIME(0,Июль!AI14,0),"ч::мм"))</f>
        <v/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1:16" x14ac:dyDescent="0.25">
      <c r="A36" s="33" t="str">
        <f t="shared" ca="1" si="1"/>
        <v>16:00-16:00</v>
      </c>
      <c r="B36" s="3" t="str">
        <f ca="1">IF(TEXT(Настройки!$J4+TIME(0,Июль!AI15,0),"ч::мм")=TEXT(Настройки!$J4,"ч:мм"),"",TEXT(Настройки!$J4,"ч:мм")&amp;"-"&amp;TEXT(Настройки!$J4+TIME(0,Июль!AI15,0),"ч::мм"))</f>
        <v/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</sheetData>
  <mergeCells count="12">
    <mergeCell ref="A18:A22"/>
    <mergeCell ref="B18:P19"/>
    <mergeCell ref="B21:P22"/>
    <mergeCell ref="A28:A32"/>
    <mergeCell ref="B28:P29"/>
    <mergeCell ref="B31:P32"/>
    <mergeCell ref="A2:P2"/>
    <mergeCell ref="F6:G6"/>
    <mergeCell ref="H6:I6"/>
    <mergeCell ref="A8:A12"/>
    <mergeCell ref="B8:P9"/>
    <mergeCell ref="B11:P12"/>
  </mergeCells>
  <conditionalFormatting sqref="B10:P10">
    <cfRule type="expression" dxfId="589" priority="3">
      <formula>WEEKDAY(B10:P10,2)&gt;5</formula>
    </cfRule>
  </conditionalFormatting>
  <conditionalFormatting sqref="B20:P20">
    <cfRule type="expression" dxfId="588" priority="2">
      <formula>WEEKDAY(B20:P20,2)&gt;5</formula>
    </cfRule>
  </conditionalFormatting>
  <conditionalFormatting sqref="B30">
    <cfRule type="expression" dxfId="587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3">
    <tablePart r:id="rId2"/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4" tint="0.39997558519241921"/>
    <pageSetUpPr fitToPage="1"/>
  </sheetPr>
  <dimension ref="A2:AL28"/>
  <sheetViews>
    <sheetView zoomScale="60" zoomScaleNormal="6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4.28515625" style="3" customWidth="1"/>
    <col min="3" max="3" width="17.7109375" style="3" customWidth="1"/>
    <col min="4" max="4" width="9.28515625" style="3" customWidth="1"/>
    <col min="5" max="5" width="6.85546875" style="3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8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8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8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8" ht="18.75" x14ac:dyDescent="0.25">
      <c r="L5" s="11" t="s">
        <v>69</v>
      </c>
      <c r="M5" s="77" t="s">
        <v>71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8" ht="17.25" customHeight="1" x14ac:dyDescent="0.25"/>
    <row r="7" spans="1:38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9"/>
      <c r="AJ7" s="53" t="s">
        <v>64</v>
      </c>
      <c r="AK7" s="54" t="s">
        <v>64</v>
      </c>
    </row>
    <row r="8" spans="1:38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9"/>
      <c r="AJ8" s="53"/>
      <c r="AK8" s="55"/>
    </row>
    <row r="9" spans="1:38" x14ac:dyDescent="0.25">
      <c r="A9" s="63"/>
      <c r="B9" s="66"/>
      <c r="C9" s="66"/>
      <c r="D9" s="73"/>
      <c r="E9" s="21">
        <f>Настройки!G14</f>
        <v>45505</v>
      </c>
      <c r="F9" s="21">
        <f>Настройки!H14</f>
        <v>45506</v>
      </c>
      <c r="G9" s="21">
        <f>Настройки!I14</f>
        <v>45507</v>
      </c>
      <c r="H9" s="21">
        <f>Настройки!J14</f>
        <v>45508</v>
      </c>
      <c r="I9" s="21">
        <f>Настройки!K14</f>
        <v>45509</v>
      </c>
      <c r="J9" s="21">
        <f>Настройки!L14</f>
        <v>45510</v>
      </c>
      <c r="K9" s="21">
        <f>Настройки!M14</f>
        <v>45511</v>
      </c>
      <c r="L9" s="21">
        <f>Настройки!N14</f>
        <v>45512</v>
      </c>
      <c r="M9" s="21">
        <f>Настройки!O14</f>
        <v>45513</v>
      </c>
      <c r="N9" s="21">
        <f>Настройки!P14</f>
        <v>45514</v>
      </c>
      <c r="O9" s="21">
        <f>Настройки!Q14</f>
        <v>45515</v>
      </c>
      <c r="P9" s="21">
        <f>Настройки!R14</f>
        <v>45516</v>
      </c>
      <c r="Q9" s="21">
        <f>Настройки!S14</f>
        <v>45517</v>
      </c>
      <c r="R9" s="21">
        <f>Настройки!T14</f>
        <v>45518</v>
      </c>
      <c r="S9" s="21">
        <f>Настройки!U14</f>
        <v>45519</v>
      </c>
      <c r="T9" s="21">
        <f>Настройки!V14</f>
        <v>45520</v>
      </c>
      <c r="U9" s="21">
        <f>Настройки!W14</f>
        <v>45521</v>
      </c>
      <c r="V9" s="21">
        <f>Настройки!X14</f>
        <v>45522</v>
      </c>
      <c r="W9" s="21">
        <f>Настройки!Y14</f>
        <v>45523</v>
      </c>
      <c r="X9" s="21">
        <f>Настройки!Z14</f>
        <v>45524</v>
      </c>
      <c r="Y9" s="21">
        <f>Настройки!AA14</f>
        <v>45525</v>
      </c>
      <c r="Z9" s="21">
        <f>Настройки!AB14</f>
        <v>45526</v>
      </c>
      <c r="AA9" s="21">
        <f>Настройки!AC14</f>
        <v>45527</v>
      </c>
      <c r="AB9" s="21">
        <f>Настройки!AD14</f>
        <v>45528</v>
      </c>
      <c r="AC9" s="21">
        <f>Настройки!AE14</f>
        <v>45529</v>
      </c>
      <c r="AD9" s="21">
        <f>Настройки!AF14</f>
        <v>45530</v>
      </c>
      <c r="AE9" s="21">
        <f>Настройки!AG14</f>
        <v>45531</v>
      </c>
      <c r="AF9" s="21">
        <f>Настройки!AH14</f>
        <v>45532</v>
      </c>
      <c r="AG9" s="21">
        <f>Настройки!AI14</f>
        <v>45533</v>
      </c>
      <c r="AH9" s="21">
        <f>Настройки!AJ14</f>
        <v>45534</v>
      </c>
      <c r="AI9" s="21">
        <f>Настройки!AK14</f>
        <v>45535</v>
      </c>
      <c r="AJ9" s="53"/>
      <c r="AK9" s="55"/>
    </row>
    <row r="10" spans="1:38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9"/>
      <c r="AJ10" s="53"/>
      <c r="AK10" s="55"/>
    </row>
    <row r="11" spans="1:38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2"/>
      <c r="AJ11" s="53"/>
      <c r="AK11" s="56"/>
    </row>
    <row r="12" spans="1:38" ht="23.2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SUMPRODUCT((Настройки!$G$28:$AK$28=1)*E16:AI16)</f>
        <v>0</v>
      </c>
      <c r="D13" s="5">
        <v>1</v>
      </c>
      <c r="E13" s="3">
        <f>SUMPRODUCT((Август[№]=1)*Август[1],Август[Периодичность])</f>
        <v>0</v>
      </c>
      <c r="F13" s="3">
        <f>SUMPRODUCT((Август[№]=1)*Август[2],Август[Периодичность])</f>
        <v>0</v>
      </c>
      <c r="G13" s="3">
        <f>SUMPRODUCT((Август[№]=1)*Август[3],Август[Периодичность])</f>
        <v>0</v>
      </c>
      <c r="H13" s="3">
        <f>SUMPRODUCT((Август[№]=1)*Август[4],Август[Периодичность])</f>
        <v>0</v>
      </c>
      <c r="I13" s="24">
        <f>SUMPRODUCT((Август[№]=1)*Август[5],Август[Периодичность])</f>
        <v>0</v>
      </c>
      <c r="J13" s="24">
        <f>SUMPRODUCT((Август[№]=1)*Август[6],Август[Периодичность])</f>
        <v>0</v>
      </c>
      <c r="K13" s="3">
        <f>SUMPRODUCT((Август[№]=1)*Август[7],Август[Периодичность])</f>
        <v>0</v>
      </c>
      <c r="L13" s="3">
        <f>SUMPRODUCT((Август[№]=1)*Август[8],Август[Периодичность])</f>
        <v>0</v>
      </c>
      <c r="M13" s="3">
        <f>SUMPRODUCT((Август[№]=1)*Август[9],Август[Периодичность])</f>
        <v>0</v>
      </c>
      <c r="N13" s="3">
        <f>SUMPRODUCT((Август[№]=1)*Август[10],Август[Периодичность])</f>
        <v>0</v>
      </c>
      <c r="O13" s="3">
        <f>SUMPRODUCT((Август[№]=1)*Август[11],Август[Периодичность])</f>
        <v>0</v>
      </c>
      <c r="P13" s="24">
        <f>SUMPRODUCT((Август[№]=1)*Август[12],Август[Периодичность])</f>
        <v>0</v>
      </c>
      <c r="Q13" s="24">
        <f>SUMPRODUCT((Август[№]=1)*Август[13],Август[Периодичность])</f>
        <v>0</v>
      </c>
      <c r="R13" s="3">
        <f>SUMPRODUCT((Август[№]=1)*Август[14],Август[Периодичность])</f>
        <v>0</v>
      </c>
      <c r="S13" s="3">
        <f>SUMPRODUCT((Август[№]=1)*Август[15],Август[Периодичность])</f>
        <v>0</v>
      </c>
      <c r="T13" s="3">
        <f>SUMPRODUCT((Август[№]=1)*Август[16],Август[Периодичность])</f>
        <v>0</v>
      </c>
      <c r="U13" s="3">
        <f>SUMPRODUCT((Август[№]=1)*Август[17],Август[Периодичность])</f>
        <v>0</v>
      </c>
      <c r="V13" s="3">
        <f>SUMPRODUCT((Август[№]=1)*Август[18],Август[Периодичность])</f>
        <v>0</v>
      </c>
      <c r="W13" s="24">
        <f>SUMPRODUCT((Август[№]=1)*Август[19],Август[Периодичность])</f>
        <v>0</v>
      </c>
      <c r="X13" s="24">
        <f>SUMPRODUCT((Август[№]=1)*Август[20],Август[Периодичность])</f>
        <v>0</v>
      </c>
      <c r="Y13" s="3">
        <f>SUMPRODUCT((Август[№]=1)*Август[21],Август[Периодичность])</f>
        <v>0</v>
      </c>
      <c r="Z13" s="3">
        <f>SUMPRODUCT((Август[№]=1)*Август[22],Август[Периодичность])</f>
        <v>0</v>
      </c>
      <c r="AA13" s="3">
        <f>SUMPRODUCT((Август[№]=1)*Август[23],Август[Периодичность])</f>
        <v>0</v>
      </c>
      <c r="AB13" s="3">
        <f>SUMPRODUCT((Август[№]=1)*Август[24],Август[Периодичность])</f>
        <v>0</v>
      </c>
      <c r="AC13" s="3">
        <f>SUMPRODUCT((Август[№]=1)*Август[25],Август[Периодичность])</f>
        <v>0</v>
      </c>
      <c r="AD13" s="24">
        <f>SUMPRODUCT((Август[№]=1)*Август[26],Август[Периодичность])</f>
        <v>0</v>
      </c>
      <c r="AE13" s="24">
        <f>SUMPRODUCT((Август[№]=1)*Август[27],Август[Периодичность])</f>
        <v>0</v>
      </c>
      <c r="AF13" s="3">
        <f>SUMPRODUCT((Август[№]=1)*Август[28],Август[Периодичность])</f>
        <v>0</v>
      </c>
      <c r="AG13" s="3">
        <f>SUMPRODUCT((Август[№]=1)*Август[29],Август[Периодичность])</f>
        <v>0</v>
      </c>
      <c r="AH13" s="3">
        <f>SUMPRODUCT((Август[№]=1)*Август[30],Август[Периодичность])</f>
        <v>0</v>
      </c>
      <c r="AI13" s="3">
        <f>SUMPRODUCT((Август[№]=1)*Август[31],Август[Периодичность])</f>
        <v>0</v>
      </c>
      <c r="AL13" s="4"/>
    </row>
    <row r="14" spans="1:38" x14ac:dyDescent="0.25">
      <c r="B14" s="14">
        <f ca="1">SUMPRODUCT((Настройки!$G$28:$AK$28=2)*E16:AI16)</f>
        <v>0</v>
      </c>
      <c r="D14" s="5">
        <v>2</v>
      </c>
      <c r="E14" s="3">
        <f ca="1">SUMPRODUCT((Август[№]=2)*Август[1],OFFSET(Август[Периодичность],-1,0))</f>
        <v>0</v>
      </c>
      <c r="F14" s="3">
        <f ca="1">SUMPRODUCT((Август[№]=2)*Август[2],OFFSET(Август[Периодичность],-1,0))</f>
        <v>0</v>
      </c>
      <c r="G14" s="3">
        <f ca="1">SUMPRODUCT((Август[№]=2)*Август[3],OFFSET(Август[Периодичность],-1,0))</f>
        <v>0</v>
      </c>
      <c r="H14" s="3">
        <f ca="1">SUMPRODUCT((Август[№]=2)*Август[4],OFFSET(Август[Периодичность],-1,0))</f>
        <v>0</v>
      </c>
      <c r="I14" s="24">
        <f ca="1">SUMPRODUCT((Август[№]=2)*Август[5],OFFSET(Август[Периодичность],-1,0))</f>
        <v>0</v>
      </c>
      <c r="J14" s="24">
        <f ca="1">SUMPRODUCT((Август[№]=2)*Август[6],OFFSET(Август[Периодичность],-1,0))</f>
        <v>0</v>
      </c>
      <c r="K14" s="3">
        <f ca="1">SUMPRODUCT((Август[№]=2)*Август[7],OFFSET(Август[Периодичность],-1,0))</f>
        <v>0</v>
      </c>
      <c r="L14" s="3">
        <f ca="1">SUMPRODUCT((Август[№]=2)*Август[8],OFFSET(Август[Периодичность],-1,0))</f>
        <v>0</v>
      </c>
      <c r="M14" s="3">
        <f ca="1">SUMPRODUCT((Август[№]=2)*Август[9],OFFSET(Август[Периодичность],-1,0))</f>
        <v>0</v>
      </c>
      <c r="N14" s="3">
        <f ca="1">SUMPRODUCT((Август[№]=2)*Август[10],OFFSET(Август[Периодичность],-1,0))</f>
        <v>0</v>
      </c>
      <c r="O14" s="3">
        <f ca="1">SUMPRODUCT((Август[№]=2)*Август[11],OFFSET(Август[Периодичность],-1,0))</f>
        <v>0</v>
      </c>
      <c r="P14" s="24">
        <f ca="1">SUMPRODUCT((Август[№]=2)*Август[12],OFFSET(Август[Периодичность],-1,0))</f>
        <v>0</v>
      </c>
      <c r="Q14" s="24">
        <f ca="1">SUMPRODUCT((Август[№]=2)*Август[13],OFFSET(Август[Периодичность],-1,0))</f>
        <v>0</v>
      </c>
      <c r="R14" s="3">
        <f ca="1">SUMPRODUCT((Август[№]=2)*Август[14],OFFSET(Август[Периодичность],-1,0))</f>
        <v>0</v>
      </c>
      <c r="S14" s="3">
        <f ca="1">SUMPRODUCT((Август[№]=2)*Август[15],OFFSET(Август[Периодичность],-1,0))</f>
        <v>0</v>
      </c>
      <c r="T14" s="3">
        <f ca="1">SUMPRODUCT((Август[№]=2)*Август[16],OFFSET(Август[Периодичность],-1,0))</f>
        <v>0</v>
      </c>
      <c r="U14" s="3">
        <f ca="1">SUMPRODUCT((Август[№]=2)*Август[17],OFFSET(Август[Периодичность],-1,0))</f>
        <v>0</v>
      </c>
      <c r="V14" s="3">
        <f ca="1">SUMPRODUCT((Август[№]=2)*Август[18],OFFSET(Август[Периодичность],-1,0))</f>
        <v>0</v>
      </c>
      <c r="W14" s="24">
        <f ca="1">SUMPRODUCT((Август[№]=2)*Август[19],OFFSET(Август[Периодичность],-1,0))</f>
        <v>0</v>
      </c>
      <c r="X14" s="24">
        <f ca="1">SUMPRODUCT((Август[№]=2)*Август[20],OFFSET(Август[Периодичность],-1,0))</f>
        <v>0</v>
      </c>
      <c r="Y14" s="3">
        <f ca="1">SUMPRODUCT((Август[№]=2)*Август[21],OFFSET(Август[Периодичность],-1,0))</f>
        <v>0</v>
      </c>
      <c r="Z14" s="3">
        <f ca="1">SUMPRODUCT((Август[№]=2)*Август[22],OFFSET(Август[Периодичность],-1,0))</f>
        <v>0</v>
      </c>
      <c r="AA14" s="3">
        <f ca="1">SUMPRODUCT((Август[№]=2)*Август[23],OFFSET(Август[Периодичность],-1,0))</f>
        <v>0</v>
      </c>
      <c r="AB14" s="3">
        <f ca="1">SUMPRODUCT((Август[№]=2)*Август[24],OFFSET(Август[Периодичность],-1,0))</f>
        <v>0</v>
      </c>
      <c r="AC14" s="3">
        <f ca="1">SUMPRODUCT((Август[№]=2)*Август[25],OFFSET(Август[Периодичность],-1,0))</f>
        <v>0</v>
      </c>
      <c r="AD14" s="24">
        <f ca="1">SUMPRODUCT((Август[№]=2)*Август[26],OFFSET(Август[Периодичность],-1,0))</f>
        <v>0</v>
      </c>
      <c r="AE14" s="24">
        <f ca="1">SUMPRODUCT((Август[№]=2)*Август[27],OFFSET(Август[Периодичность],-1,0))</f>
        <v>0</v>
      </c>
      <c r="AF14" s="3">
        <f ca="1">SUMPRODUCT((Август[№]=2)*Август[28],OFFSET(Август[Периодичность],-1,0))</f>
        <v>0</v>
      </c>
      <c r="AG14" s="3">
        <f ca="1">SUMPRODUCT((Август[№]=2)*Август[29],OFFSET(Август[Периодичность],-1,0))</f>
        <v>0</v>
      </c>
      <c r="AH14" s="3">
        <f ca="1">SUMPRODUCT((Август[№]=2)*Август[30],OFFSET(Август[Периодичность],-1,0))</f>
        <v>0</v>
      </c>
      <c r="AI14" s="3">
        <f ca="1">SUMPRODUCT((Август[№]=2)*Август[31],OFFSET(Август[Периодичность],-1,0))</f>
        <v>0</v>
      </c>
    </row>
    <row r="15" spans="1:38" ht="22.5" customHeight="1" x14ac:dyDescent="0.25">
      <c r="B15" s="14">
        <f ca="1">SUMPRODUCT((Настройки!$G$28:$AK$28=3)*E16:AI16)</f>
        <v>0</v>
      </c>
      <c r="D15" s="5">
        <v>3</v>
      </c>
      <c r="E15" s="3">
        <f ca="1">SUMPRODUCT((Август[№]=3)*Август[1],OFFSET(Август[Периодичность],-2,0))</f>
        <v>0</v>
      </c>
      <c r="F15" s="3">
        <f ca="1">SUMPRODUCT((Август[№]=3)*Август[2],OFFSET(Август[Периодичность],-2,0))</f>
        <v>0</v>
      </c>
      <c r="G15" s="3">
        <f ca="1">SUMPRODUCT((Август[№]=3)*Август[3],OFFSET(Август[Периодичность],-2,0))</f>
        <v>0</v>
      </c>
      <c r="H15" s="3">
        <f ca="1">SUMPRODUCT((Август[№]=3)*Август[4],OFFSET(Август[Периодичность],-2,0))</f>
        <v>0</v>
      </c>
      <c r="I15" s="24">
        <f ca="1">SUMPRODUCT((Август[№]=3)*Август[5],OFFSET(Август[Периодичность],-2,0))</f>
        <v>0</v>
      </c>
      <c r="J15" s="24">
        <f ca="1">SUMPRODUCT((Август[№]=3)*Август[6],OFFSET(Август[Периодичность],-2,0))</f>
        <v>0</v>
      </c>
      <c r="K15" s="3">
        <f ca="1">SUMPRODUCT((Август[№]=3)*Август[7],OFFSET(Август[Периодичность],-2,0))</f>
        <v>0</v>
      </c>
      <c r="L15" s="3">
        <f ca="1">SUMPRODUCT((Август[№]=3)*Август[8],OFFSET(Август[Периодичность],-2,0))</f>
        <v>0</v>
      </c>
      <c r="M15" s="3">
        <f ca="1">SUMPRODUCT((Август[№]=3)*Август[9],OFFSET(Август[Периодичность],-2,0))</f>
        <v>0</v>
      </c>
      <c r="N15" s="3">
        <f ca="1">SUMPRODUCT((Август[№]=3)*Август[10],OFFSET(Август[Периодичность],-2,0))</f>
        <v>0</v>
      </c>
      <c r="O15" s="3">
        <f ca="1">SUMPRODUCT((Август[№]=3)*Август[11],OFFSET(Август[Периодичность],-2,0))</f>
        <v>0</v>
      </c>
      <c r="P15" s="24">
        <f ca="1">SUMPRODUCT((Август[№]=3)*Август[12],OFFSET(Август[Периодичность],-2,0))</f>
        <v>0</v>
      </c>
      <c r="Q15" s="24">
        <f ca="1">SUMPRODUCT((Август[№]=3)*Август[13],OFFSET(Август[Периодичность],-2,0))</f>
        <v>0</v>
      </c>
      <c r="R15" s="3">
        <f ca="1">SUMPRODUCT((Август[№]=3)*Август[14],OFFSET(Август[Периодичность],-2,0))</f>
        <v>0</v>
      </c>
      <c r="S15" s="3">
        <f ca="1">SUMPRODUCT((Август[№]=3)*Август[15],OFFSET(Август[Периодичность],-2,0))</f>
        <v>0</v>
      </c>
      <c r="T15" s="3">
        <f ca="1">SUMPRODUCT((Август[№]=3)*Август[16],OFFSET(Август[Периодичность],-2,0))</f>
        <v>0</v>
      </c>
      <c r="U15" s="3">
        <f ca="1">SUMPRODUCT((Август[№]=3)*Август[17],OFFSET(Август[Периодичность],-2,0))</f>
        <v>0</v>
      </c>
      <c r="V15" s="3">
        <f ca="1">SUMPRODUCT((Август[№]=3)*Август[18],OFFSET(Август[Периодичность],-2,0))</f>
        <v>0</v>
      </c>
      <c r="W15" s="24">
        <f ca="1">SUMPRODUCT((Август[№]=3)*Август[19],OFFSET(Август[Периодичность],-2,0))</f>
        <v>0</v>
      </c>
      <c r="X15" s="24">
        <f ca="1">SUMPRODUCT((Август[№]=3)*Август[20],OFFSET(Август[Периодичность],-2,0))</f>
        <v>0</v>
      </c>
      <c r="Y15" s="3">
        <f ca="1">SUMPRODUCT((Август[№]=3)*Август[21],OFFSET(Август[Периодичность],-2,0))</f>
        <v>0</v>
      </c>
      <c r="Z15" s="3">
        <f ca="1">SUMPRODUCT((Август[№]=3)*Август[22],OFFSET(Август[Периодичность],-2,0))</f>
        <v>0</v>
      </c>
      <c r="AA15" s="3">
        <f ca="1">SUMPRODUCT((Август[№]=3)*Август[23],OFFSET(Август[Периодичность],-2,0))</f>
        <v>0</v>
      </c>
      <c r="AB15" s="3">
        <f ca="1">SUMPRODUCT((Август[№]=3)*Август[24],OFFSET(Август[Периодичность],-2,0))</f>
        <v>0</v>
      </c>
      <c r="AC15" s="3">
        <f ca="1">SUMPRODUCT((Август[№]=3)*Август[25],OFFSET(Август[Периодичность],-2,0))</f>
        <v>0</v>
      </c>
      <c r="AD15" s="24">
        <f ca="1">SUMPRODUCT((Август[№]=3)*Август[26],OFFSET(Август[Периодичность],-2,0))</f>
        <v>0</v>
      </c>
      <c r="AE15" s="24">
        <f ca="1">SUMPRODUCT((Август[№]=3)*Август[27],OFFSET(Август[Периодичность],-2,0))</f>
        <v>0</v>
      </c>
      <c r="AF15" s="3">
        <f ca="1">SUMPRODUCT((Август[№]=3)*Август[28],OFFSET(Август[Периодичность],-2,0))</f>
        <v>0</v>
      </c>
      <c r="AG15" s="3">
        <f ca="1">SUMPRODUCT((Август[№]=3)*Август[29],OFFSET(Август[Периодичность],-2,0))</f>
        <v>0</v>
      </c>
      <c r="AH15" s="3">
        <f ca="1">SUMPRODUCT((Август[№]=3)*Август[30],OFFSET(Август[Периодичность],-2,0))</f>
        <v>0</v>
      </c>
      <c r="AI15" s="3">
        <f ca="1">SUMPRODUCT((Август[№]=3)*Август[31],OFFSET(Август[Периодичность],-2,0))</f>
        <v>0</v>
      </c>
      <c r="AK15" s="10"/>
    </row>
    <row r="16" spans="1:38" ht="22.5" customHeight="1" x14ac:dyDescent="0.25">
      <c r="B16" s="14">
        <f ca="1">SUMPRODUCT((Настройки!$G$28:$AK$28=4)*E16:AI16)</f>
        <v>0</v>
      </c>
      <c r="D16" s="5"/>
      <c r="E16" s="3">
        <f t="shared" ref="E16:AH16" ca="1" si="0">SUM(E13:E15)</f>
        <v>0</v>
      </c>
      <c r="F16" s="3">
        <f t="shared" ca="1" si="0"/>
        <v>0</v>
      </c>
      <c r="G16" s="3">
        <f t="shared" ca="1" si="0"/>
        <v>0</v>
      </c>
      <c r="H16" s="3">
        <f t="shared" ca="1" si="0"/>
        <v>0</v>
      </c>
      <c r="I16" s="24">
        <f t="shared" ca="1" si="0"/>
        <v>0</v>
      </c>
      <c r="J16" s="24">
        <f t="shared" ca="1" si="0"/>
        <v>0</v>
      </c>
      <c r="K16" s="3">
        <f t="shared" ca="1" si="0"/>
        <v>0</v>
      </c>
      <c r="L16" s="3">
        <f t="shared" ca="1" si="0"/>
        <v>0</v>
      </c>
      <c r="M16" s="3">
        <f t="shared" ca="1" si="0"/>
        <v>0</v>
      </c>
      <c r="N16" s="3">
        <f t="shared" ca="1" si="0"/>
        <v>0</v>
      </c>
      <c r="O16" s="3">
        <f t="shared" ca="1" si="0"/>
        <v>0</v>
      </c>
      <c r="P16" s="24">
        <f t="shared" ca="1" si="0"/>
        <v>0</v>
      </c>
      <c r="Q16" s="24">
        <f t="shared" ca="1" si="0"/>
        <v>0</v>
      </c>
      <c r="R16" s="3">
        <f t="shared" ca="1" si="0"/>
        <v>0</v>
      </c>
      <c r="S16" s="3">
        <f t="shared" ca="1" si="0"/>
        <v>0</v>
      </c>
      <c r="T16" s="3">
        <f t="shared" ca="1" si="0"/>
        <v>0</v>
      </c>
      <c r="U16" s="3">
        <f t="shared" ca="1" si="0"/>
        <v>0</v>
      </c>
      <c r="V16" s="3">
        <f t="shared" ca="1" si="0"/>
        <v>0</v>
      </c>
      <c r="W16" s="24">
        <f t="shared" ca="1" si="0"/>
        <v>0</v>
      </c>
      <c r="X16" s="24">
        <f t="shared" ca="1" si="0"/>
        <v>0</v>
      </c>
      <c r="Y16" s="3">
        <f t="shared" ca="1" si="0"/>
        <v>0</v>
      </c>
      <c r="Z16" s="3">
        <f t="shared" ca="1" si="0"/>
        <v>0</v>
      </c>
      <c r="AA16" s="3">
        <f t="shared" ca="1" si="0"/>
        <v>0</v>
      </c>
      <c r="AB16" s="3">
        <f t="shared" ca="1" si="0"/>
        <v>0</v>
      </c>
      <c r="AC16" s="3">
        <f t="shared" ca="1" si="0"/>
        <v>0</v>
      </c>
      <c r="AD16" s="24">
        <f t="shared" ca="1" si="0"/>
        <v>0</v>
      </c>
      <c r="AE16" s="24">
        <f t="shared" ca="1" si="0"/>
        <v>0</v>
      </c>
      <c r="AF16" s="3">
        <f t="shared" ca="1" si="0"/>
        <v>0</v>
      </c>
      <c r="AG16" s="3">
        <f t="shared" ca="1" si="0"/>
        <v>0</v>
      </c>
      <c r="AH16" s="3">
        <f t="shared" ca="1" si="0"/>
        <v>0</v>
      </c>
      <c r="AI16" s="3">
        <f ca="1">SUM(AI13:AI15)</f>
        <v>0</v>
      </c>
      <c r="AK16" s="10"/>
    </row>
    <row r="17" spans="1:37" ht="20.25" customHeight="1" x14ac:dyDescent="0.25">
      <c r="B17" s="3">
        <f ca="1">SUMPRODUCT((Настройки!$G$28:$AK$28=5)*E16:AI16)</f>
        <v>0</v>
      </c>
      <c r="C17" s="5">
        <f ca="1">АвгустИтоги[[#This Row],[№]]*60</f>
        <v>0</v>
      </c>
      <c r="D17" s="7">
        <f ca="1">SUM(АвгустИтоги[[#This Row],[1]:[31]])</f>
        <v>0</v>
      </c>
      <c r="E17" s="6">
        <f ca="1">E16/60</f>
        <v>0</v>
      </c>
      <c r="F17" s="6">
        <f t="shared" ref="F17:AH17" ca="1" si="1">F16/60</f>
        <v>0</v>
      </c>
      <c r="G17" s="6">
        <f t="shared" ca="1" si="1"/>
        <v>0</v>
      </c>
      <c r="H17" s="6">
        <f t="shared" ca="1" si="1"/>
        <v>0</v>
      </c>
      <c r="I17" s="25">
        <f t="shared" ca="1" si="1"/>
        <v>0</v>
      </c>
      <c r="J17" s="25">
        <f t="shared" ca="1" si="1"/>
        <v>0</v>
      </c>
      <c r="K17" s="6">
        <f t="shared" ca="1" si="1"/>
        <v>0</v>
      </c>
      <c r="L17" s="6">
        <f t="shared" ca="1" si="1"/>
        <v>0</v>
      </c>
      <c r="M17" s="6">
        <f t="shared" ca="1" si="1"/>
        <v>0</v>
      </c>
      <c r="N17" s="6">
        <f t="shared" ca="1" si="1"/>
        <v>0</v>
      </c>
      <c r="O17" s="6">
        <f t="shared" ca="1" si="1"/>
        <v>0</v>
      </c>
      <c r="P17" s="25">
        <f t="shared" ca="1" si="1"/>
        <v>0</v>
      </c>
      <c r="Q17" s="25">
        <f t="shared" ca="1" si="1"/>
        <v>0</v>
      </c>
      <c r="R17" s="6">
        <f t="shared" ca="1" si="1"/>
        <v>0</v>
      </c>
      <c r="S17" s="6">
        <f t="shared" ca="1" si="1"/>
        <v>0</v>
      </c>
      <c r="T17" s="6">
        <f t="shared" ca="1" si="1"/>
        <v>0</v>
      </c>
      <c r="U17" s="6">
        <f t="shared" ca="1" si="1"/>
        <v>0</v>
      </c>
      <c r="V17" s="6">
        <f t="shared" ca="1" si="1"/>
        <v>0</v>
      </c>
      <c r="W17" s="25">
        <f t="shared" ca="1" si="1"/>
        <v>0</v>
      </c>
      <c r="X17" s="25">
        <f t="shared" ca="1" si="1"/>
        <v>0</v>
      </c>
      <c r="Y17" s="6">
        <f t="shared" ca="1" si="1"/>
        <v>0</v>
      </c>
      <c r="Z17" s="6">
        <f t="shared" ca="1" si="1"/>
        <v>0</v>
      </c>
      <c r="AA17" s="6">
        <f t="shared" ca="1" si="1"/>
        <v>0</v>
      </c>
      <c r="AB17" s="6">
        <f t="shared" ca="1" si="1"/>
        <v>0</v>
      </c>
      <c r="AC17" s="6">
        <f t="shared" ca="1" si="1"/>
        <v>0</v>
      </c>
      <c r="AD17" s="25">
        <f t="shared" ca="1" si="1"/>
        <v>0</v>
      </c>
      <c r="AE17" s="25">
        <f t="shared" ca="1" si="1"/>
        <v>0</v>
      </c>
      <c r="AF17" s="6">
        <f t="shared" ca="1" si="1"/>
        <v>0</v>
      </c>
      <c r="AG17" s="6">
        <f t="shared" ca="1" si="1"/>
        <v>0</v>
      </c>
      <c r="AH17" s="6">
        <f t="shared" ca="1" si="1"/>
        <v>0</v>
      </c>
      <c r="AI17" s="6">
        <f ca="1">AI16/60</f>
        <v>0</v>
      </c>
      <c r="AJ17" s="5">
        <f ca="1">SUM(Август[УСЛУГ])</f>
        <v>0</v>
      </c>
      <c r="AK17" s="16">
        <f ca="1">SUM(Август[МИНУТ])</f>
        <v>0</v>
      </c>
    </row>
    <row r="18" spans="1:37" ht="20.25" customHeight="1" x14ac:dyDescent="0.25">
      <c r="B18" s="14">
        <f ca="1">SUMPRODUCT((Настройки!$G$28:$AK$28=6)*E16:AI16)</f>
        <v>0</v>
      </c>
      <c r="C18" s="14"/>
      <c r="D18" s="7"/>
      <c r="E18" s="14"/>
      <c r="F18" s="6"/>
      <c r="G18" s="6"/>
      <c r="H18" s="6"/>
      <c r="I18" s="25"/>
      <c r="J18" s="25"/>
      <c r="K18" s="6"/>
      <c r="L18" s="6"/>
      <c r="M18" s="6"/>
      <c r="N18" s="6"/>
      <c r="O18" s="6"/>
      <c r="P18" s="25"/>
      <c r="Q18" s="25"/>
      <c r="R18" s="6"/>
      <c r="S18" s="6"/>
      <c r="T18" s="6"/>
      <c r="U18" s="6"/>
      <c r="V18" s="6"/>
      <c r="W18" s="25"/>
      <c r="X18" s="25"/>
      <c r="Y18" s="6"/>
      <c r="Z18" s="6"/>
      <c r="AA18" s="6"/>
      <c r="AB18" s="6"/>
      <c r="AC18" s="6"/>
      <c r="AD18" s="25"/>
      <c r="AE18" s="25"/>
      <c r="AF18" s="6"/>
      <c r="AG18" s="6"/>
      <c r="AH18" s="6"/>
      <c r="AI18" s="14"/>
      <c r="AJ18" s="14"/>
      <c r="AK18" s="46"/>
    </row>
    <row r="19" spans="1:37" ht="22.5" customHeight="1" x14ac:dyDescent="0.25"/>
    <row r="20" spans="1:37" ht="18" customHeight="1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9"/>
      <c r="AJ20" s="53" t="s">
        <v>64</v>
      </c>
      <c r="AK20" s="54" t="s">
        <v>64</v>
      </c>
    </row>
    <row r="21" spans="1:37" ht="21.75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9"/>
      <c r="AJ21" s="53"/>
      <c r="AK21" s="55"/>
    </row>
    <row r="22" spans="1:37" x14ac:dyDescent="0.25">
      <c r="A22" s="63"/>
      <c r="B22" s="63"/>
      <c r="C22" s="64"/>
      <c r="D22" s="66"/>
      <c r="E22" s="21">
        <f>Настройки!G14</f>
        <v>45505</v>
      </c>
      <c r="F22" s="21">
        <f>Настройки!H14</f>
        <v>45506</v>
      </c>
      <c r="G22" s="21">
        <f>Настройки!I14</f>
        <v>45507</v>
      </c>
      <c r="H22" s="21">
        <f>Настройки!J14</f>
        <v>45508</v>
      </c>
      <c r="I22" s="21">
        <f>Настройки!K14</f>
        <v>45509</v>
      </c>
      <c r="J22" s="21">
        <f>Настройки!L14</f>
        <v>45510</v>
      </c>
      <c r="K22" s="21">
        <f>Настройки!M14</f>
        <v>45511</v>
      </c>
      <c r="L22" s="21">
        <f>Настройки!N14</f>
        <v>45512</v>
      </c>
      <c r="M22" s="21">
        <f>Настройки!O14</f>
        <v>45513</v>
      </c>
      <c r="N22" s="21">
        <f>Настройки!P14</f>
        <v>45514</v>
      </c>
      <c r="O22" s="21">
        <f>Настройки!Q14</f>
        <v>45515</v>
      </c>
      <c r="P22" s="21">
        <f>Настройки!R14</f>
        <v>45516</v>
      </c>
      <c r="Q22" s="21">
        <f>Настройки!S14</f>
        <v>45517</v>
      </c>
      <c r="R22" s="21">
        <f>Настройки!T14</f>
        <v>45518</v>
      </c>
      <c r="S22" s="21">
        <f>Настройки!U14</f>
        <v>45519</v>
      </c>
      <c r="T22" s="21">
        <f>Настройки!V14</f>
        <v>45520</v>
      </c>
      <c r="U22" s="21">
        <f>Настройки!W14</f>
        <v>45521</v>
      </c>
      <c r="V22" s="21">
        <f>Настройки!X14</f>
        <v>45522</v>
      </c>
      <c r="W22" s="21">
        <f>Настройки!Y14</f>
        <v>45523</v>
      </c>
      <c r="X22" s="21">
        <f>Настройки!Z14</f>
        <v>45524</v>
      </c>
      <c r="Y22" s="21">
        <f>Настройки!AA14</f>
        <v>45525</v>
      </c>
      <c r="Z22" s="21">
        <f>Настройки!AB14</f>
        <v>45526</v>
      </c>
      <c r="AA22" s="21">
        <f>Настройки!AC14</f>
        <v>45527</v>
      </c>
      <c r="AB22" s="21">
        <f>Настройки!AD14</f>
        <v>45528</v>
      </c>
      <c r="AC22" s="21">
        <f>Настройки!AE14</f>
        <v>45529</v>
      </c>
      <c r="AD22" s="21">
        <f>Настройки!AF14</f>
        <v>45530</v>
      </c>
      <c r="AE22" s="21">
        <f>Настройки!AG14</f>
        <v>45531</v>
      </c>
      <c r="AF22" s="21">
        <f>Настройки!AH14</f>
        <v>45532</v>
      </c>
      <c r="AG22" s="21">
        <f>Настройки!AI14</f>
        <v>45533</v>
      </c>
      <c r="AH22" s="21">
        <f>Настройки!AJ14</f>
        <v>45534</v>
      </c>
      <c r="AI22" s="21">
        <f>Настройки!AK14</f>
        <v>45535</v>
      </c>
      <c r="AJ22" s="53"/>
      <c r="AK22" s="55"/>
    </row>
    <row r="23" spans="1:37" x14ac:dyDescent="0.25">
      <c r="A23" s="63"/>
      <c r="B23" s="63"/>
      <c r="C23" s="64"/>
      <c r="D23" s="66"/>
      <c r="E23" s="63" t="s">
        <v>54</v>
      </c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70"/>
      <c r="AJ23" s="53"/>
      <c r="AK23" s="55"/>
    </row>
    <row r="24" spans="1:37" x14ac:dyDescent="0.25">
      <c r="A24" s="63"/>
      <c r="B24" s="63"/>
      <c r="C24" s="64"/>
      <c r="D24" s="66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70"/>
      <c r="AJ24" s="53"/>
      <c r="AK24" s="56"/>
    </row>
    <row r="25" spans="1:37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IF(Август[[#This Row],[№]]=1,SUM(Август[[#This Row],[1]:[31]])+SUM(OFFSET(Август[[#This Row],[1]:[31]],1,0))+SUM(OFFSET(Август[[#This Row],[1]:[31]],2,0)),"")</f>
        <v>0</v>
      </c>
      <c r="AK26" s="5">
        <f ca="1">IF(Август[[#This Row],[УСЛУГ]]&lt;&gt;"",Август[[#This Row],[УСЛУГ]]*Август[[#This Row],[Периодичность]],"")</f>
        <v>0</v>
      </c>
    </row>
    <row r="27" spans="1:37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IF(Август[[#This Row],[№]]=1,SUM(Август[[#This Row],[1]:[31]])+SUM(OFFSET(Август[[#This Row],[1]:[31]],1,0))+SUM(OFFSET(Август[[#This Row],[1]:[31]],2,0)),"")</f>
        <v/>
      </c>
      <c r="AK27" s="5" t="str">
        <f ca="1">IF(Август[[#This Row],[УСЛУГ]]&lt;&gt;"",Август[[#This Row],[УСЛУГ]]*Август[[#This Row],[Периодичность]],"")</f>
        <v/>
      </c>
    </row>
    <row r="28" spans="1:37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IF(Август[[#This Row],[№]]=1,SUM(Август[[#This Row],[1]:[31]])+SUM(OFFSET(Август[[#This Row],[1]:[31]],1,0))+SUM(OFFSET(Август[[#This Row],[1]:[31]],2,0)),"")</f>
        <v/>
      </c>
      <c r="AK28" s="5" t="str">
        <f ca="1">IF(Август[[#This Row],[УСЛУГ]]&lt;&gt;"",Август[[#This Row],[УСЛУГ]]*Август[[#This Row],[Периодичность]],"")</f>
        <v/>
      </c>
    </row>
  </sheetData>
  <mergeCells count="20">
    <mergeCell ref="AK20:AK24"/>
    <mergeCell ref="E23:AI24"/>
    <mergeCell ref="AK7:AK11"/>
    <mergeCell ref="E10:AI11"/>
    <mergeCell ref="E7:AI8"/>
    <mergeCell ref="E20:AI21"/>
    <mergeCell ref="A20:A24"/>
    <mergeCell ref="B20:C24"/>
    <mergeCell ref="D20:D24"/>
    <mergeCell ref="AJ20:AJ24"/>
    <mergeCell ref="A7:A11"/>
    <mergeCell ref="B7:B11"/>
    <mergeCell ref="C7:C11"/>
    <mergeCell ref="D7:D11"/>
    <mergeCell ref="AJ7:AJ11"/>
    <mergeCell ref="A2:AJ2"/>
    <mergeCell ref="A3:AJ3"/>
    <mergeCell ref="J4:L4"/>
    <mergeCell ref="M4:U4"/>
    <mergeCell ref="M5:Q5"/>
  </mergeCells>
  <conditionalFormatting sqref="E9:AI9">
    <cfRule type="expression" dxfId="545" priority="3">
      <formula>WEEKDAY(E9:AI9,2)&gt;5</formula>
    </cfRule>
  </conditionalFormatting>
  <conditionalFormatting sqref="E22:AI22">
    <cfRule type="expression" dxfId="544" priority="2">
      <formula>WEEKDAY(E22:AI22,2)&gt;5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AI16:AK17 E13 B13:B18 E16:E17 AJ14:AK14 AJ15:AK15 E14:AI15" calculatedColumn="1"/>
  </ignoredErrors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7" tint="0.39997558519241921"/>
    <pageSetUpPr fitToPage="1"/>
  </sheetPr>
  <dimension ref="A2:AF36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71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Настройки!G14</f>
        <v>45505</v>
      </c>
      <c r="C10" s="30">
        <f>Настройки!H14</f>
        <v>45506</v>
      </c>
      <c r="D10" s="30">
        <f>Настройки!I14</f>
        <v>45507</v>
      </c>
      <c r="E10" s="30">
        <f>Настройки!J14</f>
        <v>45508</v>
      </c>
      <c r="F10" s="30">
        <f>Настройки!K14</f>
        <v>45509</v>
      </c>
      <c r="G10" s="30">
        <f>Настройки!L14</f>
        <v>45510</v>
      </c>
      <c r="H10" s="30">
        <f>Настройки!M14</f>
        <v>45511</v>
      </c>
      <c r="I10" s="30">
        <f>Настройки!N14</f>
        <v>45512</v>
      </c>
      <c r="J10" s="30">
        <f>Настройки!O14</f>
        <v>45513</v>
      </c>
      <c r="K10" s="30">
        <f>Настройки!P14</f>
        <v>45514</v>
      </c>
      <c r="L10" s="30">
        <f>Настройки!Q14</f>
        <v>45515</v>
      </c>
      <c r="M10" s="30">
        <f>Настройки!R14</f>
        <v>45516</v>
      </c>
      <c r="N10" s="30">
        <f>Настройки!S14</f>
        <v>45517</v>
      </c>
      <c r="O10" s="30">
        <f>Настройки!T14</f>
        <v>45518</v>
      </c>
      <c r="P10" s="30">
        <f>Настройки!U14</f>
        <v>45519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IF(Настройки!J2&lt;&gt;"",TEXT(Настройки!J2,"ч:мм")&amp;"-"&amp;TEXT(Настройки!J2+TIME(0,MAX(Август!E13:AI13),0),"ч:мм"),"")</f>
        <v>9:00-9:00</v>
      </c>
      <c r="B14" s="31" t="str">
        <f>IF(TEXT(Настройки!$J2+TIME(0,Август!E13,0),"ч::мм")=TEXT(Настройки!$J2,"ч:мм"),"",TEXT(Настройки!$J2,"ч:мм")&amp;"-"&amp;TEXT(Настройки!$J2+TIME(0,Август!E13,0),"ч::мм"))</f>
        <v/>
      </c>
      <c r="C14" s="31" t="str">
        <f>IF(TEXT(Настройки!$J2+TIME(0,Август!F13,0),"ч::мм")=TEXT(Настройки!$J2,"ч:мм"),"",TEXT(Настройки!$J2,"ч:мм")&amp;"-"&amp;TEXT(Настройки!$J2+TIME(0,Август!F13,0),"ч::мм"))</f>
        <v/>
      </c>
      <c r="D14" s="31" t="str">
        <f>IF(TEXT(Настройки!$J2+TIME(0,Август!G13,0),"ч::мм")=TEXT(Настройки!$J2,"ч:мм"),"",TEXT(Настройки!$J2,"ч:мм")&amp;"-"&amp;TEXT(Настройки!$J2+TIME(0,Август!G13,0),"ч::мм"))</f>
        <v/>
      </c>
      <c r="E14" s="31" t="str">
        <f>IF(TEXT(Настройки!$J2+TIME(0,Август!H13,0),"ч::мм")=TEXT(Настройки!$J2,"ч:мм"),"",TEXT(Настройки!$J2,"ч:мм")&amp;"-"&amp;TEXT(Настройки!$J2+TIME(0,Август!H13,0),"ч::мм"))</f>
        <v/>
      </c>
      <c r="F14" s="31" t="str">
        <f>IF(TEXT(Настройки!$J2+TIME(0,Август!I13,0),"ч::мм")=TEXT(Настройки!$J2,"ч:мм"),"",TEXT(Настройки!$J2,"ч:мм")&amp;"-"&amp;TEXT(Настройки!$J2+TIME(0,Август!I13,0),"ч::мм"))</f>
        <v/>
      </c>
      <c r="G14" s="31" t="str">
        <f>IF(TEXT(Настройки!$J2+TIME(0,Август!J13,0),"ч::мм")=TEXT(Настройки!$J2,"ч:мм"),"",TEXT(Настройки!$J2,"ч:мм")&amp;"-"&amp;TEXT(Настройки!$J2+TIME(0,Август!J13,0),"ч::мм"))</f>
        <v/>
      </c>
      <c r="H14" s="31" t="str">
        <f>IF(TEXT(Настройки!$J2+TIME(0,Август!K13,0),"ч::мм")=TEXT(Настройки!$J2,"ч:мм"),"",TEXT(Настройки!$J2,"ч:мм")&amp;"-"&amp;TEXT(Настройки!$J2+TIME(0,Август!K13,0),"ч::мм"))</f>
        <v/>
      </c>
      <c r="I14" s="31" t="str">
        <f>IF(TEXT(Настройки!$J2+TIME(0,Август!L13,0),"ч::мм")=TEXT(Настройки!$J2,"ч:мм"),"",TEXT(Настройки!$J2,"ч:мм")&amp;"-"&amp;TEXT(Настройки!$J2+TIME(0,Август!L13,0),"ч::мм"))</f>
        <v/>
      </c>
      <c r="J14" s="31" t="str">
        <f>IF(TEXT(Настройки!$J2+TIME(0,Август!M13,0),"ч::мм")=TEXT(Настройки!$J2,"ч:мм"),"",TEXT(Настройки!$J2,"ч:мм")&amp;"-"&amp;TEXT(Настройки!$J2+TIME(0,Август!M13,0),"ч::мм"))</f>
        <v/>
      </c>
      <c r="K14" s="31" t="str">
        <f>IF(TEXT(Настройки!$J2+TIME(0,Август!N13,0),"ч::мм")=TEXT(Настройки!$J2,"ч:мм"),"",TEXT(Настройки!$J2,"ч:мм")&amp;"-"&amp;TEXT(Настройки!$J2+TIME(0,Август!N13,0),"ч::мм"))</f>
        <v/>
      </c>
      <c r="L14" s="31" t="str">
        <f>IF(TEXT(Настройки!$J2+TIME(0,Август!O13,0),"ч::мм")=TEXT(Настройки!$J2,"ч:мм"),"",TEXT(Настройки!$J2,"ч:мм")&amp;"-"&amp;TEXT(Настройки!$J2+TIME(0,Август!O13,0),"ч::мм"))</f>
        <v/>
      </c>
      <c r="M14" s="31" t="str">
        <f>IF(TEXT(Настройки!$J2+TIME(0,Август!P13,0),"ч::мм")=TEXT(Настройки!$J2,"ч:мм"),"",TEXT(Настройки!$J2,"ч:мм")&amp;"-"&amp;TEXT(Настройки!$J2+TIME(0,Август!P13,0),"ч::мм"))</f>
        <v/>
      </c>
      <c r="N14" s="31" t="str">
        <f>IF(TEXT(Настройки!$J2+TIME(0,Август!Q13,0),"ч::мм")=TEXT(Настройки!$J2,"ч:мм"),"",TEXT(Настройки!$J2,"ч:мм")&amp;"-"&amp;TEXT(Настройки!$J2+TIME(0,Август!Q13,0),"ч::мм"))</f>
        <v/>
      </c>
      <c r="O14" s="31" t="str">
        <f>IF(TEXT(Настройки!$J2+TIME(0,Август!R13,0),"ч::мм")=TEXT(Настройки!$J2,"ч:мм"),"",TEXT(Настройки!$J2,"ч:мм")&amp;"-"&amp;TEXT(Настройки!$J2+TIME(0,Август!R13,0),"ч::мм"))</f>
        <v/>
      </c>
      <c r="P14" s="31" t="str">
        <f>IF(TEXT(Настройки!$J2+TIME(0,Август!S13,0),"ч::мм")=TEXT(Настройки!$J2,"ч:мм"),"",TEXT(Настройки!$J2,"ч:мм")&amp;"-"&amp;TEXT(Настройки!$J2+TIME(0,Август!S13,0),"ч::мм"))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IF(Настройки!J3&lt;&gt;"",TEXT(Настройки!J3,"ч:мм")&amp;"-"&amp;TEXT(Настройки!J3+TIME(0,MAX(Август!E14:AI14),0),"ч:мм"),"")</f>
        <v>13:00-13:00</v>
      </c>
      <c r="B15" s="31" t="str">
        <f ca="1">IF(TEXT(Настройки!$J3+TIME(0,Август!E14,0),"ч::мм")=TEXT(Настройки!$J3,"ч:мм"),"",TEXT(Настройки!$J3,"ч:мм")&amp;"-"&amp;TEXT(Настройки!$J3+TIME(0,Август!E14,0),"ч::мм"))</f>
        <v/>
      </c>
      <c r="C15" s="31" t="str">
        <f ca="1">IF(TEXT(Настройки!$J3+TIME(0,Август!F14,0),"ч::мм")=TEXT(Настройки!$J3,"ч:мм"),"",TEXT(Настройки!$J3,"ч:мм")&amp;"-"&amp;TEXT(Настройки!$J3+TIME(0,Август!F14,0),"ч::мм"))</f>
        <v/>
      </c>
      <c r="D15" s="31" t="str">
        <f ca="1">IF(TEXT(Настройки!$J3+TIME(0,Август!G14,0),"ч::мм")=TEXT(Настройки!$J3,"ч:мм"),"",TEXT(Настройки!$J3,"ч:мм")&amp;"-"&amp;TEXT(Настройки!$J3+TIME(0,Август!G14,0),"ч::мм"))</f>
        <v/>
      </c>
      <c r="E15" s="31" t="str">
        <f ca="1">IF(TEXT(Настройки!$J3+TIME(0,Август!H14,0),"ч::мм")=TEXT(Настройки!$J3,"ч:мм"),"",TEXT(Настройки!$J3,"ч:мм")&amp;"-"&amp;TEXT(Настройки!$J3+TIME(0,Август!H14,0),"ч::мм"))</f>
        <v/>
      </c>
      <c r="F15" s="31" t="str">
        <f ca="1">IF(TEXT(Настройки!$J3+TIME(0,Август!I14,0),"ч::мм")=TEXT(Настройки!$J3,"ч:мм"),"",TEXT(Настройки!$J3,"ч:мм")&amp;"-"&amp;TEXT(Настройки!$J3+TIME(0,Август!I14,0),"ч::мм"))</f>
        <v/>
      </c>
      <c r="G15" s="31" t="str">
        <f ca="1">IF(TEXT(Настройки!$J3+TIME(0,Август!J14,0),"ч::мм")=TEXT(Настройки!$J3,"ч:мм"),"",TEXT(Настройки!$J3,"ч:мм")&amp;"-"&amp;TEXT(Настройки!$J3+TIME(0,Август!J14,0),"ч::мм"))</f>
        <v/>
      </c>
      <c r="H15" s="31" t="str">
        <f ca="1">IF(TEXT(Настройки!$J3+TIME(0,Август!K14,0),"ч::мм")=TEXT(Настройки!$J3,"ч:мм"),"",TEXT(Настройки!$J3,"ч:мм")&amp;"-"&amp;TEXT(Настройки!$J3+TIME(0,Август!K14,0),"ч::мм"))</f>
        <v/>
      </c>
      <c r="I15" s="31" t="str">
        <f ca="1">IF(TEXT(Настройки!$J3+TIME(0,Август!L14,0),"ч::мм")=TEXT(Настройки!$J3,"ч:мм"),"",TEXT(Настройки!$J3,"ч:мм")&amp;"-"&amp;TEXT(Настройки!$J3+TIME(0,Август!L14,0),"ч::мм"))</f>
        <v/>
      </c>
      <c r="J15" s="31" t="str">
        <f ca="1">IF(TEXT(Настройки!$J3+TIME(0,Август!M14,0),"ч::мм")=TEXT(Настройки!$J3,"ч:мм"),"",TEXT(Настройки!$J3,"ч:мм")&amp;"-"&amp;TEXT(Настройки!$J3+TIME(0,Август!M14,0),"ч::мм"))</f>
        <v/>
      </c>
      <c r="K15" s="31" t="str">
        <f ca="1">IF(TEXT(Настройки!$J3+TIME(0,Август!N14,0),"ч::мм")=TEXT(Настройки!$J3,"ч:мм"),"",TEXT(Настройки!$J3,"ч:мм")&amp;"-"&amp;TEXT(Настройки!$J3+TIME(0,Август!N14,0),"ч::мм"))</f>
        <v/>
      </c>
      <c r="L15" s="31" t="str">
        <f ca="1">IF(TEXT(Настройки!$J3+TIME(0,Август!O14,0),"ч::мм")=TEXT(Настройки!$J3,"ч:мм"),"",TEXT(Настройки!$J3,"ч:мм")&amp;"-"&amp;TEXT(Настройки!$J3+TIME(0,Август!O14,0),"ч::мм"))</f>
        <v/>
      </c>
      <c r="M15" s="31" t="str">
        <f ca="1">IF(TEXT(Настройки!$J3+TIME(0,Август!P14,0),"ч::мм")=TEXT(Настройки!$J3,"ч:мм"),"",TEXT(Настройки!$J3,"ч:мм")&amp;"-"&amp;TEXT(Настройки!$J3+TIME(0,Август!P14,0),"ч::мм"))</f>
        <v/>
      </c>
      <c r="N15" s="31" t="str">
        <f ca="1">IF(TEXT(Настройки!$J3+TIME(0,Август!Q14,0),"ч::мм")=TEXT(Настройки!$J3,"ч:мм"),"",TEXT(Настройки!$J3,"ч:мм")&amp;"-"&amp;TEXT(Настройки!$J3+TIME(0,Август!Q14,0),"ч::мм"))</f>
        <v/>
      </c>
      <c r="O15" s="31" t="str">
        <f ca="1">IF(TEXT(Настройки!$J3+TIME(0,Август!R14,0),"ч::мм")=TEXT(Настройки!$J3,"ч:мм"),"",TEXT(Настройки!$J3,"ч:мм")&amp;"-"&amp;TEXT(Настройки!$J3+TIME(0,Август!R14,0),"ч::мм"))</f>
        <v/>
      </c>
      <c r="P15" s="31" t="str">
        <f ca="1">IF(TEXT(Настройки!$J3+TIME(0,Август!S14,0),"ч::мм")=TEXT(Настройки!$J3,"ч:мм"),"",TEXT(Настройки!$J3,"ч:мм")&amp;"-"&amp;TEXT(Настройки!$J3+TIME(0,Август!S14,0),"ч::мм"))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IF(Настройки!J4&lt;&gt;"",TEXT(Настройки!J4,"ч:мм")&amp;"-"&amp;TEXT(Настройки!J4+TIME(0,MAX(Август!E15:AI15),0),"ч:мм"),"")</f>
        <v>16:00-16:00</v>
      </c>
      <c r="B16" s="31" t="str">
        <f ca="1">IF(TEXT(Настройки!$J4+TIME(0,Август!E15,0),"ч::мм")=TEXT(Настройки!$J4,"ч:мм"),"",TEXT(Настройки!$J4,"ч:мм")&amp;"-"&amp;TEXT(Настройки!$J4+TIME(0,Август!E15,0),"ч::мм"))</f>
        <v/>
      </c>
      <c r="C16" s="31" t="str">
        <f ca="1">IF(TEXT(Настройки!$J4+TIME(0,Август!F15,0),"ч::мм")=TEXT(Настройки!$J4,"ч:мм"),"",TEXT(Настройки!$J4,"ч:мм")&amp;"-"&amp;TEXT(Настройки!$J4+TIME(0,Август!F15,0),"ч::мм"))</f>
        <v/>
      </c>
      <c r="D16" s="31" t="str">
        <f ca="1">IF(TEXT(Настройки!$J4+TIME(0,Август!G15,0),"ч::мм")=TEXT(Настройки!$J4,"ч:мм"),"",TEXT(Настройки!$J4,"ч:мм")&amp;"-"&amp;TEXT(Настройки!$J4+TIME(0,Август!G15,0),"ч::мм"))</f>
        <v/>
      </c>
      <c r="E16" s="31" t="str">
        <f ca="1">IF(TEXT(Настройки!$J4+TIME(0,Август!H15,0),"ч::мм")=TEXT(Настройки!$J4,"ч:мм"),"",TEXT(Настройки!$J4,"ч:мм")&amp;"-"&amp;TEXT(Настройки!$J4+TIME(0,Август!H15,0),"ч::мм"))</f>
        <v/>
      </c>
      <c r="F16" s="31" t="str">
        <f ca="1">IF(TEXT(Настройки!$J4+TIME(0,Август!I15,0),"ч::мм")=TEXT(Настройки!$J4,"ч:мм"),"",TEXT(Настройки!$J4,"ч:мм")&amp;"-"&amp;TEXT(Настройки!$J4+TIME(0,Август!I15,0),"ч::мм"))</f>
        <v/>
      </c>
      <c r="G16" s="31" t="str">
        <f ca="1">IF(TEXT(Настройки!$J4+TIME(0,Август!J15,0),"ч::мм")=TEXT(Настройки!$J4,"ч:мм"),"",TEXT(Настройки!$J4,"ч:мм")&amp;"-"&amp;TEXT(Настройки!$J4+TIME(0,Август!J15,0),"ч::мм"))</f>
        <v/>
      </c>
      <c r="H16" s="31" t="str">
        <f ca="1">IF(TEXT(Настройки!$J4+TIME(0,Август!K15,0),"ч::мм")=TEXT(Настройки!$J4,"ч:мм"),"",TEXT(Настройки!$J4,"ч:мм")&amp;"-"&amp;TEXT(Настройки!$J4+TIME(0,Август!K15,0),"ч::мм"))</f>
        <v/>
      </c>
      <c r="I16" s="31" t="str">
        <f ca="1">IF(TEXT(Настройки!$J4+TIME(0,Август!L15,0),"ч::мм")=TEXT(Настройки!$J4,"ч:мм"),"",TEXT(Настройки!$J4,"ч:мм")&amp;"-"&amp;TEXT(Настройки!$J4+TIME(0,Август!L15,0),"ч::мм"))</f>
        <v/>
      </c>
      <c r="J16" s="31" t="str">
        <f ca="1">IF(TEXT(Настройки!$J4+TIME(0,Август!M15,0),"ч::мм")=TEXT(Настройки!$J4,"ч:мм"),"",TEXT(Настройки!$J4,"ч:мм")&amp;"-"&amp;TEXT(Настройки!$J4+TIME(0,Август!M15,0),"ч::мм"))</f>
        <v/>
      </c>
      <c r="K16" s="31" t="str">
        <f ca="1">IF(TEXT(Настройки!$J4+TIME(0,Август!N15,0),"ч::мм")=TEXT(Настройки!$J4,"ч:мм"),"",TEXT(Настройки!$J4,"ч:мм")&amp;"-"&amp;TEXT(Настройки!$J4+TIME(0,Август!N15,0),"ч::мм"))</f>
        <v/>
      </c>
      <c r="L16" s="31" t="str">
        <f ca="1">IF(TEXT(Настройки!$J4+TIME(0,Август!O15,0),"ч::мм")=TEXT(Настройки!$J4,"ч:мм"),"",TEXT(Настройки!$J4,"ч:мм")&amp;"-"&amp;TEXT(Настройки!$J4+TIME(0,Август!O15,0),"ч::мм"))</f>
        <v/>
      </c>
      <c r="M16" s="31" t="str">
        <f ca="1">IF(TEXT(Настройки!$J4+TIME(0,Август!P15,0),"ч::мм")=TEXT(Настройки!$J4,"ч:мм"),"",TEXT(Настройки!$J4,"ч:мм")&amp;"-"&amp;TEXT(Настройки!$J4+TIME(0,Август!P15,0),"ч::мм"))</f>
        <v/>
      </c>
      <c r="N16" s="31" t="str">
        <f ca="1">IF(TEXT(Настройки!$J4+TIME(0,Август!Q15,0),"ч::мм")=TEXT(Настройки!$J4,"ч:мм"),"",TEXT(Настройки!$J4,"ч:мм")&amp;"-"&amp;TEXT(Настройки!$J4+TIME(0,Август!Q15,0),"ч::мм"))</f>
        <v/>
      </c>
      <c r="O16" s="31" t="str">
        <f ca="1">IF(TEXT(Настройки!$J4+TIME(0,Август!R15,0),"ч::мм")=TEXT(Настройки!$J4,"ч:мм"),"",TEXT(Настройки!$J4,"ч:мм")&amp;"-"&amp;TEXT(Настройки!$J4+TIME(0,Август!R15,0),"ч::мм"))</f>
        <v/>
      </c>
      <c r="P16" s="31" t="str">
        <f ca="1">IF(TEXT(Настройки!$J4+TIME(0,Август!S15,0),"ч::мм")=TEXT(Настройки!$J4,"ч:мм"),"",TEXT(Настройки!$J4,"ч:мм")&amp;"-"&amp;TEXT(Настройки!$J4+TIME(0,Август!S15,0),"ч::мм"))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Настройки!V14</f>
        <v>45520</v>
      </c>
      <c r="C20" s="30">
        <f>Настройки!W14</f>
        <v>45521</v>
      </c>
      <c r="D20" s="30">
        <f>Настройки!X14</f>
        <v>45522</v>
      </c>
      <c r="E20" s="30">
        <f>Настройки!Y14</f>
        <v>45523</v>
      </c>
      <c r="F20" s="30">
        <f>Настройки!Z14</f>
        <v>45524</v>
      </c>
      <c r="G20" s="30">
        <f>Настройки!AA14</f>
        <v>45525</v>
      </c>
      <c r="H20" s="30">
        <f>Настройки!AB14</f>
        <v>45526</v>
      </c>
      <c r="I20" s="30">
        <f>Настройки!AC14</f>
        <v>45527</v>
      </c>
      <c r="J20" s="30">
        <f>Настройки!AD14</f>
        <v>45528</v>
      </c>
      <c r="K20" s="30">
        <f>Настройки!AE14</f>
        <v>45529</v>
      </c>
      <c r="L20" s="30">
        <f>Настройки!AF14</f>
        <v>45530</v>
      </c>
      <c r="M20" s="30">
        <f>Настройки!AG14</f>
        <v>45531</v>
      </c>
      <c r="N20" s="30">
        <f>Настройки!AH14</f>
        <v>45532</v>
      </c>
      <c r="O20" s="30">
        <f>Настройки!AI14</f>
        <v>45533</v>
      </c>
      <c r="P20" s="30">
        <f>Настройки!AJ14</f>
        <v>45534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IF(TEXT(Настройки!$J2+TIME(0,Август!T13,0),"ч::мм")=TEXT(Настройки!$J2,"ч:мм"),"",TEXT(Настройки!$J2,"ч:мм")&amp;"-"&amp;TEXT(Настройки!$J2+TIME(0,Август!T13,0),"ч::мм"))</f>
        <v/>
      </c>
      <c r="C24" s="3" t="str">
        <f>IF(TEXT(Настройки!$J2+TIME(0,Август!U13,0),"ч::мм")=TEXT(Настройки!$J2,"ч:мм"),"",TEXT(Настройки!$J2,"ч:мм")&amp;"-"&amp;TEXT(Настройки!$J2+TIME(0,Август!U13,0),"ч::мм"))</f>
        <v/>
      </c>
      <c r="D24" s="3" t="str">
        <f>IF(TEXT(Настройки!$J2+TIME(0,Август!V13,0),"ч::мм")=TEXT(Настройки!$J2,"ч:мм"),"",TEXT(Настройки!$J2,"ч:мм")&amp;"-"&amp;TEXT(Настройки!$J2+TIME(0,Август!V13,0),"ч::мм"))</f>
        <v/>
      </c>
      <c r="E24" s="3" t="str">
        <f>IF(TEXT(Настройки!$J2+TIME(0,Август!W13,0),"ч::мм")=TEXT(Настройки!$J2,"ч:мм"),"",TEXT(Настройки!$J2,"ч:мм")&amp;"-"&amp;TEXT(Настройки!$J2+TIME(0,Август!W13,0),"ч::мм"))</f>
        <v/>
      </c>
      <c r="F24" s="3" t="str">
        <f>IF(TEXT(Настройки!$J2+TIME(0,Август!X13,0),"ч::мм")=TEXT(Настройки!$J2,"ч:мм"),"",TEXT(Настройки!$J2,"ч:мм")&amp;"-"&amp;TEXT(Настройки!$J2+TIME(0,Август!X13,0),"ч::мм"))</f>
        <v/>
      </c>
      <c r="G24" s="3" t="str">
        <f>IF(TEXT(Настройки!$J2+TIME(0,Август!Y13,0),"ч::мм")=TEXT(Настройки!$J2,"ч:мм"),"",TEXT(Настройки!$J2,"ч:мм")&amp;"-"&amp;TEXT(Настройки!$J2+TIME(0,Август!Y13,0),"ч::мм"))</f>
        <v/>
      </c>
      <c r="H24" s="3" t="str">
        <f>IF(TEXT(Настройки!$J2+TIME(0,Август!Z13,0),"ч::мм")=TEXT(Настройки!$J2,"ч:мм"),"",TEXT(Настройки!$J2,"ч:мм")&amp;"-"&amp;TEXT(Настройки!$J2+TIME(0,Август!Z13,0),"ч::мм"))</f>
        <v/>
      </c>
      <c r="I24" s="3" t="str">
        <f>IF(TEXT(Настройки!$J2+TIME(0,Август!AA13,0),"ч::мм")=TEXT(Настройки!$J2,"ч:мм"),"",TEXT(Настройки!$J2,"ч:мм")&amp;"-"&amp;TEXT(Настройки!$J2+TIME(0,Август!AA13,0),"ч::мм"))</f>
        <v/>
      </c>
      <c r="J24" s="3" t="str">
        <f>IF(TEXT(Настройки!$J2+TIME(0,Август!AB13,0),"ч::мм")=TEXT(Настройки!$J2,"ч:мм"),"",TEXT(Настройки!$J2,"ч:мм")&amp;"-"&amp;TEXT(Настройки!$J2+TIME(0,Август!AB13,0),"ч::мм"))</f>
        <v/>
      </c>
      <c r="K24" s="3" t="str">
        <f>IF(TEXT(Настройки!$J2+TIME(0,Август!AC13,0),"ч::мм")=TEXT(Настройки!$J2,"ч:мм"),"",TEXT(Настройки!$J2,"ч:мм")&amp;"-"&amp;TEXT(Настройки!$J2+TIME(0,Август!AC13,0),"ч::мм"))</f>
        <v/>
      </c>
      <c r="L24" s="3" t="str">
        <f>IF(TEXT(Настройки!$J2+TIME(0,Август!AD13,0),"ч::мм")=TEXT(Настройки!$J2,"ч:мм"),"",TEXT(Настройки!$J2,"ч:мм")&amp;"-"&amp;TEXT(Настройки!$J2+TIME(0,Август!AD13,0),"ч::мм"))</f>
        <v/>
      </c>
      <c r="M24" s="3" t="str">
        <f>IF(TEXT(Настройки!$J2+TIME(0,Август!AE13,0),"ч::мм")=TEXT(Настройки!$J2,"ч:мм"),"",TEXT(Настройки!$J2,"ч:мм")&amp;"-"&amp;TEXT(Настройки!$J2+TIME(0,Август!AE13,0),"ч::мм"))</f>
        <v/>
      </c>
      <c r="N24" s="3" t="str">
        <f>IF(TEXT(Настройки!$J2+TIME(0,Август!AF13,0),"ч::мм")=TEXT(Настройки!$J2,"ч:мм"),"",TEXT(Настройки!$J2,"ч:мм")&amp;"-"&amp;TEXT(Настройки!$J2+TIME(0,Август!AF13,0),"ч::мм"))</f>
        <v/>
      </c>
      <c r="O24" s="3" t="str">
        <f>IF(TEXT(Настройки!$J2+TIME(0,Август!AG13,0),"ч::мм")=TEXT(Настройки!$J2,"ч:мм"),"",TEXT(Настройки!$J2,"ч:мм")&amp;"-"&amp;TEXT(Настройки!$J2+TIME(0,Август!AG13,0),"ч::мм"))</f>
        <v/>
      </c>
      <c r="P24" s="3" t="str">
        <f>IF(TEXT(Настройки!$J2+TIME(0,Август!AH13,0),"ч::мм")=TEXT(Настройки!$J2,"ч:мм"),"",TEXT(Настройки!$J2,"ч:мм")&amp;"-"&amp;TEXT(Настройки!$J2+TIME(0,Август!AH13,0),"ч::мм"))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IF(TEXT(Настройки!$J3+TIME(0,Август!T14,0),"ч::мм")=TEXT(Настройки!$J3,"ч:мм"),"",TEXT(Настройки!$J3,"ч:мм")&amp;"-"&amp;TEXT(Настройки!$J3+TIME(0,Август!T14,0),"ч::мм"))</f>
        <v/>
      </c>
      <c r="C25" s="3" t="str">
        <f ca="1">IF(TEXT(Настройки!$J3+TIME(0,Август!U14,0),"ч::мм")=TEXT(Настройки!$J3,"ч:мм"),"",TEXT(Настройки!$J3,"ч:мм")&amp;"-"&amp;TEXT(Настройки!$J3+TIME(0,Август!U14,0),"ч::мм"))</f>
        <v/>
      </c>
      <c r="D25" s="3" t="str">
        <f ca="1">IF(TEXT(Настройки!$J3+TIME(0,Август!V14,0),"ч::мм")=TEXT(Настройки!$J3,"ч:мм"),"",TEXT(Настройки!$J3,"ч:мм")&amp;"-"&amp;TEXT(Настройки!$J3+TIME(0,Август!V14,0),"ч::мм"))</f>
        <v/>
      </c>
      <c r="E25" s="3" t="str">
        <f ca="1">IF(TEXT(Настройки!$J3+TIME(0,Август!W14,0),"ч::мм")=TEXT(Настройки!$J3,"ч:мм"),"",TEXT(Настройки!$J3,"ч:мм")&amp;"-"&amp;TEXT(Настройки!$J3+TIME(0,Август!W14,0),"ч::мм"))</f>
        <v/>
      </c>
      <c r="F25" s="3" t="str">
        <f ca="1">IF(TEXT(Настройки!$J3+TIME(0,Август!X14,0),"ч::мм")=TEXT(Настройки!$J3,"ч:мм"),"",TEXT(Настройки!$J3,"ч:мм")&amp;"-"&amp;TEXT(Настройки!$J3+TIME(0,Август!X14,0),"ч::мм"))</f>
        <v/>
      </c>
      <c r="G25" s="3" t="str">
        <f ca="1">IF(TEXT(Настройки!$J3+TIME(0,Август!Y14,0),"ч::мм")=TEXT(Настройки!$J3,"ч:мм"),"",TEXT(Настройки!$J3,"ч:мм")&amp;"-"&amp;TEXT(Настройки!$J3+TIME(0,Август!Y14,0),"ч::мм"))</f>
        <v/>
      </c>
      <c r="H25" s="3" t="str">
        <f ca="1">IF(TEXT(Настройки!$J3+TIME(0,Август!Z14,0),"ч::мм")=TEXT(Настройки!$J3,"ч:мм"),"",TEXT(Настройки!$J3,"ч:мм")&amp;"-"&amp;TEXT(Настройки!$J3+TIME(0,Август!Z14,0),"ч::мм"))</f>
        <v/>
      </c>
      <c r="I25" s="3" t="str">
        <f ca="1">IF(TEXT(Настройки!$J3+TIME(0,Август!AA14,0),"ч::мм")=TEXT(Настройки!$J3,"ч:мм"),"",TEXT(Настройки!$J3,"ч:мм")&amp;"-"&amp;TEXT(Настройки!$J3+TIME(0,Август!AA14,0),"ч::мм"))</f>
        <v/>
      </c>
      <c r="J25" s="3" t="str">
        <f ca="1">IF(TEXT(Настройки!$J3+TIME(0,Август!AB14,0),"ч::мм")=TEXT(Настройки!$J3,"ч:мм"),"",TEXT(Настройки!$J3,"ч:мм")&amp;"-"&amp;TEXT(Настройки!$J3+TIME(0,Август!AB14,0),"ч::мм"))</f>
        <v/>
      </c>
      <c r="K25" s="3" t="str">
        <f ca="1">IF(TEXT(Настройки!$J3+TIME(0,Август!AC14,0),"ч::мм")=TEXT(Настройки!$J3,"ч:мм"),"",TEXT(Настройки!$J3,"ч:мм")&amp;"-"&amp;TEXT(Настройки!$J3+TIME(0,Август!AC14,0),"ч::мм"))</f>
        <v/>
      </c>
      <c r="L25" s="3" t="str">
        <f ca="1">IF(TEXT(Настройки!$J3+TIME(0,Август!AD14,0),"ч::мм")=TEXT(Настройки!$J3,"ч:мм"),"",TEXT(Настройки!$J3,"ч:мм")&amp;"-"&amp;TEXT(Настройки!$J3+TIME(0,Август!AD14,0),"ч::мм"))</f>
        <v/>
      </c>
      <c r="M25" s="3" t="str">
        <f ca="1">IF(TEXT(Настройки!$J3+TIME(0,Август!AE14,0),"ч::мм")=TEXT(Настройки!$J3,"ч:мм"),"",TEXT(Настройки!$J3,"ч:мм")&amp;"-"&amp;TEXT(Настройки!$J3+TIME(0,Август!AE14,0),"ч::мм"))</f>
        <v/>
      </c>
      <c r="N25" s="3" t="str">
        <f ca="1">IF(TEXT(Настройки!$J3+TIME(0,Август!AF14,0),"ч::мм")=TEXT(Настройки!$J3,"ч:мм"),"",TEXT(Настройки!$J3,"ч:мм")&amp;"-"&amp;TEXT(Настройки!$J3+TIME(0,Август!AF14,0),"ч::мм"))</f>
        <v/>
      </c>
      <c r="O25" s="3" t="str">
        <f ca="1">IF(TEXT(Настройки!$J3+TIME(0,Август!AG14,0),"ч::мм")=TEXT(Настройки!$J3,"ч:мм"),"",TEXT(Настройки!$J3,"ч:мм")&amp;"-"&amp;TEXT(Настройки!$J3+TIME(0,Август!AG14,0),"ч::мм"))</f>
        <v/>
      </c>
      <c r="P25" s="3" t="str">
        <f ca="1">IF(TEXT(Настройки!$J3+TIME(0,Август!AH14,0),"ч::мм")=TEXT(Настройки!$J3,"ч:мм"),"",TEXT(Настройки!$J3,"ч:мм")&amp;"-"&amp;TEXT(Настройки!$J3+TIME(0,Август!AH14,0),"ч::мм"))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IF(TEXT(Настройки!$J4+TIME(0,Август!T15,0),"ч::мм")=TEXT(Настройки!$J4,"ч:мм"),"",TEXT(Настройки!$J4,"ч:мм")&amp;"-"&amp;TEXT(Настройки!$J4+TIME(0,Август!T15,0),"ч::мм"))</f>
        <v/>
      </c>
      <c r="C26" s="3" t="str">
        <f ca="1">IF(TEXT(Настройки!$J4+TIME(0,Август!U15,0),"ч::мм")=TEXT(Настройки!$J4,"ч:мм"),"",TEXT(Настройки!$J4,"ч:мм")&amp;"-"&amp;TEXT(Настройки!$J4+TIME(0,Август!U15,0),"ч::мм"))</f>
        <v/>
      </c>
      <c r="D26" s="3" t="str">
        <f ca="1">IF(TEXT(Настройки!$J4+TIME(0,Август!V15,0),"ч::мм")=TEXT(Настройки!$J4,"ч:мм"),"",TEXT(Настройки!$J4,"ч:мм")&amp;"-"&amp;TEXT(Настройки!$J4+TIME(0,Август!V15,0),"ч::мм"))</f>
        <v/>
      </c>
      <c r="E26" s="3" t="str">
        <f ca="1">IF(TEXT(Настройки!$J4+TIME(0,Август!W15,0),"ч::мм")=TEXT(Настройки!$J4,"ч:мм"),"",TEXT(Настройки!$J4,"ч:мм")&amp;"-"&amp;TEXT(Настройки!$J4+TIME(0,Август!W15,0),"ч::мм"))</f>
        <v/>
      </c>
      <c r="F26" s="3" t="str">
        <f ca="1">IF(TEXT(Настройки!$J4+TIME(0,Август!X15,0),"ч::мм")=TEXT(Настройки!$J4,"ч:мм"),"",TEXT(Настройки!$J4,"ч:мм")&amp;"-"&amp;TEXT(Настройки!$J4+TIME(0,Август!X15,0),"ч::мм"))</f>
        <v/>
      </c>
      <c r="G26" s="3" t="str">
        <f ca="1">IF(TEXT(Настройки!$J4+TIME(0,Август!Y15,0),"ч::мм")=TEXT(Настройки!$J4,"ч:мм"),"",TEXT(Настройки!$J4,"ч:мм")&amp;"-"&amp;TEXT(Настройки!$J4+TIME(0,Август!Y15,0),"ч::мм"))</f>
        <v/>
      </c>
      <c r="H26" s="3" t="str">
        <f ca="1">IF(TEXT(Настройки!$J4+TIME(0,Август!Z15,0),"ч::мм")=TEXT(Настройки!$J4,"ч:мм"),"",TEXT(Настройки!$J4,"ч:мм")&amp;"-"&amp;TEXT(Настройки!$J4+TIME(0,Август!Z15,0),"ч::мм"))</f>
        <v/>
      </c>
      <c r="I26" s="3" t="str">
        <f ca="1">IF(TEXT(Настройки!$J4+TIME(0,Август!AA15,0),"ч::мм")=TEXT(Настройки!$J4,"ч:мм"),"",TEXT(Настройки!$J4,"ч:мм")&amp;"-"&amp;TEXT(Настройки!$J4+TIME(0,Август!AA15,0),"ч::мм"))</f>
        <v/>
      </c>
      <c r="J26" s="3" t="str">
        <f ca="1">IF(TEXT(Настройки!$J4+TIME(0,Август!AB15,0),"ч::мм")=TEXT(Настройки!$J4,"ч:мм"),"",TEXT(Настройки!$J4,"ч:мм")&amp;"-"&amp;TEXT(Настройки!$J4+TIME(0,Август!AB15,0),"ч::мм"))</f>
        <v/>
      </c>
      <c r="K26" s="3" t="str">
        <f ca="1">IF(TEXT(Настройки!$J4+TIME(0,Август!AC15,0),"ч::мм")=TEXT(Настройки!$J4,"ч:мм"),"",TEXT(Настройки!$J4,"ч:мм")&amp;"-"&amp;TEXT(Настройки!$J4+TIME(0,Август!AC15,0),"ч::мм"))</f>
        <v/>
      </c>
      <c r="L26" s="3" t="str">
        <f ca="1">IF(TEXT(Настройки!$J4+TIME(0,Август!AD15,0),"ч::мм")=TEXT(Настройки!$J4,"ч:мм"),"",TEXT(Настройки!$J4,"ч:мм")&amp;"-"&amp;TEXT(Настройки!$J4+TIME(0,Август!AD15,0),"ч::мм"))</f>
        <v/>
      </c>
      <c r="M26" s="3" t="str">
        <f ca="1">IF(TEXT(Настройки!$J4+TIME(0,Август!AE15,0),"ч::мм")=TEXT(Настройки!$J4,"ч:мм"),"",TEXT(Настройки!$J4,"ч:мм")&amp;"-"&amp;TEXT(Настройки!$J4+TIME(0,Август!AE15,0),"ч::мм"))</f>
        <v/>
      </c>
      <c r="N26" s="3" t="str">
        <f ca="1">IF(TEXT(Настройки!$J4+TIME(0,Август!AF15,0),"ч::мм")=TEXT(Настройки!$J4,"ч:мм"),"",TEXT(Настройки!$J4,"ч:мм")&amp;"-"&amp;TEXT(Настройки!$J4+TIME(0,Август!AF15,0),"ч::мм"))</f>
        <v/>
      </c>
      <c r="O26" s="3" t="str">
        <f ca="1">IF(TEXT(Настройки!$J4+TIME(0,Август!AG15,0),"ч::мм")=TEXT(Настройки!$J4,"ч:мм"),"",TEXT(Настройки!$J4,"ч:мм")&amp;"-"&amp;TEXT(Настройки!$J4+TIME(0,Август!AG15,0),"ч::мм"))</f>
        <v/>
      </c>
      <c r="P26" s="3" t="str">
        <f ca="1">IF(TEXT(Настройки!$J4+TIME(0,Август!AH15,0),"ч::мм")=TEXT(Настройки!$J4,"ч:мм"),"",TEXT(Настройки!$J4,"ч:мм")&amp;"-"&amp;TEXT(Настройки!$J4+TIME(0,Август!AH15,0),"ч::мм"))</f>
        <v/>
      </c>
    </row>
    <row r="27" spans="1:18" x14ac:dyDescent="0.25">
      <c r="Q27" s="10"/>
      <c r="R27" s="10"/>
    </row>
    <row r="28" spans="1:18" x14ac:dyDescent="0.25">
      <c r="A28" s="72"/>
      <c r="B28" s="57" t="s">
        <v>55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2"/>
      <c r="Q28" s="34"/>
      <c r="R28" s="10"/>
    </row>
    <row r="29" spans="1:18" x14ac:dyDescent="0.25">
      <c r="A29" s="79"/>
      <c r="B29" s="83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5"/>
      <c r="Q29" s="34"/>
      <c r="R29" s="10"/>
    </row>
    <row r="30" spans="1:18" x14ac:dyDescent="0.25">
      <c r="A30" s="79"/>
      <c r="B30" s="30">
        <f>Настройки!AK14</f>
        <v>45535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2"/>
      <c r="R30" s="10"/>
    </row>
    <row r="31" spans="1:18" x14ac:dyDescent="0.25">
      <c r="A31" s="79"/>
      <c r="B31" s="57" t="s">
        <v>54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2"/>
      <c r="Q31" s="34"/>
      <c r="R31" s="10"/>
    </row>
    <row r="32" spans="1:18" x14ac:dyDescent="0.25">
      <c r="A32" s="80"/>
      <c r="B32" s="83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5"/>
      <c r="Q32" s="34"/>
      <c r="R32" s="10"/>
    </row>
    <row r="33" spans="1:16" x14ac:dyDescent="0.25">
      <c r="A33" s="3" t="s">
        <v>138</v>
      </c>
      <c r="B33" s="3" t="s">
        <v>113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3" t="str">
        <f t="shared" ref="A34:A36" si="1">A14</f>
        <v>9:00-9:00</v>
      </c>
      <c r="B34" s="3" t="str">
        <f>IF(TEXT(Настройки!$J2+TIME(0,Август!AI13,0),"ч::мм")=TEXT(Настройки!$J2,"ч:мм"),"",TEXT(Настройки!$J2,"ч:мм")&amp;"-"&amp;TEXT(Настройки!$J2+TIME(0,Август!AI13,0),"ч::мм"))</f>
        <v/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</row>
    <row r="35" spans="1:16" x14ac:dyDescent="0.25">
      <c r="A35" s="33" t="str">
        <f t="shared" ca="1" si="1"/>
        <v>13:00-13:00</v>
      </c>
      <c r="B35" s="3" t="str">
        <f ca="1">IF(TEXT(Настройки!$J3+TIME(0,Август!AI14,0),"ч::мм")=TEXT(Настройки!$J3,"ч:мм"),"",TEXT(Настройки!$J3,"ч:мм")&amp;"-"&amp;TEXT(Настройки!$J3+TIME(0,Август!AI14,0),"ч::мм"))</f>
        <v/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1:16" x14ac:dyDescent="0.25">
      <c r="A36" s="33" t="str">
        <f t="shared" ca="1" si="1"/>
        <v>16:00-16:00</v>
      </c>
      <c r="B36" s="3" t="str">
        <f ca="1">IF(TEXT(Настройки!$J4+TIME(0,Август!AI15,0),"ч::мм")=TEXT(Настройки!$J4,"ч:мм"),"",TEXT(Настройки!$J4,"ч:мм")&amp;"-"&amp;TEXT(Настройки!$J4+TIME(0,Август!AI15,0),"ч::мм"))</f>
        <v/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</sheetData>
  <mergeCells count="12">
    <mergeCell ref="A18:A22"/>
    <mergeCell ref="B18:P19"/>
    <mergeCell ref="B21:P22"/>
    <mergeCell ref="A28:A32"/>
    <mergeCell ref="B28:P29"/>
    <mergeCell ref="B31:P32"/>
    <mergeCell ref="A2:P2"/>
    <mergeCell ref="F6:G6"/>
    <mergeCell ref="H6:I6"/>
    <mergeCell ref="A8:A12"/>
    <mergeCell ref="B8:P9"/>
    <mergeCell ref="B11:P12"/>
  </mergeCells>
  <conditionalFormatting sqref="B10:P10">
    <cfRule type="expression" dxfId="477" priority="3">
      <formula>WEEKDAY(B10:P10,2)&gt;5</formula>
    </cfRule>
  </conditionalFormatting>
  <conditionalFormatting sqref="B20:P20">
    <cfRule type="expression" dxfId="476" priority="2">
      <formula>WEEKDAY(B20:P20,2)&gt;5</formula>
    </cfRule>
  </conditionalFormatting>
  <conditionalFormatting sqref="B30">
    <cfRule type="expression" dxfId="475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4" tint="0.39997558519241921"/>
    <pageSetUpPr fitToPage="1"/>
  </sheetPr>
  <dimension ref="A2:AK28"/>
  <sheetViews>
    <sheetView zoomScale="60" zoomScaleNormal="6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4.140625" style="3" customWidth="1"/>
    <col min="3" max="3" width="17.5703125" style="3" customWidth="1"/>
    <col min="4" max="4" width="9.28515625" style="3" customWidth="1"/>
    <col min="5" max="5" width="11.28515625" style="3" bestFit="1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7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7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7" ht="18.75" x14ac:dyDescent="0.25">
      <c r="C5" s="15"/>
      <c r="L5" s="11" t="s">
        <v>69</v>
      </c>
      <c r="M5" s="77" t="s">
        <v>70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7" ht="18.75" x14ac:dyDescent="0.25">
      <c r="C6" s="15"/>
      <c r="L6" s="11"/>
      <c r="M6" s="17"/>
      <c r="N6" s="26"/>
      <c r="O6" s="26"/>
      <c r="P6" s="26"/>
      <c r="Q6" s="26"/>
      <c r="R6" s="17"/>
      <c r="S6" s="26"/>
      <c r="T6" s="13"/>
      <c r="U6" s="13"/>
    </row>
    <row r="7" spans="1:37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59"/>
      <c r="AI7" s="53" t="s">
        <v>64</v>
      </c>
      <c r="AJ7" s="53" t="s">
        <v>64</v>
      </c>
      <c r="AK7" s="4"/>
    </row>
    <row r="8" spans="1:37" ht="15.75" customHeight="1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9"/>
      <c r="AI8" s="53"/>
      <c r="AJ8" s="53"/>
      <c r="AK8" s="4"/>
    </row>
    <row r="9" spans="1:37" x14ac:dyDescent="0.25">
      <c r="A9" s="63"/>
      <c r="B9" s="66"/>
      <c r="C9" s="66"/>
      <c r="D9" s="73"/>
      <c r="E9" s="18">
        <f>Настройки!G15</f>
        <v>45536</v>
      </c>
      <c r="F9" s="18">
        <f>Настройки!H15</f>
        <v>45537</v>
      </c>
      <c r="G9" s="18">
        <f>Настройки!I15</f>
        <v>45538</v>
      </c>
      <c r="H9" s="18">
        <f>Настройки!J15</f>
        <v>45539</v>
      </c>
      <c r="I9" s="18">
        <f>Настройки!K15</f>
        <v>45540</v>
      </c>
      <c r="J9" s="18">
        <f>Настройки!L15</f>
        <v>45541</v>
      </c>
      <c r="K9" s="18">
        <f>Настройки!M15</f>
        <v>45542</v>
      </c>
      <c r="L9" s="18">
        <f>Настройки!N15</f>
        <v>45543</v>
      </c>
      <c r="M9" s="18">
        <f>Настройки!O15</f>
        <v>45544</v>
      </c>
      <c r="N9" s="18">
        <f>Настройки!P15</f>
        <v>45545</v>
      </c>
      <c r="O9" s="18">
        <f>Настройки!Q15</f>
        <v>45546</v>
      </c>
      <c r="P9" s="18">
        <f>Настройки!R15</f>
        <v>45547</v>
      </c>
      <c r="Q9" s="18">
        <f>Настройки!S15</f>
        <v>45548</v>
      </c>
      <c r="R9" s="18">
        <f>Настройки!T15</f>
        <v>45549</v>
      </c>
      <c r="S9" s="18">
        <f>Настройки!U15</f>
        <v>45550</v>
      </c>
      <c r="T9" s="18">
        <f>Настройки!V15</f>
        <v>45551</v>
      </c>
      <c r="U9" s="18">
        <f>Настройки!W15</f>
        <v>45552</v>
      </c>
      <c r="V9" s="18">
        <f>Настройки!X15</f>
        <v>45553</v>
      </c>
      <c r="W9" s="18">
        <f>Настройки!Y15</f>
        <v>45554</v>
      </c>
      <c r="X9" s="18">
        <f>Настройки!Z15</f>
        <v>45555</v>
      </c>
      <c r="Y9" s="18">
        <f>Настройки!AA15</f>
        <v>45556</v>
      </c>
      <c r="Z9" s="18">
        <f>Настройки!AB15</f>
        <v>45557</v>
      </c>
      <c r="AA9" s="18">
        <f>Настройки!AC15</f>
        <v>45558</v>
      </c>
      <c r="AB9" s="18">
        <f>Настройки!AD15</f>
        <v>45559</v>
      </c>
      <c r="AC9" s="18">
        <f>Настройки!AE15</f>
        <v>45560</v>
      </c>
      <c r="AD9" s="18">
        <f>Настройки!AF15</f>
        <v>45561</v>
      </c>
      <c r="AE9" s="18">
        <f>Настройки!AG15</f>
        <v>45562</v>
      </c>
      <c r="AF9" s="18">
        <f>Настройки!AH15</f>
        <v>45563</v>
      </c>
      <c r="AG9" s="18">
        <f>Настройки!AI15</f>
        <v>45564</v>
      </c>
      <c r="AH9" s="18">
        <f>Настройки!AJ15</f>
        <v>45565</v>
      </c>
      <c r="AI9" s="53"/>
      <c r="AJ9" s="53"/>
      <c r="AK9" s="4"/>
    </row>
    <row r="10" spans="1:37" ht="15.75" customHeight="1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86"/>
      <c r="AI10" s="53"/>
      <c r="AJ10" s="53"/>
      <c r="AK10" s="4"/>
    </row>
    <row r="11" spans="1:37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2"/>
      <c r="AI11" s="53"/>
      <c r="AJ11" s="53"/>
    </row>
    <row r="12" spans="1:37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14" t="s">
        <v>75</v>
      </c>
      <c r="F12" s="14" t="s">
        <v>76</v>
      </c>
      <c r="G12" s="14" t="s">
        <v>77</v>
      </c>
      <c r="H12" s="14" t="s">
        <v>78</v>
      </c>
      <c r="I12" s="14" t="s">
        <v>79</v>
      </c>
      <c r="J12" s="14" t="s">
        <v>80</v>
      </c>
      <c r="K12" s="14" t="s">
        <v>81</v>
      </c>
      <c r="L12" s="14" t="s">
        <v>82</v>
      </c>
      <c r="M12" s="14" t="s">
        <v>83</v>
      </c>
      <c r="N12" s="14" t="s">
        <v>84</v>
      </c>
      <c r="O12" s="14" t="s">
        <v>85</v>
      </c>
      <c r="P12" s="14" t="s">
        <v>86</v>
      </c>
      <c r="Q12" s="14" t="s">
        <v>87</v>
      </c>
      <c r="R12" s="14" t="s">
        <v>88</v>
      </c>
      <c r="S12" s="14" t="s">
        <v>89</v>
      </c>
      <c r="T12" s="14" t="s">
        <v>90</v>
      </c>
      <c r="U12" s="14" t="s">
        <v>91</v>
      </c>
      <c r="V12" s="14" t="s">
        <v>92</v>
      </c>
      <c r="W12" s="14" t="s">
        <v>93</v>
      </c>
      <c r="X12" s="14" t="s">
        <v>94</v>
      </c>
      <c r="Y12" s="14" t="s">
        <v>95</v>
      </c>
      <c r="Z12" s="14" t="s">
        <v>96</v>
      </c>
      <c r="AA12" s="14" t="s">
        <v>97</v>
      </c>
      <c r="AB12" s="14" t="s">
        <v>98</v>
      </c>
      <c r="AC12" s="14" t="s">
        <v>99</v>
      </c>
      <c r="AD12" s="14" t="s">
        <v>100</v>
      </c>
      <c r="AE12" s="14" t="s">
        <v>101</v>
      </c>
      <c r="AF12" s="14" t="s">
        <v>102</v>
      </c>
      <c r="AG12" s="14" t="s">
        <v>103</v>
      </c>
      <c r="AH12" s="14" t="s">
        <v>104</v>
      </c>
      <c r="AI12" s="3" t="s">
        <v>62</v>
      </c>
      <c r="AJ12" s="3" t="s">
        <v>63</v>
      </c>
    </row>
    <row r="13" spans="1:37" ht="22.5" customHeight="1" x14ac:dyDescent="0.25">
      <c r="A13" s="5" t="s">
        <v>56</v>
      </c>
      <c r="B13" s="3">
        <f ca="1">SUMPRODUCT((Настройки!$G$29:$AJ$29=1)*E16:AH16)</f>
        <v>0</v>
      </c>
      <c r="C13" s="14"/>
      <c r="D13" s="5">
        <v>1</v>
      </c>
      <c r="E13" s="3">
        <f>SUMPRODUCT((Сентябрь[№]=1)*Сентябрь[1],Сентябрь[Периодичность])</f>
        <v>0</v>
      </c>
      <c r="F13" s="24">
        <f>SUMPRODUCT((Сентябрь[№]=1)*Сентябрь[2],Сентябрь[Периодичность])</f>
        <v>0</v>
      </c>
      <c r="G13" s="24">
        <f>SUMPRODUCT((Сентябрь[№]=1)*Сентябрь[3],Сентябрь[Периодичность])</f>
        <v>0</v>
      </c>
      <c r="H13" s="24">
        <f>SUMPRODUCT((Сентябрь[№]=1)*Сентябрь[4],Сентябрь[Периодичность])</f>
        <v>0</v>
      </c>
      <c r="I13" s="24">
        <f>SUMPRODUCT((Сентябрь[№]=1)*Сентябрь[5],Сентябрь[Периодичность])</f>
        <v>0</v>
      </c>
      <c r="J13" s="24">
        <f>SUMPRODUCT((Сентябрь[№]=1)*Сентябрь[6],Сентябрь[Периодичность])</f>
        <v>0</v>
      </c>
      <c r="K13" s="24">
        <f>SUMPRODUCT((Сентябрь[№]=1)*Сентябрь[7],Сентябрь[Периодичность])</f>
        <v>0</v>
      </c>
      <c r="L13" s="24">
        <f>SUMPRODUCT((Сентябрь[№]=1)*Сентябрь[8],Сентябрь[Периодичность])</f>
        <v>0</v>
      </c>
      <c r="M13" s="24">
        <f>SUMPRODUCT((Сентябрь[№]=1)*Сентябрь[9],Сентябрь[Периодичность])</f>
        <v>0</v>
      </c>
      <c r="N13" s="24">
        <f>SUMPRODUCT((Сентябрь[№]=1)*Сентябрь[10],Сентябрь[Периодичность])</f>
        <v>0</v>
      </c>
      <c r="O13" s="24">
        <f>SUMPRODUCT((Сентябрь[№]=1)*Сентябрь[11],Сентябрь[Периодичность])</f>
        <v>0</v>
      </c>
      <c r="P13" s="24">
        <f>SUMPRODUCT((Сентябрь[№]=1)*Сентябрь[12],Сентябрь[Периодичность])</f>
        <v>0</v>
      </c>
      <c r="Q13" s="24">
        <f>SUMPRODUCT((Сентябрь[№]=1)*Сентябрь[13],Сентябрь[Периодичность])</f>
        <v>0</v>
      </c>
      <c r="R13" s="24">
        <f>SUMPRODUCT((Сентябрь[№]=1)*Сентябрь[14],Сентябрь[Периодичность])</f>
        <v>0</v>
      </c>
      <c r="S13" s="24">
        <f>SUMPRODUCT((Сентябрь[№]=1)*Сентябрь[15],Сентябрь[Периодичность])</f>
        <v>0</v>
      </c>
      <c r="T13" s="24">
        <f>SUMPRODUCT((Сентябрь[№]=1)*Сентябрь[16],Сентябрь[Периодичность])</f>
        <v>0</v>
      </c>
      <c r="U13" s="24">
        <f>SUMPRODUCT((Сентябрь[№]=1)*Сентябрь[17],Сентябрь[Периодичность])</f>
        <v>0</v>
      </c>
      <c r="V13" s="24">
        <f>SUMPRODUCT((Сентябрь[№]=1)*Сентябрь[18],Сентябрь[Периодичность])</f>
        <v>0</v>
      </c>
      <c r="W13" s="24">
        <f>SUMPRODUCT((Сентябрь[№]=1)*Сентябрь[19],Сентябрь[Периодичность])</f>
        <v>0</v>
      </c>
      <c r="X13" s="24">
        <f>SUMPRODUCT((Сентябрь[№]=1)*Сентябрь[20],Сентябрь[Периодичность])</f>
        <v>0</v>
      </c>
      <c r="Y13" s="24">
        <f>SUMPRODUCT((Сентябрь[№]=1)*Сентябрь[21],Сентябрь[Периодичность])</f>
        <v>0</v>
      </c>
      <c r="Z13" s="24">
        <f>SUMPRODUCT((Сентябрь[№]=1)*Сентябрь[22],Сентябрь[Периодичность])</f>
        <v>0</v>
      </c>
      <c r="AA13" s="24">
        <f>SUMPRODUCT((Сентябрь[№]=1)*Сентябрь[23],Сентябрь[Периодичность])</f>
        <v>0</v>
      </c>
      <c r="AB13" s="24">
        <f>SUMPRODUCT((Сентябрь[№]=1)*Сентябрь[24],Сентябрь[Периодичность])</f>
        <v>0</v>
      </c>
      <c r="AC13" s="24">
        <f>SUMPRODUCT((Сентябрь[№]=1)*Сентябрь[25],Сентябрь[Периодичность])</f>
        <v>0</v>
      </c>
      <c r="AD13" s="24">
        <f>SUMPRODUCT((Сентябрь[№]=1)*Сентябрь[26],Сентябрь[Периодичность])</f>
        <v>0</v>
      </c>
      <c r="AE13" s="24">
        <f>SUMPRODUCT((Сентябрь[№]=1)*Сентябрь[27],Сентябрь[Периодичность])</f>
        <v>0</v>
      </c>
      <c r="AF13" s="24">
        <f>SUMPRODUCT((Сентябрь[№]=1)*Сентябрь[28],Сентябрь[Периодичность])</f>
        <v>0</v>
      </c>
      <c r="AG13" s="24">
        <f>SUMPRODUCT((Сентябрь[№]=1)*Сентябрь[29],Сентябрь[Периодичность])</f>
        <v>0</v>
      </c>
      <c r="AH13" s="24">
        <f>SUMPRODUCT((Сентябрь[№]=1)*Сентябрь[30],Сентябрь[Периодичность])</f>
        <v>0</v>
      </c>
    </row>
    <row r="14" spans="1:37" ht="20.25" customHeight="1" x14ac:dyDescent="0.25">
      <c r="B14" s="3">
        <f ca="1">SUMPRODUCT((Настройки!$G$29:$AJ$29=2)*E16:AH16)</f>
        <v>0</v>
      </c>
      <c r="D14" s="5">
        <v>2</v>
      </c>
      <c r="E14" s="3">
        <f ca="1">SUMPRODUCT((Сентябрь[№]=2)*Сентябрь[1],OFFSET(Сентябрь[Периодичность],-1,0))</f>
        <v>0</v>
      </c>
      <c r="F14" s="24">
        <f ca="1">SUMPRODUCT((Сентябрь[№]=2)*Сентябрь[2],OFFSET(Сентябрь[Периодичность],-1,0))</f>
        <v>0</v>
      </c>
      <c r="G14" s="24">
        <f ca="1">SUMPRODUCT((Сентябрь[№]=2)*Сентябрь[3],OFFSET(Сентябрь[Периодичность],-1,0))</f>
        <v>0</v>
      </c>
      <c r="H14" s="24">
        <f ca="1">SUMPRODUCT((Сентябрь[№]=2)*Сентябрь[4],OFFSET(Сентябрь[Периодичность],-1,0))</f>
        <v>0</v>
      </c>
      <c r="I14" s="24">
        <f ca="1">SUMPRODUCT((Сентябрь[№]=2)*Сентябрь[5],OFFSET(Сентябрь[Периодичность],-1,0))</f>
        <v>0</v>
      </c>
      <c r="J14" s="24">
        <f ca="1">SUMPRODUCT((Сентябрь[№]=2)*Сентябрь[6],OFFSET(Сентябрь[Периодичность],-1,0))</f>
        <v>0</v>
      </c>
      <c r="K14" s="24">
        <f ca="1">SUMPRODUCT((Сентябрь[№]=2)*Сентябрь[7],OFFSET(Сентябрь[Периодичность],-1,0))</f>
        <v>0</v>
      </c>
      <c r="L14" s="24">
        <f ca="1">SUMPRODUCT((Сентябрь[№]=2)*Сентябрь[8],OFFSET(Сентябрь[Периодичность],-1,0))</f>
        <v>0</v>
      </c>
      <c r="M14" s="24">
        <f ca="1">SUMPRODUCT((Сентябрь[№]=2)*Сентябрь[9],OFFSET(Сентябрь[Периодичность],-1,0))</f>
        <v>0</v>
      </c>
      <c r="N14" s="24">
        <f ca="1">SUMPRODUCT((Сентябрь[№]=2)*Сентябрь[10],OFFSET(Сентябрь[Периодичность],-1,0))</f>
        <v>0</v>
      </c>
      <c r="O14" s="24">
        <f ca="1">SUMPRODUCT((Сентябрь[№]=2)*Сентябрь[11],OFFSET(Сентябрь[Периодичность],-1,0))</f>
        <v>0</v>
      </c>
      <c r="P14" s="24">
        <f ca="1">SUMPRODUCT((Сентябрь[№]=2)*Сентябрь[12],OFFSET(Сентябрь[Периодичность],-1,0))</f>
        <v>0</v>
      </c>
      <c r="Q14" s="24">
        <f ca="1">SUMPRODUCT((Сентябрь[№]=2)*Сентябрь[13],OFFSET(Сентябрь[Периодичность],-1,0))</f>
        <v>0</v>
      </c>
      <c r="R14" s="24">
        <f ca="1">SUMPRODUCT((Сентябрь[№]=2)*Сентябрь[14],OFFSET(Сентябрь[Периодичность],-1,0))</f>
        <v>0</v>
      </c>
      <c r="S14" s="24">
        <f ca="1">SUMPRODUCT((Сентябрь[№]=2)*Сентябрь[15],OFFSET(Сентябрь[Периодичность],-1,0))</f>
        <v>0</v>
      </c>
      <c r="T14" s="24">
        <f ca="1">SUMPRODUCT((Сентябрь[№]=2)*Сентябрь[16],OFFSET(Сентябрь[Периодичность],-1,0))</f>
        <v>0</v>
      </c>
      <c r="U14" s="24">
        <f ca="1">SUMPRODUCT((Сентябрь[№]=2)*Сентябрь[17],OFFSET(Сентябрь[Периодичность],-1,0))</f>
        <v>0</v>
      </c>
      <c r="V14" s="24">
        <f ca="1">SUMPRODUCT((Сентябрь[№]=2)*Сентябрь[18],OFFSET(Сентябрь[Периодичность],-1,0))</f>
        <v>0</v>
      </c>
      <c r="W14" s="24">
        <f ca="1">SUMPRODUCT((Сентябрь[№]=2)*Сентябрь[19],OFFSET(Сентябрь[Периодичность],-1,0))</f>
        <v>0</v>
      </c>
      <c r="X14" s="24">
        <f ca="1">SUMPRODUCT((Сентябрь[№]=2)*Сентябрь[20],OFFSET(Сентябрь[Периодичность],-1,0))</f>
        <v>0</v>
      </c>
      <c r="Y14" s="24">
        <f ca="1">SUMPRODUCT((Сентябрь[№]=2)*Сентябрь[21],OFFSET(Сентябрь[Периодичность],-1,0))</f>
        <v>0</v>
      </c>
      <c r="Z14" s="24">
        <f ca="1">SUMPRODUCT((Сентябрь[№]=2)*Сентябрь[22],OFFSET(Сентябрь[Периодичность],-1,0))</f>
        <v>0</v>
      </c>
      <c r="AA14" s="24">
        <f ca="1">SUMPRODUCT((Сентябрь[№]=2)*Сентябрь[23],OFFSET(Сентябрь[Периодичность],-1,0))</f>
        <v>0</v>
      </c>
      <c r="AB14" s="24">
        <f ca="1">SUMPRODUCT((Сентябрь[№]=2)*Сентябрь[24],OFFSET(Сентябрь[Периодичность],-1,0))</f>
        <v>0</v>
      </c>
      <c r="AC14" s="24">
        <f ca="1">SUMPRODUCT((Сентябрь[№]=2)*Сентябрь[25],OFFSET(Сентябрь[Периодичность],-1,0))</f>
        <v>0</v>
      </c>
      <c r="AD14" s="24">
        <f ca="1">SUMPRODUCT((Сентябрь[№]=2)*Сентябрь[26],OFFSET(Сентябрь[Периодичность],-1,0))</f>
        <v>0</v>
      </c>
      <c r="AE14" s="24">
        <f ca="1">SUMPRODUCT((Сентябрь[№]=2)*Сентябрь[27],OFFSET(Сентябрь[Периодичность],-1,0))</f>
        <v>0</v>
      </c>
      <c r="AF14" s="24">
        <f ca="1">SUMPRODUCT((Сентябрь[№]=2)*Сентябрь[28],OFFSET(Сентябрь[Периодичность],-1,0))</f>
        <v>0</v>
      </c>
      <c r="AG14" s="24">
        <f ca="1">SUMPRODUCT((Сентябрь[№]=2)*Сентябрь[29],OFFSET(Сентябрь[Периодичность],-1,0))</f>
        <v>0</v>
      </c>
      <c r="AH14" s="24">
        <f ca="1">SUMPRODUCT((Сентябрь[№]=2)*Сентябрь[30],OFFSET(Сентябрь[Периодичность],-1,0))</f>
        <v>0</v>
      </c>
    </row>
    <row r="15" spans="1:37" ht="22.5" customHeight="1" x14ac:dyDescent="0.25">
      <c r="B15" s="3">
        <f ca="1">SUMPRODUCT((Настройки!$G$29:$AJ$29=3)*E16:AH16)</f>
        <v>0</v>
      </c>
      <c r="D15" s="5">
        <v>3</v>
      </c>
      <c r="E15" s="3">
        <f ca="1">SUMPRODUCT((Сентябрь[№]=3)*Сентябрь[1],OFFSET(Сентябрь[Периодичность],-2,0))</f>
        <v>0</v>
      </c>
      <c r="F15" s="24">
        <f ca="1">SUMPRODUCT((Сентябрь[№]=3)*Сентябрь[2],OFFSET(Сентябрь[Периодичность],-2,0))</f>
        <v>0</v>
      </c>
      <c r="G15" s="24">
        <f ca="1">SUMPRODUCT((Сентябрь[№]=3)*Сентябрь[3],OFFSET(Сентябрь[Периодичность],-2,0))</f>
        <v>0</v>
      </c>
      <c r="H15" s="24">
        <f ca="1">SUMPRODUCT((Сентябрь[№]=3)*Сентябрь[4],OFFSET(Сентябрь[Периодичность],-2,0))</f>
        <v>0</v>
      </c>
      <c r="I15" s="24">
        <f ca="1">SUMPRODUCT((Сентябрь[№]=3)*Сентябрь[5],OFFSET(Сентябрь[Периодичность],-2,0))</f>
        <v>0</v>
      </c>
      <c r="J15" s="24">
        <f ca="1">SUMPRODUCT((Сентябрь[№]=3)*Сентябрь[6],OFFSET(Сентябрь[Периодичность],-2,0))</f>
        <v>0</v>
      </c>
      <c r="K15" s="24">
        <f ca="1">SUMPRODUCT((Сентябрь[№]=3)*Сентябрь[7],OFFSET(Сентябрь[Периодичность],-2,0))</f>
        <v>0</v>
      </c>
      <c r="L15" s="24">
        <f ca="1">SUMPRODUCT((Сентябрь[№]=3)*Сентябрь[8],OFFSET(Сентябрь[Периодичность],-2,0))</f>
        <v>0</v>
      </c>
      <c r="M15" s="24">
        <f ca="1">SUMPRODUCT((Сентябрь[№]=3)*Сентябрь[9],OFFSET(Сентябрь[Периодичность],-2,0))</f>
        <v>0</v>
      </c>
      <c r="N15" s="24">
        <f ca="1">SUMPRODUCT((Сентябрь[№]=3)*Сентябрь[10],OFFSET(Сентябрь[Периодичность],-2,0))</f>
        <v>0</v>
      </c>
      <c r="O15" s="24">
        <f ca="1">SUMPRODUCT((Сентябрь[№]=3)*Сентябрь[11],OFFSET(Сентябрь[Периодичность],-2,0))</f>
        <v>0</v>
      </c>
      <c r="P15" s="24">
        <f ca="1">SUMPRODUCT((Сентябрь[№]=3)*Сентябрь[12],OFFSET(Сентябрь[Периодичность],-2,0))</f>
        <v>0</v>
      </c>
      <c r="Q15" s="24">
        <f ca="1">SUMPRODUCT((Сентябрь[№]=3)*Сентябрь[13],OFFSET(Сентябрь[Периодичность],-2,0))</f>
        <v>0</v>
      </c>
      <c r="R15" s="24">
        <f ca="1">SUMPRODUCT((Сентябрь[№]=3)*Сентябрь[14],OFFSET(Сентябрь[Периодичность],-2,0))</f>
        <v>0</v>
      </c>
      <c r="S15" s="24">
        <f ca="1">SUMPRODUCT((Сентябрь[№]=3)*Сентябрь[15],OFFSET(Сентябрь[Периодичность],-2,0))</f>
        <v>0</v>
      </c>
      <c r="T15" s="24">
        <f ca="1">SUMPRODUCT((Сентябрь[№]=3)*Сентябрь[16],OFFSET(Сентябрь[Периодичность],-2,0))</f>
        <v>0</v>
      </c>
      <c r="U15" s="24">
        <f ca="1">SUMPRODUCT((Сентябрь[№]=3)*Сентябрь[17],OFFSET(Сентябрь[Периодичность],-2,0))</f>
        <v>0</v>
      </c>
      <c r="V15" s="24">
        <f ca="1">SUMPRODUCT((Сентябрь[№]=3)*Сентябрь[18],OFFSET(Сентябрь[Периодичность],-2,0))</f>
        <v>0</v>
      </c>
      <c r="W15" s="24">
        <f ca="1">SUMPRODUCT((Сентябрь[№]=3)*Сентябрь[19],OFFSET(Сентябрь[Периодичность],-2,0))</f>
        <v>0</v>
      </c>
      <c r="X15" s="24">
        <f ca="1">SUMPRODUCT((Сентябрь[№]=3)*Сентябрь[20],OFFSET(Сентябрь[Периодичность],-2,0))</f>
        <v>0</v>
      </c>
      <c r="Y15" s="24">
        <f ca="1">SUMPRODUCT((Сентябрь[№]=3)*Сентябрь[21],OFFSET(Сентябрь[Периодичность],-2,0))</f>
        <v>0</v>
      </c>
      <c r="Z15" s="24">
        <f ca="1">SUMPRODUCT((Сентябрь[№]=3)*Сентябрь[22],OFFSET(Сентябрь[Периодичность],-2,0))</f>
        <v>0</v>
      </c>
      <c r="AA15" s="24">
        <f ca="1">SUMPRODUCT((Сентябрь[№]=3)*Сентябрь[23],OFFSET(Сентябрь[Периодичность],-2,0))</f>
        <v>0</v>
      </c>
      <c r="AB15" s="24">
        <f ca="1">SUMPRODUCT((Сентябрь[№]=3)*Сентябрь[24],OFFSET(Сентябрь[Периодичность],-2,0))</f>
        <v>0</v>
      </c>
      <c r="AC15" s="24">
        <f ca="1">SUMPRODUCT((Сентябрь[№]=3)*Сентябрь[25],OFFSET(Сентябрь[Периодичность],-2,0))</f>
        <v>0</v>
      </c>
      <c r="AD15" s="24">
        <f ca="1">SUMPRODUCT((Сентябрь[№]=3)*Сентябрь[26],OFFSET(Сентябрь[Периодичность],-2,0))</f>
        <v>0</v>
      </c>
      <c r="AE15" s="24">
        <f ca="1">SUMPRODUCT((Сентябрь[№]=3)*Сентябрь[27],OFFSET(Сентябрь[Периодичность],-2,0))</f>
        <v>0</v>
      </c>
      <c r="AF15" s="24">
        <f ca="1">SUMPRODUCT((Сентябрь[№]=3)*Сентябрь[28],OFFSET(Сентябрь[Периодичность],-2,0))</f>
        <v>0</v>
      </c>
      <c r="AG15" s="24">
        <f ca="1">SUMPRODUCT((Сентябрь[№]=3)*Сентябрь[29],OFFSET(Сентябрь[Периодичность],-2,0))</f>
        <v>0</v>
      </c>
      <c r="AH15" s="24">
        <f ca="1">SUMPRODUCT((Сентябрь[№]=3)*Сентябрь[30],OFFSET(Сентябрь[Периодичность],-2,0))</f>
        <v>0</v>
      </c>
      <c r="AJ15" s="10"/>
    </row>
    <row r="16" spans="1:37" ht="18" customHeight="1" x14ac:dyDescent="0.25">
      <c r="B16" s="3">
        <f ca="1">SUMPRODUCT((Настройки!$G$29:$AJ$29=4)*E16:AH16)</f>
        <v>0</v>
      </c>
      <c r="D16" s="5"/>
      <c r="E16" s="3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J16" s="10"/>
    </row>
    <row r="17" spans="1:36" ht="21.75" customHeight="1" x14ac:dyDescent="0.25">
      <c r="B17" s="3">
        <f ca="1">SUMPRODUCT((Настройки!$G$29:$AJ$29=5)*E16:AH16)</f>
        <v>0</v>
      </c>
      <c r="C17" s="5">
        <f ca="1">СентябрьИтоги[[#This Row],[№]]*60</f>
        <v>0</v>
      </c>
      <c r="D17" s="7">
        <f ca="1">SUM(СентябрьИтоги[[#This Row],[1]:[30]])</f>
        <v>0</v>
      </c>
      <c r="E17" s="6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5">
        <f ca="1">SUM(Сентябрь[УСЛУГ])</f>
        <v>0</v>
      </c>
      <c r="AJ17" s="16">
        <f ca="1">SUM(Сентябрь[МИНУТ])</f>
        <v>0</v>
      </c>
    </row>
    <row r="18" spans="1:36" ht="21.75" customHeight="1" x14ac:dyDescent="0.25">
      <c r="B18" s="14">
        <f ca="1">SUMPRODUCT((Настройки!$G$29:$AJ$29=6)*E16:AH16)</f>
        <v>0</v>
      </c>
      <c r="C18" s="14"/>
      <c r="D18" s="7"/>
      <c r="E18" s="14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14"/>
      <c r="AJ18" s="46"/>
    </row>
    <row r="20" spans="1:36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59"/>
      <c r="AI20" s="53" t="s">
        <v>64</v>
      </c>
      <c r="AJ20" s="53" t="s">
        <v>64</v>
      </c>
    </row>
    <row r="21" spans="1:36" ht="15.75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9"/>
      <c r="AI21" s="53"/>
      <c r="AJ21" s="53"/>
    </row>
    <row r="22" spans="1:36" x14ac:dyDescent="0.25">
      <c r="A22" s="63"/>
      <c r="B22" s="63"/>
      <c r="C22" s="64"/>
      <c r="D22" s="66"/>
      <c r="E22" s="22">
        <f>Настройки!G15</f>
        <v>45536</v>
      </c>
      <c r="F22" s="22">
        <f>Настройки!H15</f>
        <v>45537</v>
      </c>
      <c r="G22" s="22">
        <f>Настройки!I15</f>
        <v>45538</v>
      </c>
      <c r="H22" s="22">
        <f>Настройки!J15</f>
        <v>45539</v>
      </c>
      <c r="I22" s="22">
        <f>Настройки!K15</f>
        <v>45540</v>
      </c>
      <c r="J22" s="22">
        <f>Настройки!L15</f>
        <v>45541</v>
      </c>
      <c r="K22" s="22">
        <f>Настройки!M15</f>
        <v>45542</v>
      </c>
      <c r="L22" s="22">
        <f>Настройки!N15</f>
        <v>45543</v>
      </c>
      <c r="M22" s="22">
        <f>Настройки!O15</f>
        <v>45544</v>
      </c>
      <c r="N22" s="22">
        <f>Настройки!P15</f>
        <v>45545</v>
      </c>
      <c r="O22" s="22">
        <f>Настройки!Q15</f>
        <v>45546</v>
      </c>
      <c r="P22" s="22">
        <f>Настройки!R15</f>
        <v>45547</v>
      </c>
      <c r="Q22" s="22">
        <f>Настройки!S15</f>
        <v>45548</v>
      </c>
      <c r="R22" s="22">
        <f>Настройки!T15</f>
        <v>45549</v>
      </c>
      <c r="S22" s="22">
        <f>Настройки!U15</f>
        <v>45550</v>
      </c>
      <c r="T22" s="22">
        <f>Настройки!V15</f>
        <v>45551</v>
      </c>
      <c r="U22" s="22">
        <f>Настройки!W15</f>
        <v>45552</v>
      </c>
      <c r="V22" s="22">
        <f>Настройки!X15</f>
        <v>45553</v>
      </c>
      <c r="W22" s="22">
        <f>Настройки!Y15</f>
        <v>45554</v>
      </c>
      <c r="X22" s="22">
        <f>Настройки!Z15</f>
        <v>45555</v>
      </c>
      <c r="Y22" s="22">
        <f>Настройки!AA15</f>
        <v>45556</v>
      </c>
      <c r="Z22" s="22">
        <f>Настройки!AB15</f>
        <v>45557</v>
      </c>
      <c r="AA22" s="22">
        <f>Настройки!AC15</f>
        <v>45558</v>
      </c>
      <c r="AB22" s="22">
        <f>Настройки!AD15</f>
        <v>45559</v>
      </c>
      <c r="AC22" s="22">
        <f>Настройки!AE15</f>
        <v>45560</v>
      </c>
      <c r="AD22" s="22">
        <f>Настройки!AF15</f>
        <v>45561</v>
      </c>
      <c r="AE22" s="22">
        <f>Настройки!AG15</f>
        <v>45562</v>
      </c>
      <c r="AF22" s="22">
        <f>Настройки!AH15</f>
        <v>45563</v>
      </c>
      <c r="AG22" s="22">
        <f>Настройки!AI15</f>
        <v>45564</v>
      </c>
      <c r="AH22" s="22">
        <f>Настройки!AJ15</f>
        <v>45565</v>
      </c>
      <c r="AI22" s="53"/>
      <c r="AJ22" s="53"/>
    </row>
    <row r="23" spans="1:36" x14ac:dyDescent="0.25">
      <c r="A23" s="63"/>
      <c r="B23" s="63"/>
      <c r="C23" s="64"/>
      <c r="D23" s="66"/>
      <c r="E23" s="58" t="s">
        <v>54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86"/>
      <c r="AI23" s="53"/>
      <c r="AJ23" s="53"/>
    </row>
    <row r="24" spans="1:36" x14ac:dyDescent="0.25">
      <c r="A24" s="63"/>
      <c r="B24" s="63"/>
      <c r="C24" s="64"/>
      <c r="D24" s="6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88"/>
      <c r="AI24" s="53"/>
      <c r="AJ24" s="53"/>
    </row>
    <row r="25" spans="1:36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62</v>
      </c>
      <c r="AJ25" s="3" t="s">
        <v>63</v>
      </c>
    </row>
    <row r="26" spans="1:36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5">
        <f ca="1">IF(Сентябрь[[#This Row],[№]]=1,SUM(Сентябрь[[#This Row],[1]:[30]])+SUM(OFFSET(Сентябрь[[#This Row],[1]:[30]],1,0))+SUM(OFFSET(Сентябрь[[#This Row],[1]:[30]],2,0)),"")</f>
        <v>0</v>
      </c>
      <c r="AJ26" s="5">
        <f ca="1">IF(Сентябрь[[#This Row],[УСЛУГ]]&lt;&gt;"",Сентябрь[[#This Row],[УСЛУГ]]*Сентябрь[[#This Row],[Периодичность]],"")</f>
        <v>0</v>
      </c>
    </row>
    <row r="27" spans="1:36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5" t="str">
        <f ca="1">IF(Сентябрь[[#This Row],[№]]=1,SUM(Сентябрь[[#This Row],[1]:[30]])+SUM(OFFSET(Сентябрь[[#This Row],[1]:[30]],1,0))+SUM(OFFSET(Сентябрь[[#This Row],[1]:[30]],2,0)),"")</f>
        <v/>
      </c>
      <c r="AJ27" s="5" t="str">
        <f ca="1">IF(Сентябрь[[#This Row],[УСЛУГ]]&lt;&gt;"",Сентябрь[[#This Row],[УСЛУГ]]*Сентябрь[[#This Row],[Периодичность]],"")</f>
        <v/>
      </c>
    </row>
    <row r="28" spans="1:36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5" t="str">
        <f ca="1">IF(Сентябрь[[#This Row],[№]]=1,SUM(Сентябрь[[#This Row],[1]:[30]])+SUM(OFFSET(Сентябрь[[#This Row],[1]:[30]],1,0))+SUM(OFFSET(Сентябрь[[#This Row],[1]:[30]],2,0)),"")</f>
        <v/>
      </c>
      <c r="AJ28" s="5" t="str">
        <f ca="1">IF(Сентябрь[[#This Row],[УСЛУГ]]&lt;&gt;"",Сентябрь[[#This Row],[УСЛУГ]]*Сентябрь[[#This Row],[Периодичность]],"")</f>
        <v/>
      </c>
    </row>
  </sheetData>
  <mergeCells count="20">
    <mergeCell ref="A2:AJ2"/>
    <mergeCell ref="A3:AJ3"/>
    <mergeCell ref="J4:L4"/>
    <mergeCell ref="M5:Q5"/>
    <mergeCell ref="M4:U4"/>
    <mergeCell ref="E23:AH24"/>
    <mergeCell ref="AJ20:AJ24"/>
    <mergeCell ref="A7:A11"/>
    <mergeCell ref="D7:D11"/>
    <mergeCell ref="A20:A24"/>
    <mergeCell ref="B20:C24"/>
    <mergeCell ref="D20:D24"/>
    <mergeCell ref="AI20:AI24"/>
    <mergeCell ref="B7:B11"/>
    <mergeCell ref="C7:C11"/>
    <mergeCell ref="AI7:AI11"/>
    <mergeCell ref="E20:AH21"/>
    <mergeCell ref="AJ7:AJ11"/>
    <mergeCell ref="E10:AH11"/>
    <mergeCell ref="E7:AH8"/>
  </mergeCells>
  <conditionalFormatting sqref="E9:AH9">
    <cfRule type="expression" dxfId="433" priority="4">
      <formula>WEEKDAY(E9:AH9,2)&gt;5</formula>
    </cfRule>
  </conditionalFormatting>
  <conditionalFormatting sqref="E22:AH22">
    <cfRule type="expression" dxfId="432" priority="2">
      <formula>WEEKDAY(E22:AH22,2)&gt;5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2" fitToHeight="0" orientation="landscape" horizontalDpi="300" verticalDpi="300" r:id="rId1"/>
  <ignoredErrors>
    <ignoredError sqref="E16:AH17 E13 B13:B18 E14:E15" calculatedColumn="1"/>
  </ignoredErrors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7" tint="0.39997558519241921"/>
    <pageSetUpPr fitToPage="1"/>
  </sheetPr>
  <dimension ref="A2:AF27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70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Настройки!G15</f>
        <v>45536</v>
      </c>
      <c r="C10" s="30">
        <f>Настройки!H15</f>
        <v>45537</v>
      </c>
      <c r="D10" s="30">
        <f>Настройки!I15</f>
        <v>45538</v>
      </c>
      <c r="E10" s="30">
        <f>Настройки!J15</f>
        <v>45539</v>
      </c>
      <c r="F10" s="30">
        <f>Настройки!K15</f>
        <v>45540</v>
      </c>
      <c r="G10" s="30">
        <f>Настройки!L15</f>
        <v>45541</v>
      </c>
      <c r="H10" s="30">
        <f>Настройки!M15</f>
        <v>45542</v>
      </c>
      <c r="I10" s="30">
        <f>Настройки!N15</f>
        <v>45543</v>
      </c>
      <c r="J10" s="30">
        <f>Настройки!O15</f>
        <v>45544</v>
      </c>
      <c r="K10" s="30">
        <f>Настройки!P15</f>
        <v>45545</v>
      </c>
      <c r="L10" s="30">
        <f>Настройки!Q15</f>
        <v>45546</v>
      </c>
      <c r="M10" s="30">
        <f>Настройки!R15</f>
        <v>45547</v>
      </c>
      <c r="N10" s="30">
        <f>Настройки!S15</f>
        <v>45548</v>
      </c>
      <c r="O10" s="30">
        <f>Настройки!T15</f>
        <v>45549</v>
      </c>
      <c r="P10" s="30">
        <f>Настройки!U15</f>
        <v>45550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IF(Настройки!J2&lt;&gt;"",TEXT(Настройки!J2,"ч:мм")&amp;"-"&amp;TEXT(Настройки!J2+TIME(0,MAX(Сентябрь!E13:AH13),0),"ч:мм"),"")</f>
        <v>9:00-9:00</v>
      </c>
      <c r="B14" s="31" t="str">
        <f>IF(TEXT(Настройки!$J2+TIME(0,Сентябрь!E13,0),"ч::мм")=TEXT(Настройки!$J2,"ч:мм"),"",TEXT(Настройки!$J2,"ч:мм")&amp;"-"&amp;TEXT(Настройки!$J2+TIME(0,Сентябрь!E13,0),"ч::мм"))</f>
        <v/>
      </c>
      <c r="C14" s="31" t="str">
        <f>IF(TEXT(Настройки!$J2+TIME(0,Сентябрь!F13,0),"ч::мм")=TEXT(Настройки!$J2,"ч:мм"),"",TEXT(Настройки!$J2,"ч:мм")&amp;"-"&amp;TEXT(Настройки!$J2+TIME(0,Сентябрь!F13,0),"ч::мм"))</f>
        <v/>
      </c>
      <c r="D14" s="31" t="str">
        <f>IF(TEXT(Настройки!$J2+TIME(0,Сентябрь!G13,0),"ч::мм")=TEXT(Настройки!$J2,"ч:мм"),"",TEXT(Настройки!$J2,"ч:мм")&amp;"-"&amp;TEXT(Настройки!$J2+TIME(0,Сентябрь!G13,0),"ч::мм"))</f>
        <v/>
      </c>
      <c r="E14" s="31" t="str">
        <f>IF(TEXT(Настройки!$J2+TIME(0,Сентябрь!H13,0),"ч::мм")=TEXT(Настройки!$J2,"ч:мм"),"",TEXT(Настройки!$J2,"ч:мм")&amp;"-"&amp;TEXT(Настройки!$J2+TIME(0,Сентябрь!H13,0),"ч::мм"))</f>
        <v/>
      </c>
      <c r="F14" s="31" t="str">
        <f>IF(TEXT(Настройки!$J2+TIME(0,Сентябрь!I13,0),"ч::мм")=TEXT(Настройки!$J2,"ч:мм"),"",TEXT(Настройки!$J2,"ч:мм")&amp;"-"&amp;TEXT(Настройки!$J2+TIME(0,Сентябрь!I13,0),"ч::мм"))</f>
        <v/>
      </c>
      <c r="G14" s="31" t="str">
        <f>IF(TEXT(Настройки!$J2+TIME(0,Сентябрь!J13,0),"ч::мм")=TEXT(Настройки!$J2,"ч:мм"),"",TEXT(Настройки!$J2,"ч:мм")&amp;"-"&amp;TEXT(Настройки!$J2+TIME(0,Сентябрь!J13,0),"ч::мм"))</f>
        <v/>
      </c>
      <c r="H14" s="31" t="str">
        <f>IF(TEXT(Настройки!$J2+TIME(0,Сентябрь!K13,0),"ч::мм")=TEXT(Настройки!$J2,"ч:мм"),"",TEXT(Настройки!$J2,"ч:мм")&amp;"-"&amp;TEXT(Настройки!$J2+TIME(0,Сентябрь!K13,0),"ч::мм"))</f>
        <v/>
      </c>
      <c r="I14" s="31" t="str">
        <f>IF(TEXT(Настройки!$J2+TIME(0,Сентябрь!L13,0),"ч::мм")=TEXT(Настройки!$J2,"ч:мм"),"",TEXT(Настройки!$J2,"ч:мм")&amp;"-"&amp;TEXT(Настройки!$J2+TIME(0,Сентябрь!L13,0),"ч::мм"))</f>
        <v/>
      </c>
      <c r="J14" s="31" t="str">
        <f>IF(TEXT(Настройки!$J2+TIME(0,Сентябрь!M13,0),"ч::мм")=TEXT(Настройки!$J2,"ч:мм"),"",TEXT(Настройки!$J2,"ч:мм")&amp;"-"&amp;TEXT(Настройки!$J2+TIME(0,Сентябрь!M13,0),"ч::мм"))</f>
        <v/>
      </c>
      <c r="K14" s="31" t="str">
        <f>IF(TEXT(Настройки!$J2+TIME(0,Сентябрь!N13,0),"ч::мм")=TEXT(Настройки!$J2,"ч:мм"),"",TEXT(Настройки!$J2,"ч:мм")&amp;"-"&amp;TEXT(Настройки!$J2+TIME(0,Сентябрь!N13,0),"ч::мм"))</f>
        <v/>
      </c>
      <c r="L14" s="31" t="str">
        <f>IF(TEXT(Настройки!$J2+TIME(0,Сентябрь!O13,0),"ч::мм")=TEXT(Настройки!$J2,"ч:мм"),"",TEXT(Настройки!$J2,"ч:мм")&amp;"-"&amp;TEXT(Настройки!$J2+TIME(0,Сентябрь!O13,0),"ч::мм"))</f>
        <v/>
      </c>
      <c r="M14" s="31" t="str">
        <f>IF(TEXT(Настройки!$J2+TIME(0,Сентябрь!P13,0),"ч::мм")=TEXT(Настройки!$J2,"ч:мм"),"",TEXT(Настройки!$J2,"ч:мм")&amp;"-"&amp;TEXT(Настройки!$J2+TIME(0,Сентябрь!P13,0),"ч::мм"))</f>
        <v/>
      </c>
      <c r="N14" s="31" t="str">
        <f>IF(TEXT(Настройки!$J2+TIME(0,Сентябрь!Q13,0),"ч::мм")=TEXT(Настройки!$J2,"ч:мм"),"",TEXT(Настройки!$J2,"ч:мм")&amp;"-"&amp;TEXT(Настройки!$J2+TIME(0,Сентябрь!Q13,0),"ч::мм"))</f>
        <v/>
      </c>
      <c r="O14" s="31" t="str">
        <f>IF(TEXT(Настройки!$J2+TIME(0,Сентябрь!R13,0),"ч::мм")=TEXT(Настройки!$J2,"ч:мм"),"",TEXT(Настройки!$J2,"ч:мм")&amp;"-"&amp;TEXT(Настройки!$J2+TIME(0,Сентябрь!R13,0),"ч::мм"))</f>
        <v/>
      </c>
      <c r="P14" s="31" t="str">
        <f>IF(TEXT(Настройки!$J2+TIME(0,Сентябрь!S13,0),"ч::мм")=TEXT(Настройки!$J2,"ч:мм"),"",TEXT(Настройки!$J2,"ч:мм")&amp;"-"&amp;TEXT(Настройки!$J2+TIME(0,Сентябрь!S13,0),"ч::мм"))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IF(Настройки!J3&lt;&gt;"",TEXT(Настройки!J3,"ч:мм")&amp;"-"&amp;TEXT(Настройки!J3+TIME(0,MAX(Сентябрь!E14:AH14),0),"ч:мм"),"")</f>
        <v>13:00-13:00</v>
      </c>
      <c r="B15" s="31" t="str">
        <f ca="1">IF(TEXT(Настройки!$J3+TIME(0,Сентябрь!E14,0),"ч::мм")=TEXT(Настройки!$J3,"ч:мм"),"",TEXT(Настройки!$J3,"ч:мм")&amp;"-"&amp;TEXT(Настройки!$J3+TIME(0,Сентябрь!E14,0),"ч::мм"))</f>
        <v/>
      </c>
      <c r="C15" s="31" t="str">
        <f ca="1">IF(TEXT(Настройки!$J3+TIME(0,Сентябрь!F14,0),"ч::мм")=TEXT(Настройки!$J3,"ч:мм"),"",TEXT(Настройки!$J3,"ч:мм")&amp;"-"&amp;TEXT(Настройки!$J3+TIME(0,Сентябрь!F14,0),"ч::мм"))</f>
        <v/>
      </c>
      <c r="D15" s="31" t="str">
        <f ca="1">IF(TEXT(Настройки!$J3+TIME(0,Сентябрь!G14,0),"ч::мм")=TEXT(Настройки!$J3,"ч:мм"),"",TEXT(Настройки!$J3,"ч:мм")&amp;"-"&amp;TEXT(Настройки!$J3+TIME(0,Сентябрь!G14,0),"ч::мм"))</f>
        <v/>
      </c>
      <c r="E15" s="31" t="str">
        <f ca="1">IF(TEXT(Настройки!$J3+TIME(0,Сентябрь!H14,0),"ч::мм")=TEXT(Настройки!$J3,"ч:мм"),"",TEXT(Настройки!$J3,"ч:мм")&amp;"-"&amp;TEXT(Настройки!$J3+TIME(0,Сентябрь!H14,0),"ч::мм"))</f>
        <v/>
      </c>
      <c r="F15" s="31" t="str">
        <f ca="1">IF(TEXT(Настройки!$J3+TIME(0,Сентябрь!I14,0),"ч::мм")=TEXT(Настройки!$J3,"ч:мм"),"",TEXT(Настройки!$J3,"ч:мм")&amp;"-"&amp;TEXT(Настройки!$J3+TIME(0,Сентябрь!I14,0),"ч::мм"))</f>
        <v/>
      </c>
      <c r="G15" s="31" t="str">
        <f ca="1">IF(TEXT(Настройки!$J3+TIME(0,Сентябрь!J14,0),"ч::мм")=TEXT(Настройки!$J3,"ч:мм"),"",TEXT(Настройки!$J3,"ч:мм")&amp;"-"&amp;TEXT(Настройки!$J3+TIME(0,Сентябрь!J14,0),"ч::мм"))</f>
        <v/>
      </c>
      <c r="H15" s="31" t="str">
        <f ca="1">IF(TEXT(Настройки!$J3+TIME(0,Сентябрь!K14,0),"ч::мм")=TEXT(Настройки!$J3,"ч:мм"),"",TEXT(Настройки!$J3,"ч:мм")&amp;"-"&amp;TEXT(Настройки!$J3+TIME(0,Сентябрь!K14,0),"ч::мм"))</f>
        <v/>
      </c>
      <c r="I15" s="31" t="str">
        <f ca="1">IF(TEXT(Настройки!$J3+TIME(0,Сентябрь!L14,0),"ч::мм")=TEXT(Настройки!$J3,"ч:мм"),"",TEXT(Настройки!$J3,"ч:мм")&amp;"-"&amp;TEXT(Настройки!$J3+TIME(0,Сентябрь!L14,0),"ч::мм"))</f>
        <v/>
      </c>
      <c r="J15" s="31" t="str">
        <f ca="1">IF(TEXT(Настройки!$J3+TIME(0,Сентябрь!M14,0),"ч::мм")=TEXT(Настройки!$J3,"ч:мм"),"",TEXT(Настройки!$J3,"ч:мм")&amp;"-"&amp;TEXT(Настройки!$J3+TIME(0,Сентябрь!M14,0),"ч::мм"))</f>
        <v/>
      </c>
      <c r="K15" s="31" t="str">
        <f ca="1">IF(TEXT(Настройки!$J3+TIME(0,Сентябрь!N14,0),"ч::мм")=TEXT(Настройки!$J3,"ч:мм"),"",TEXT(Настройки!$J3,"ч:мм")&amp;"-"&amp;TEXT(Настройки!$J3+TIME(0,Сентябрь!N14,0),"ч::мм"))</f>
        <v/>
      </c>
      <c r="L15" s="31" t="str">
        <f ca="1">IF(TEXT(Настройки!$J3+TIME(0,Сентябрь!O14,0),"ч::мм")=TEXT(Настройки!$J3,"ч:мм"),"",TEXT(Настройки!$J3,"ч:мм")&amp;"-"&amp;TEXT(Настройки!$J3+TIME(0,Сентябрь!O14,0),"ч::мм"))</f>
        <v/>
      </c>
      <c r="M15" s="31" t="str">
        <f ca="1">IF(TEXT(Настройки!$J3+TIME(0,Сентябрь!P14,0),"ч::мм")=TEXT(Настройки!$J3,"ч:мм"),"",TEXT(Настройки!$J3,"ч:мм")&amp;"-"&amp;TEXT(Настройки!$J3+TIME(0,Сентябрь!P14,0),"ч::мм"))</f>
        <v/>
      </c>
      <c r="N15" s="31" t="str">
        <f ca="1">IF(TEXT(Настройки!$J3+TIME(0,Сентябрь!Q14,0),"ч::мм")=TEXT(Настройки!$J3,"ч:мм"),"",TEXT(Настройки!$J3,"ч:мм")&amp;"-"&amp;TEXT(Настройки!$J3+TIME(0,Сентябрь!Q14,0),"ч::мм"))</f>
        <v/>
      </c>
      <c r="O15" s="31" t="str">
        <f ca="1">IF(TEXT(Настройки!$J3+TIME(0,Сентябрь!R14,0),"ч::мм")=TEXT(Настройки!$J3,"ч:мм"),"",TEXT(Настройки!$J3,"ч:мм")&amp;"-"&amp;TEXT(Настройки!$J3+TIME(0,Сентябрь!R14,0),"ч::мм"))</f>
        <v/>
      </c>
      <c r="P15" s="31" t="str">
        <f ca="1">IF(TEXT(Настройки!$J3+TIME(0,Сентябрь!S14,0),"ч::мм")=TEXT(Настройки!$J3,"ч:мм"),"",TEXT(Настройки!$J3,"ч:мм")&amp;"-"&amp;TEXT(Настройки!$J3+TIME(0,Сентябрь!S14,0),"ч::мм"))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IF(Настройки!J4&lt;&gt;"",TEXT(Настройки!J4,"ч:мм")&amp;"-"&amp;TEXT(Настройки!J4+TIME(0,MAX(Сентябрь!E15:AH15),0),"ч:мм"),"")</f>
        <v>16:00-16:00</v>
      </c>
      <c r="B16" s="31" t="str">
        <f ca="1">IF(TEXT(Настройки!$J4+TIME(0,Сентябрь!E15,0),"ч::мм")=TEXT(Настройки!$J4,"ч:мм"),"",TEXT(Настройки!$J4,"ч:мм")&amp;"-"&amp;TEXT(Настройки!$J4+TIME(0,Сентябрь!E15,0),"ч::мм"))</f>
        <v/>
      </c>
      <c r="C16" s="31" t="str">
        <f ca="1">IF(TEXT(Настройки!$J4+TIME(0,Сентябрь!F15,0),"ч::мм")=TEXT(Настройки!$J4,"ч:мм"),"",TEXT(Настройки!$J4,"ч:мм")&amp;"-"&amp;TEXT(Настройки!$J4+TIME(0,Сентябрь!F15,0),"ч::мм"))</f>
        <v/>
      </c>
      <c r="D16" s="31" t="str">
        <f ca="1">IF(TEXT(Настройки!$J4+TIME(0,Сентябрь!G15,0),"ч::мм")=TEXT(Настройки!$J4,"ч:мм"),"",TEXT(Настройки!$J4,"ч:мм")&amp;"-"&amp;TEXT(Настройки!$J4+TIME(0,Сентябрь!G15,0),"ч::мм"))</f>
        <v/>
      </c>
      <c r="E16" s="31" t="str">
        <f ca="1">IF(TEXT(Настройки!$J4+TIME(0,Сентябрь!H15,0),"ч::мм")=TEXT(Настройки!$J4,"ч:мм"),"",TEXT(Настройки!$J4,"ч:мм")&amp;"-"&amp;TEXT(Настройки!$J4+TIME(0,Сентябрь!H15,0),"ч::мм"))</f>
        <v/>
      </c>
      <c r="F16" s="31" t="str">
        <f ca="1">IF(TEXT(Настройки!$J4+TIME(0,Сентябрь!I15,0),"ч::мм")=TEXT(Настройки!$J4,"ч:мм"),"",TEXT(Настройки!$J4,"ч:мм")&amp;"-"&amp;TEXT(Настройки!$J4+TIME(0,Сентябрь!I15,0),"ч::мм"))</f>
        <v/>
      </c>
      <c r="G16" s="31" t="str">
        <f ca="1">IF(TEXT(Настройки!$J4+TIME(0,Сентябрь!J15,0),"ч::мм")=TEXT(Настройки!$J4,"ч:мм"),"",TEXT(Настройки!$J4,"ч:мм")&amp;"-"&amp;TEXT(Настройки!$J4+TIME(0,Сентябрь!J15,0),"ч::мм"))</f>
        <v/>
      </c>
      <c r="H16" s="31" t="str">
        <f ca="1">IF(TEXT(Настройки!$J4+TIME(0,Сентябрь!K15,0),"ч::мм")=TEXT(Настройки!$J4,"ч:мм"),"",TEXT(Настройки!$J4,"ч:мм")&amp;"-"&amp;TEXT(Настройки!$J4+TIME(0,Сентябрь!K15,0),"ч::мм"))</f>
        <v/>
      </c>
      <c r="I16" s="31" t="str">
        <f ca="1">IF(TEXT(Настройки!$J4+TIME(0,Сентябрь!L15,0),"ч::мм")=TEXT(Настройки!$J4,"ч:мм"),"",TEXT(Настройки!$J4,"ч:мм")&amp;"-"&amp;TEXT(Настройки!$J4+TIME(0,Сентябрь!L15,0),"ч::мм"))</f>
        <v/>
      </c>
      <c r="J16" s="31" t="str">
        <f ca="1">IF(TEXT(Настройки!$J4+TIME(0,Сентябрь!M15,0),"ч::мм")=TEXT(Настройки!$J4,"ч:мм"),"",TEXT(Настройки!$J4,"ч:мм")&amp;"-"&amp;TEXT(Настройки!$J4+TIME(0,Сентябрь!M15,0),"ч::мм"))</f>
        <v/>
      </c>
      <c r="K16" s="31" t="str">
        <f ca="1">IF(TEXT(Настройки!$J4+TIME(0,Сентябрь!N15,0),"ч::мм")=TEXT(Настройки!$J4,"ч:мм"),"",TEXT(Настройки!$J4,"ч:мм")&amp;"-"&amp;TEXT(Настройки!$J4+TIME(0,Сентябрь!N15,0),"ч::мм"))</f>
        <v/>
      </c>
      <c r="L16" s="31" t="str">
        <f ca="1">IF(TEXT(Настройки!$J4+TIME(0,Сентябрь!O15,0),"ч::мм")=TEXT(Настройки!$J4,"ч:мм"),"",TEXT(Настройки!$J4,"ч:мм")&amp;"-"&amp;TEXT(Настройки!$J4+TIME(0,Сентябрь!O15,0),"ч::мм"))</f>
        <v/>
      </c>
      <c r="M16" s="31" t="str">
        <f ca="1">IF(TEXT(Настройки!$J4+TIME(0,Сентябрь!P15,0),"ч::мм")=TEXT(Настройки!$J4,"ч:мм"),"",TEXT(Настройки!$J4,"ч:мм")&amp;"-"&amp;TEXT(Настройки!$J4+TIME(0,Сентябрь!P15,0),"ч::мм"))</f>
        <v/>
      </c>
      <c r="N16" s="31" t="str">
        <f ca="1">IF(TEXT(Настройки!$J4+TIME(0,Сентябрь!Q15,0),"ч::мм")=TEXT(Настройки!$J4,"ч:мм"),"",TEXT(Настройки!$J4,"ч:мм")&amp;"-"&amp;TEXT(Настройки!$J4+TIME(0,Сентябрь!Q15,0),"ч::мм"))</f>
        <v/>
      </c>
      <c r="O16" s="31" t="str">
        <f ca="1">IF(TEXT(Настройки!$J4+TIME(0,Сентябрь!R15,0),"ч::мм")=TEXT(Настройки!$J4,"ч:мм"),"",TEXT(Настройки!$J4,"ч:мм")&amp;"-"&amp;TEXT(Настройки!$J4+TIME(0,Сентябрь!R15,0),"ч::мм"))</f>
        <v/>
      </c>
      <c r="P16" s="31" t="str">
        <f ca="1">IF(TEXT(Настройки!$J4+TIME(0,Сентябрь!S15,0),"ч::мм")=TEXT(Настройки!$J4,"ч:мм"),"",TEXT(Настройки!$J4,"ч:мм")&amp;"-"&amp;TEXT(Настройки!$J4+TIME(0,Сентябрь!S15,0),"ч::мм"))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Настройки!V15</f>
        <v>45551</v>
      </c>
      <c r="C20" s="30">
        <f>Настройки!W15</f>
        <v>45552</v>
      </c>
      <c r="D20" s="30">
        <f>Настройки!X15</f>
        <v>45553</v>
      </c>
      <c r="E20" s="30">
        <f>Настройки!Y15</f>
        <v>45554</v>
      </c>
      <c r="F20" s="30">
        <f>Настройки!Z15</f>
        <v>45555</v>
      </c>
      <c r="G20" s="30">
        <f>Настройки!AA15</f>
        <v>45556</v>
      </c>
      <c r="H20" s="30">
        <f>Настройки!AB15</f>
        <v>45557</v>
      </c>
      <c r="I20" s="30">
        <f>Настройки!AC15</f>
        <v>45558</v>
      </c>
      <c r="J20" s="30">
        <f>Настройки!AD15</f>
        <v>45559</v>
      </c>
      <c r="K20" s="30">
        <f>Настройки!AE15</f>
        <v>45560</v>
      </c>
      <c r="L20" s="30">
        <f>Настройки!AF15</f>
        <v>45561</v>
      </c>
      <c r="M20" s="30">
        <f>Настройки!AG15</f>
        <v>45562</v>
      </c>
      <c r="N20" s="30">
        <f>Настройки!AH15</f>
        <v>45563</v>
      </c>
      <c r="O20" s="30">
        <f>Настройки!AI15</f>
        <v>45564</v>
      </c>
      <c r="P20" s="30">
        <f>Настройки!AJ15</f>
        <v>45565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IF(TEXT(Настройки!$J2+TIME(0,Сентябрь!T13,0),"ч::мм")=TEXT(Настройки!$J2,"ч:мм"),"",TEXT(Настройки!$J2,"ч:мм")&amp;"-"&amp;TEXT(Настройки!$J2+TIME(0,Сентябрь!T13,0),"ч::мм"))</f>
        <v/>
      </c>
      <c r="C24" s="3" t="str">
        <f>IF(TEXT(Настройки!$J2+TIME(0,Сентябрь!U13,0),"ч::мм")=TEXT(Настройки!$J2,"ч:мм"),"",TEXT(Настройки!$J2,"ч:мм")&amp;"-"&amp;TEXT(Настройки!$J2+TIME(0,Сентябрь!U13,0),"ч::мм"))</f>
        <v/>
      </c>
      <c r="D24" s="3" t="str">
        <f>IF(TEXT(Настройки!$J2+TIME(0,Сентябрь!V13,0),"ч::мм")=TEXT(Настройки!$J2,"ч:мм"),"",TEXT(Настройки!$J2,"ч:мм")&amp;"-"&amp;TEXT(Настройки!$J2+TIME(0,Сентябрь!V13,0),"ч::мм"))</f>
        <v/>
      </c>
      <c r="E24" s="3" t="str">
        <f>IF(TEXT(Настройки!$J2+TIME(0,Сентябрь!W13,0),"ч::мм")=TEXT(Настройки!$J2,"ч:мм"),"",TEXT(Настройки!$J2,"ч:мм")&amp;"-"&amp;TEXT(Настройки!$J2+TIME(0,Сентябрь!W13,0),"ч::мм"))</f>
        <v/>
      </c>
      <c r="F24" s="3" t="str">
        <f>IF(TEXT(Настройки!$J2+TIME(0,Сентябрь!X13,0),"ч::мм")=TEXT(Настройки!$J2,"ч:мм"),"",TEXT(Настройки!$J2,"ч:мм")&amp;"-"&amp;TEXT(Настройки!$J2+TIME(0,Сентябрь!X13,0),"ч::мм"))</f>
        <v/>
      </c>
      <c r="G24" s="3" t="str">
        <f>IF(TEXT(Настройки!$J2+TIME(0,Сентябрь!Y13,0),"ч::мм")=TEXT(Настройки!$J2,"ч:мм"),"",TEXT(Настройки!$J2,"ч:мм")&amp;"-"&amp;TEXT(Настройки!$J2+TIME(0,Сентябрь!Y13,0),"ч::мм"))</f>
        <v/>
      </c>
      <c r="H24" s="3" t="str">
        <f>IF(TEXT(Настройки!$J2+TIME(0,Сентябрь!Z13,0),"ч::мм")=TEXT(Настройки!$J2,"ч:мм"),"",TEXT(Настройки!$J2,"ч:мм")&amp;"-"&amp;TEXT(Настройки!$J2+TIME(0,Сентябрь!Z13,0),"ч::мм"))</f>
        <v/>
      </c>
      <c r="I24" s="3" t="str">
        <f>IF(TEXT(Настройки!$J2+TIME(0,Сентябрь!AA13,0),"ч::мм")=TEXT(Настройки!$J2,"ч:мм"),"",TEXT(Настройки!$J2,"ч:мм")&amp;"-"&amp;TEXT(Настройки!$J2+TIME(0,Сентябрь!AA13,0),"ч::мм"))</f>
        <v/>
      </c>
      <c r="J24" s="3" t="str">
        <f>IF(TEXT(Настройки!$J2+TIME(0,Сентябрь!AB13,0),"ч::мм")=TEXT(Настройки!$J2,"ч:мм"),"",TEXT(Настройки!$J2,"ч:мм")&amp;"-"&amp;TEXT(Настройки!$J2+TIME(0,Сентябрь!AB13,0),"ч::мм"))</f>
        <v/>
      </c>
      <c r="K24" s="3" t="str">
        <f>IF(TEXT(Настройки!$J2+TIME(0,Сентябрь!AC13,0),"ч::мм")=TEXT(Настройки!$J2,"ч:мм"),"",TEXT(Настройки!$J2,"ч:мм")&amp;"-"&amp;TEXT(Настройки!$J2+TIME(0,Сентябрь!AC13,0),"ч::мм"))</f>
        <v/>
      </c>
      <c r="L24" s="3" t="str">
        <f>IF(TEXT(Настройки!$J2+TIME(0,Сентябрь!AD13,0),"ч::мм")=TEXT(Настройки!$J2,"ч:мм"),"",TEXT(Настройки!$J2,"ч:мм")&amp;"-"&amp;TEXT(Настройки!$J2+TIME(0,Сентябрь!AD13,0),"ч::мм"))</f>
        <v/>
      </c>
      <c r="M24" s="3" t="str">
        <f>IF(TEXT(Настройки!$J2+TIME(0,Сентябрь!AE13,0),"ч::мм")=TEXT(Настройки!$J2,"ч:мм"),"",TEXT(Настройки!$J2,"ч:мм")&amp;"-"&amp;TEXT(Настройки!$J2+TIME(0,Сентябрь!AE13,0),"ч::мм"))</f>
        <v/>
      </c>
      <c r="N24" s="3" t="str">
        <f>IF(TEXT(Настройки!$J2+TIME(0,Сентябрь!AF13,0),"ч::мм")=TEXT(Настройки!$J2,"ч:мм"),"",TEXT(Настройки!$J2,"ч:мм")&amp;"-"&amp;TEXT(Настройки!$J2+TIME(0,Сентябрь!AF13,0),"ч::мм"))</f>
        <v/>
      </c>
      <c r="O24" s="3" t="str">
        <f>IF(TEXT(Настройки!$J2+TIME(0,Сентябрь!AG13,0),"ч::мм")=TEXT(Настройки!$J2,"ч:мм"),"",TEXT(Настройки!$J2,"ч:мм")&amp;"-"&amp;TEXT(Настройки!$J2+TIME(0,Сентябрь!AG13,0),"ч::мм"))</f>
        <v/>
      </c>
      <c r="P24" s="3" t="str">
        <f>IF(TEXT(Настройки!$J2+TIME(0,Сентябрь!AH13,0),"ч::мм")=TEXT(Настройки!$J2,"ч:мм"),"",TEXT(Настройки!$J2,"ч:мм")&amp;"-"&amp;TEXT(Настройки!$J2+TIME(0,Сентябрь!AH13,0),"ч::мм"))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IF(TEXT(Настройки!$J3+TIME(0,Сентябрь!T14,0),"ч::мм")=TEXT(Настройки!$J3,"ч:мм"),"",TEXT(Настройки!$J3,"ч:мм")&amp;"-"&amp;TEXT(Настройки!$J3+TIME(0,Сентябрь!T14,0),"ч::мм"))</f>
        <v/>
      </c>
      <c r="C25" s="3" t="str">
        <f ca="1">IF(TEXT(Настройки!$J3+TIME(0,Сентябрь!U14,0),"ч::мм")=TEXT(Настройки!$J3,"ч:мм"),"",TEXT(Настройки!$J3,"ч:мм")&amp;"-"&amp;TEXT(Настройки!$J3+TIME(0,Сентябрь!U14,0),"ч::мм"))</f>
        <v/>
      </c>
      <c r="D25" s="3" t="str">
        <f ca="1">IF(TEXT(Настройки!$J3+TIME(0,Сентябрь!V14,0),"ч::мм")=TEXT(Настройки!$J3,"ч:мм"),"",TEXT(Настройки!$J3,"ч:мм")&amp;"-"&amp;TEXT(Настройки!$J3+TIME(0,Сентябрь!V14,0),"ч::мм"))</f>
        <v/>
      </c>
      <c r="E25" s="3" t="str">
        <f ca="1">IF(TEXT(Настройки!$J3+TIME(0,Сентябрь!W14,0),"ч::мм")=TEXT(Настройки!$J3,"ч:мм"),"",TEXT(Настройки!$J3,"ч:мм")&amp;"-"&amp;TEXT(Настройки!$J3+TIME(0,Сентябрь!W14,0),"ч::мм"))</f>
        <v/>
      </c>
      <c r="F25" s="3" t="str">
        <f ca="1">IF(TEXT(Настройки!$J3+TIME(0,Сентябрь!X14,0),"ч::мм")=TEXT(Настройки!$J3,"ч:мм"),"",TEXT(Настройки!$J3,"ч:мм")&amp;"-"&amp;TEXT(Настройки!$J3+TIME(0,Сентябрь!X14,0),"ч::мм"))</f>
        <v/>
      </c>
      <c r="G25" s="3" t="str">
        <f ca="1">IF(TEXT(Настройки!$J3+TIME(0,Сентябрь!Y14,0),"ч::мм")=TEXT(Настройки!$J3,"ч:мм"),"",TEXT(Настройки!$J3,"ч:мм")&amp;"-"&amp;TEXT(Настройки!$J3+TIME(0,Сентябрь!Y14,0),"ч::мм"))</f>
        <v/>
      </c>
      <c r="H25" s="3" t="str">
        <f ca="1">IF(TEXT(Настройки!$J3+TIME(0,Сентябрь!Z14,0),"ч::мм")=TEXT(Настройки!$J3,"ч:мм"),"",TEXT(Настройки!$J3,"ч:мм")&amp;"-"&amp;TEXT(Настройки!$J3+TIME(0,Сентябрь!Z14,0),"ч::мм"))</f>
        <v/>
      </c>
      <c r="I25" s="3" t="str">
        <f ca="1">IF(TEXT(Настройки!$J3+TIME(0,Сентябрь!AA14,0),"ч::мм")=TEXT(Настройки!$J3,"ч:мм"),"",TEXT(Настройки!$J3,"ч:мм")&amp;"-"&amp;TEXT(Настройки!$J3+TIME(0,Сентябрь!AA14,0),"ч::мм"))</f>
        <v/>
      </c>
      <c r="J25" s="3" t="str">
        <f ca="1">IF(TEXT(Настройки!$J3+TIME(0,Сентябрь!AB14,0),"ч::мм")=TEXT(Настройки!$J3,"ч:мм"),"",TEXT(Настройки!$J3,"ч:мм")&amp;"-"&amp;TEXT(Настройки!$J3+TIME(0,Сентябрь!AB14,0),"ч::мм"))</f>
        <v/>
      </c>
      <c r="K25" s="3" t="str">
        <f ca="1">IF(TEXT(Настройки!$J3+TIME(0,Сентябрь!AC14,0),"ч::мм")=TEXT(Настройки!$J3,"ч:мм"),"",TEXT(Настройки!$J3,"ч:мм")&amp;"-"&amp;TEXT(Настройки!$J3+TIME(0,Сентябрь!AC14,0),"ч::мм"))</f>
        <v/>
      </c>
      <c r="L25" s="3" t="str">
        <f ca="1">IF(TEXT(Настройки!$J3+TIME(0,Сентябрь!AD14,0),"ч::мм")=TEXT(Настройки!$J3,"ч:мм"),"",TEXT(Настройки!$J3,"ч:мм")&amp;"-"&amp;TEXT(Настройки!$J3+TIME(0,Сентябрь!AD14,0),"ч::мм"))</f>
        <v/>
      </c>
      <c r="M25" s="3" t="str">
        <f ca="1">IF(TEXT(Настройки!$J3+TIME(0,Сентябрь!AE14,0),"ч::мм")=TEXT(Настройки!$J3,"ч:мм"),"",TEXT(Настройки!$J3,"ч:мм")&amp;"-"&amp;TEXT(Настройки!$J3+TIME(0,Сентябрь!AE14,0),"ч::мм"))</f>
        <v/>
      </c>
      <c r="N25" s="3" t="str">
        <f ca="1">IF(TEXT(Настройки!$J3+TIME(0,Сентябрь!AF14,0),"ч::мм")=TEXT(Настройки!$J3,"ч:мм"),"",TEXT(Настройки!$J3,"ч:мм")&amp;"-"&amp;TEXT(Настройки!$J3+TIME(0,Сентябрь!AF14,0),"ч::мм"))</f>
        <v/>
      </c>
      <c r="O25" s="3" t="str">
        <f ca="1">IF(TEXT(Настройки!$J3+TIME(0,Сентябрь!AG14,0),"ч::мм")=TEXT(Настройки!$J3,"ч:мм"),"",TEXT(Настройки!$J3,"ч:мм")&amp;"-"&amp;TEXT(Настройки!$J3+TIME(0,Сентябрь!AG14,0),"ч::мм"))</f>
        <v/>
      </c>
      <c r="P25" s="3" t="str">
        <f ca="1">IF(TEXT(Настройки!$J3+TIME(0,Сентябрь!AH14,0),"ч::мм")=TEXT(Настройки!$J3,"ч:мм"),"",TEXT(Настройки!$J3,"ч:мм")&amp;"-"&amp;TEXT(Настройки!$J3+TIME(0,Сентябрь!AH14,0),"ч::мм"))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IF(TEXT(Настройки!$J4+TIME(0,Сентябрь!T15,0),"ч::мм")=TEXT(Настройки!$J4,"ч:мм"),"",TEXT(Настройки!$J4,"ч:мм")&amp;"-"&amp;TEXT(Настройки!$J4+TIME(0,Сентябрь!T15,0),"ч::мм"))</f>
        <v/>
      </c>
      <c r="C26" s="3" t="str">
        <f ca="1">IF(TEXT(Настройки!$J4+TIME(0,Сентябрь!U15,0),"ч::мм")=TEXT(Настройки!$J4,"ч:мм"),"",TEXT(Настройки!$J4,"ч:мм")&amp;"-"&amp;TEXT(Настройки!$J4+TIME(0,Сентябрь!U15,0),"ч::мм"))</f>
        <v/>
      </c>
      <c r="D26" s="3" t="str">
        <f ca="1">IF(TEXT(Настройки!$J4+TIME(0,Сентябрь!V15,0),"ч::мм")=TEXT(Настройки!$J4,"ч:мм"),"",TEXT(Настройки!$J4,"ч:мм")&amp;"-"&amp;TEXT(Настройки!$J4+TIME(0,Сентябрь!V15,0),"ч::мм"))</f>
        <v/>
      </c>
      <c r="E26" s="3" t="str">
        <f ca="1">IF(TEXT(Настройки!$J4+TIME(0,Сентябрь!W15,0),"ч::мм")=TEXT(Настройки!$J4,"ч:мм"),"",TEXT(Настройки!$J4,"ч:мм")&amp;"-"&amp;TEXT(Настройки!$J4+TIME(0,Сентябрь!W15,0),"ч::мм"))</f>
        <v/>
      </c>
      <c r="F26" s="3" t="str">
        <f ca="1">IF(TEXT(Настройки!$J4+TIME(0,Сентябрь!X15,0),"ч::мм")=TEXT(Настройки!$J4,"ч:мм"),"",TEXT(Настройки!$J4,"ч:мм")&amp;"-"&amp;TEXT(Настройки!$J4+TIME(0,Сентябрь!X15,0),"ч::мм"))</f>
        <v/>
      </c>
      <c r="G26" s="3" t="str">
        <f ca="1">IF(TEXT(Настройки!$J4+TIME(0,Сентябрь!Y15,0),"ч::мм")=TEXT(Настройки!$J4,"ч:мм"),"",TEXT(Настройки!$J4,"ч:мм")&amp;"-"&amp;TEXT(Настройки!$J4+TIME(0,Сентябрь!Y15,0),"ч::мм"))</f>
        <v/>
      </c>
      <c r="H26" s="3" t="str">
        <f ca="1">IF(TEXT(Настройки!$J4+TIME(0,Сентябрь!Z15,0),"ч::мм")=TEXT(Настройки!$J4,"ч:мм"),"",TEXT(Настройки!$J4,"ч:мм")&amp;"-"&amp;TEXT(Настройки!$J4+TIME(0,Сентябрь!Z15,0),"ч::мм"))</f>
        <v/>
      </c>
      <c r="I26" s="3" t="str">
        <f ca="1">IF(TEXT(Настройки!$J4+TIME(0,Сентябрь!AA15,0),"ч::мм")=TEXT(Настройки!$J4,"ч:мм"),"",TEXT(Настройки!$J4,"ч:мм")&amp;"-"&amp;TEXT(Настройки!$J4+TIME(0,Сентябрь!AA15,0),"ч::мм"))</f>
        <v/>
      </c>
      <c r="J26" s="3" t="str">
        <f ca="1">IF(TEXT(Настройки!$J4+TIME(0,Сентябрь!AB15,0),"ч::мм")=TEXT(Настройки!$J4,"ч:мм"),"",TEXT(Настройки!$J4,"ч:мм")&amp;"-"&amp;TEXT(Настройки!$J4+TIME(0,Сентябрь!AB15,0),"ч::мм"))</f>
        <v/>
      </c>
      <c r="K26" s="3" t="str">
        <f ca="1">IF(TEXT(Настройки!$J4+TIME(0,Сентябрь!AC15,0),"ч::мм")=TEXT(Настройки!$J4,"ч:мм"),"",TEXT(Настройки!$J4,"ч:мм")&amp;"-"&amp;TEXT(Настройки!$J4+TIME(0,Сентябрь!AC15,0),"ч::мм"))</f>
        <v/>
      </c>
      <c r="L26" s="3" t="str">
        <f ca="1">IF(TEXT(Настройки!$J4+TIME(0,Сентябрь!AD15,0),"ч::мм")=TEXT(Настройки!$J4,"ч:мм"),"",TEXT(Настройки!$J4,"ч:мм")&amp;"-"&amp;TEXT(Настройки!$J4+TIME(0,Сентябрь!AD15,0),"ч::мм"))</f>
        <v/>
      </c>
      <c r="M26" s="3" t="str">
        <f ca="1">IF(TEXT(Настройки!$J4+TIME(0,Сентябрь!AE15,0),"ч::мм")=TEXT(Настройки!$J4,"ч:мм"),"",TEXT(Настройки!$J4,"ч:мм")&amp;"-"&amp;TEXT(Настройки!$J4+TIME(0,Сентябрь!AE15,0),"ч::мм"))</f>
        <v/>
      </c>
      <c r="N26" s="3" t="str">
        <f ca="1">IF(TEXT(Настройки!$J4+TIME(0,Сентябрь!AF15,0),"ч::мм")=TEXT(Настройки!$J4,"ч:мм"),"",TEXT(Настройки!$J4,"ч:мм")&amp;"-"&amp;TEXT(Настройки!$J4+TIME(0,Сентябрь!AF15,0),"ч::мм"))</f>
        <v/>
      </c>
      <c r="O26" s="3" t="str">
        <f ca="1">IF(TEXT(Настройки!$J4+TIME(0,Сентябрь!AG15,0),"ч::мм")=TEXT(Настройки!$J4,"ч:мм"),"",TEXT(Настройки!$J4,"ч:мм")&amp;"-"&amp;TEXT(Настройки!$J4+TIME(0,Сентябрь!AG15,0),"ч::мм"))</f>
        <v/>
      </c>
      <c r="P26" s="3" t="str">
        <f ca="1">IF(TEXT(Настройки!$J4+TIME(0,Сентябрь!AH15,0),"ч::мм")=TEXT(Настройки!$J4,"ч:мм"),"",TEXT(Настройки!$J4,"ч:мм")&amp;"-"&amp;TEXT(Настройки!$J4+TIME(0,Сентябрь!AH15,0),"ч::мм"))</f>
        <v/>
      </c>
    </row>
    <row r="27" spans="1:18" x14ac:dyDescent="0.25">
      <c r="Q27" s="10"/>
      <c r="R27" s="10"/>
    </row>
  </sheetData>
  <mergeCells count="9">
    <mergeCell ref="A18:A22"/>
    <mergeCell ref="B18:P19"/>
    <mergeCell ref="B21:P22"/>
    <mergeCell ref="A2:P2"/>
    <mergeCell ref="F6:G6"/>
    <mergeCell ref="H6:I6"/>
    <mergeCell ref="A8:A12"/>
    <mergeCell ref="B8:P9"/>
    <mergeCell ref="B11:P12"/>
  </mergeCells>
  <conditionalFormatting sqref="B10:P10">
    <cfRule type="expression" dxfId="366" priority="2">
      <formula>WEEKDAY(B10:P10,2)&gt;5</formula>
    </cfRule>
  </conditionalFormatting>
  <conditionalFormatting sqref="B20:P20">
    <cfRule type="expression" dxfId="365" priority="1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4" tint="0.39997558519241921"/>
    <pageSetUpPr fitToPage="1"/>
  </sheetPr>
  <dimension ref="A2:AL28"/>
  <sheetViews>
    <sheetView zoomScale="60" zoomScaleNormal="6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4.28515625" style="3" customWidth="1"/>
    <col min="3" max="3" width="17.7109375" style="3" customWidth="1"/>
    <col min="4" max="4" width="9.28515625" style="3" customWidth="1"/>
    <col min="5" max="5" width="6.85546875" style="3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8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8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8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8" ht="18.75" x14ac:dyDescent="0.25">
      <c r="L5" s="11" t="s">
        <v>69</v>
      </c>
      <c r="M5" s="77" t="s">
        <v>129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8" ht="17.25" customHeight="1" x14ac:dyDescent="0.25"/>
    <row r="7" spans="1:38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9"/>
      <c r="AJ7" s="53" t="s">
        <v>64</v>
      </c>
      <c r="AK7" s="54" t="s">
        <v>64</v>
      </c>
    </row>
    <row r="8" spans="1:38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9"/>
      <c r="AJ8" s="53"/>
      <c r="AK8" s="55"/>
    </row>
    <row r="9" spans="1:38" x14ac:dyDescent="0.25">
      <c r="A9" s="63"/>
      <c r="B9" s="66"/>
      <c r="C9" s="66"/>
      <c r="D9" s="73"/>
      <c r="E9" s="18">
        <f>Настройки!G16</f>
        <v>45566</v>
      </c>
      <c r="F9" s="18">
        <f>Настройки!H16</f>
        <v>45567</v>
      </c>
      <c r="G9" s="18">
        <f>Настройки!I16</f>
        <v>45568</v>
      </c>
      <c r="H9" s="18">
        <f>Настройки!J16</f>
        <v>45569</v>
      </c>
      <c r="I9" s="18">
        <f>Настройки!K16</f>
        <v>45570</v>
      </c>
      <c r="J9" s="18">
        <f>Настройки!L16</f>
        <v>45571</v>
      </c>
      <c r="K9" s="18">
        <f>Настройки!M16</f>
        <v>45572</v>
      </c>
      <c r="L9" s="18">
        <f>Настройки!N16</f>
        <v>45573</v>
      </c>
      <c r="M9" s="18">
        <f>Настройки!O16</f>
        <v>45574</v>
      </c>
      <c r="N9" s="18">
        <f>Настройки!P16</f>
        <v>45575</v>
      </c>
      <c r="O9" s="18">
        <f>Настройки!Q16</f>
        <v>45576</v>
      </c>
      <c r="P9" s="18">
        <f>Настройки!R16</f>
        <v>45577</v>
      </c>
      <c r="Q9" s="18">
        <f>Настройки!S16</f>
        <v>45578</v>
      </c>
      <c r="R9" s="18">
        <f>Настройки!T16</f>
        <v>45579</v>
      </c>
      <c r="S9" s="18">
        <f>Настройки!U16</f>
        <v>45580</v>
      </c>
      <c r="T9" s="18">
        <f>Настройки!V16</f>
        <v>45581</v>
      </c>
      <c r="U9" s="18">
        <f>Настройки!W16</f>
        <v>45582</v>
      </c>
      <c r="V9" s="18">
        <f>Настройки!X16</f>
        <v>45583</v>
      </c>
      <c r="W9" s="18">
        <f>Настройки!Y16</f>
        <v>45584</v>
      </c>
      <c r="X9" s="18">
        <f>Настройки!Z16</f>
        <v>45585</v>
      </c>
      <c r="Y9" s="18">
        <f>Настройки!AA16</f>
        <v>45586</v>
      </c>
      <c r="Z9" s="18">
        <f>Настройки!AB16</f>
        <v>45587</v>
      </c>
      <c r="AA9" s="18">
        <f>Настройки!AC16</f>
        <v>45588</v>
      </c>
      <c r="AB9" s="18">
        <f>Настройки!AD16</f>
        <v>45589</v>
      </c>
      <c r="AC9" s="18">
        <f>Настройки!AE16</f>
        <v>45590</v>
      </c>
      <c r="AD9" s="18">
        <f>Настройки!AF16</f>
        <v>45591</v>
      </c>
      <c r="AE9" s="18">
        <f>Настройки!AG16</f>
        <v>45592</v>
      </c>
      <c r="AF9" s="18">
        <f>Настройки!AH16</f>
        <v>45593</v>
      </c>
      <c r="AG9" s="18">
        <f>Настройки!AI16</f>
        <v>45594</v>
      </c>
      <c r="AH9" s="18">
        <f>Настройки!AJ16</f>
        <v>45595</v>
      </c>
      <c r="AI9" s="18">
        <f>Настройки!AK16</f>
        <v>45596</v>
      </c>
      <c r="AJ9" s="53"/>
      <c r="AK9" s="55"/>
    </row>
    <row r="10" spans="1:38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9"/>
      <c r="AJ10" s="53"/>
      <c r="AK10" s="55"/>
    </row>
    <row r="11" spans="1:38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2"/>
      <c r="AJ11" s="53"/>
      <c r="AK11" s="56"/>
    </row>
    <row r="12" spans="1:38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SUMPRODUCT((Настройки!$G$30:$AK$30=1)*E16:AI16)</f>
        <v>0</v>
      </c>
      <c r="D13" s="5">
        <v>1</v>
      </c>
      <c r="E13" s="24">
        <f>SUMPRODUCT((Октябрь[№]=1)*Октябрь[1],Октябрь[Периодичность])</f>
        <v>0</v>
      </c>
      <c r="F13" s="24">
        <f>SUMPRODUCT((Октябрь[№]=1)*Октябрь[2],Октябрь[Периодичность])</f>
        <v>0</v>
      </c>
      <c r="G13" s="24">
        <f>SUMPRODUCT((Октябрь[№]=1)*Октябрь[3],Октябрь[Периодичность])</f>
        <v>0</v>
      </c>
      <c r="H13" s="24">
        <f>SUMPRODUCT((Октябрь[№]=1)*Октябрь[4],Октябрь[Периодичность])</f>
        <v>0</v>
      </c>
      <c r="I13" s="24">
        <f>SUMPRODUCT((Октябрь[№]=1)*Октябрь[5],Октябрь[Периодичность])</f>
        <v>0</v>
      </c>
      <c r="J13" s="24">
        <f>SUMPRODUCT((Октябрь[№]=1)*Октябрь[6],Октябрь[Периодичность])</f>
        <v>0</v>
      </c>
      <c r="K13" s="24">
        <f>SUMPRODUCT((Октябрь[№]=1)*Октябрь[7],Октябрь[Периодичность])</f>
        <v>0</v>
      </c>
      <c r="L13" s="24">
        <f>SUMPRODUCT((Октябрь[№]=1)*Октябрь[8],Октябрь[Периодичность])</f>
        <v>0</v>
      </c>
      <c r="M13" s="24">
        <f>SUMPRODUCT((Октябрь[№]=1)*Октябрь[9],Октябрь[Периодичность])</f>
        <v>0</v>
      </c>
      <c r="N13" s="24">
        <f>SUMPRODUCT((Октябрь[№]=1)*Октябрь[10],Октябрь[Периодичность])</f>
        <v>0</v>
      </c>
      <c r="O13" s="24">
        <f>SUMPRODUCT((Октябрь[№]=1)*Октябрь[11],Октябрь[Периодичность])</f>
        <v>0</v>
      </c>
      <c r="P13" s="24">
        <f>SUMPRODUCT((Октябрь[№]=1)*Октябрь[12],Октябрь[Периодичность])</f>
        <v>0</v>
      </c>
      <c r="Q13" s="24">
        <f>SUMPRODUCT((Октябрь[№]=1)*Октябрь[13],Октябрь[Периодичность])</f>
        <v>0</v>
      </c>
      <c r="R13" s="24">
        <f>SUMPRODUCT((Октябрь[№]=1)*Октябрь[14],Октябрь[Периодичность])</f>
        <v>0</v>
      </c>
      <c r="S13" s="24">
        <f>SUMPRODUCT((Октябрь[№]=1)*Октябрь[15],Октябрь[Периодичность])</f>
        <v>0</v>
      </c>
      <c r="T13" s="24">
        <f>SUMPRODUCT((Октябрь[№]=1)*Октябрь[16],Октябрь[Периодичность])</f>
        <v>0</v>
      </c>
      <c r="U13" s="24">
        <f>SUMPRODUCT((Октябрь[№]=1)*Октябрь[17],Октябрь[Периодичность])</f>
        <v>0</v>
      </c>
      <c r="V13" s="24">
        <f>SUMPRODUCT((Октябрь[№]=1)*Октябрь[18],Октябрь[Периодичность])</f>
        <v>0</v>
      </c>
      <c r="W13" s="24">
        <f>SUMPRODUCT((Октябрь[№]=1)*Октябрь[19],Октябрь[Периодичность])</f>
        <v>0</v>
      </c>
      <c r="X13" s="24">
        <f>SUMPRODUCT((Октябрь[№]=1)*Октябрь[20],Октябрь[Периодичность])</f>
        <v>0</v>
      </c>
      <c r="Y13" s="24">
        <f>SUMPRODUCT((Октябрь[№]=1)*Октябрь[21],Октябрь[Периодичность])</f>
        <v>0</v>
      </c>
      <c r="Z13" s="24">
        <f>SUMPRODUCT((Октябрь[№]=1)*Октябрь[22],Октябрь[Периодичность])</f>
        <v>0</v>
      </c>
      <c r="AA13" s="24">
        <f>SUMPRODUCT((Октябрь[№]=1)*Октябрь[23],Октябрь[Периодичность])</f>
        <v>0</v>
      </c>
      <c r="AB13" s="24">
        <f>SUMPRODUCT((Октябрь[№]=1)*Октябрь[24],Октябрь[Периодичность])</f>
        <v>0</v>
      </c>
      <c r="AC13" s="24">
        <f>SUMPRODUCT((Октябрь[№]=1)*Октябрь[25],Октябрь[Периодичность])</f>
        <v>0</v>
      </c>
      <c r="AD13" s="24">
        <f>SUMPRODUCT((Октябрь[№]=1)*Октябрь[26],Октябрь[Периодичность])</f>
        <v>0</v>
      </c>
      <c r="AE13" s="24">
        <f>SUMPRODUCT((Октябрь[№]=1)*Октябрь[27],Октябрь[Периодичность])</f>
        <v>0</v>
      </c>
      <c r="AF13" s="24">
        <f>SUMPRODUCT((Октябрь[№]=1)*Октябрь[28],Октябрь[Периодичность])</f>
        <v>0</v>
      </c>
      <c r="AG13" s="24">
        <f>SUMPRODUCT((Октябрь[№]=1)*Октябрь[29],Октябрь[Периодичность])</f>
        <v>0</v>
      </c>
      <c r="AH13" s="24">
        <f>SUMPRODUCT((Октябрь[№]=1)*Октябрь[30],Октябрь[Периодичность])</f>
        <v>0</v>
      </c>
      <c r="AI13" s="24">
        <f>SUMPRODUCT((Октябрь[№]=1)*Октябрь[31],Октябрь[Периодичность])</f>
        <v>0</v>
      </c>
      <c r="AL13" s="4"/>
    </row>
    <row r="14" spans="1:38" x14ac:dyDescent="0.25">
      <c r="B14" s="3">
        <f ca="1">SUMPRODUCT((Настройки!$G$30:$AK$30=2)*E16:AI16)</f>
        <v>0</v>
      </c>
      <c r="D14" s="5">
        <v>2</v>
      </c>
      <c r="E14" s="24">
        <f ca="1">SUMPRODUCT((Октябрь[№]=2)*Октябрь[1],OFFSET(Октябрь[Периодичность],-1,0))</f>
        <v>0</v>
      </c>
      <c r="F14" s="24">
        <f ca="1">SUMPRODUCT((Октябрь[№]=2)*Октябрь[2],OFFSET(Октябрь[Периодичность],-1,0))</f>
        <v>0</v>
      </c>
      <c r="G14" s="24">
        <f ca="1">SUMPRODUCT((Октябрь[№]=2)*Октябрь[3],OFFSET(Октябрь[Периодичность],-1,0))</f>
        <v>0</v>
      </c>
      <c r="H14" s="24">
        <f ca="1">SUMPRODUCT((Октябрь[№]=2)*Октябрь[4],OFFSET(Октябрь[Периодичность],-1,0))</f>
        <v>0</v>
      </c>
      <c r="I14" s="24">
        <f ca="1">SUMPRODUCT((Октябрь[№]=2)*Октябрь[5],OFFSET(Октябрь[Периодичность],-1,0))</f>
        <v>0</v>
      </c>
      <c r="J14" s="24">
        <f ca="1">SUMPRODUCT((Октябрь[№]=2)*Октябрь[6],OFFSET(Октябрь[Периодичность],-1,0))</f>
        <v>0</v>
      </c>
      <c r="K14" s="24">
        <f ca="1">SUMPRODUCT((Октябрь[№]=2)*Октябрь[7],OFFSET(Октябрь[Периодичность],-1,0))</f>
        <v>0</v>
      </c>
      <c r="L14" s="24">
        <f ca="1">SUMPRODUCT((Октябрь[№]=2)*Октябрь[8],OFFSET(Октябрь[Периодичность],-1,0))</f>
        <v>0</v>
      </c>
      <c r="M14" s="24">
        <f ca="1">SUMPRODUCT((Октябрь[№]=2)*Октябрь[9],OFFSET(Октябрь[Периодичность],-1,0))</f>
        <v>0</v>
      </c>
      <c r="N14" s="24">
        <f ca="1">SUMPRODUCT((Октябрь[№]=2)*Октябрь[10],OFFSET(Октябрь[Периодичность],-1,0))</f>
        <v>0</v>
      </c>
      <c r="O14" s="24">
        <f ca="1">SUMPRODUCT((Октябрь[№]=2)*Октябрь[11],OFFSET(Октябрь[Периодичность],-1,0))</f>
        <v>0</v>
      </c>
      <c r="P14" s="24">
        <f ca="1">SUMPRODUCT((Октябрь[№]=2)*Октябрь[12],OFFSET(Октябрь[Периодичность],-1,0))</f>
        <v>0</v>
      </c>
      <c r="Q14" s="24">
        <f ca="1">SUMPRODUCT((Октябрь[№]=2)*Октябрь[13],OFFSET(Октябрь[Периодичность],-1,0))</f>
        <v>0</v>
      </c>
      <c r="R14" s="24">
        <f ca="1">SUMPRODUCT((Октябрь[№]=2)*Октябрь[14],OFFSET(Октябрь[Периодичность],-1,0))</f>
        <v>0</v>
      </c>
      <c r="S14" s="24">
        <f ca="1">SUMPRODUCT((Октябрь[№]=2)*Октябрь[15],OFFSET(Октябрь[Периодичность],-1,0))</f>
        <v>0</v>
      </c>
      <c r="T14" s="24">
        <f ca="1">SUMPRODUCT((Октябрь[№]=2)*Октябрь[16],OFFSET(Октябрь[Периодичность],-1,0))</f>
        <v>0</v>
      </c>
      <c r="U14" s="24">
        <f ca="1">SUMPRODUCT((Октябрь[№]=2)*Октябрь[17],OFFSET(Октябрь[Периодичность],-1,0))</f>
        <v>0</v>
      </c>
      <c r="V14" s="24">
        <f ca="1">SUMPRODUCT((Октябрь[№]=2)*Октябрь[18],OFFSET(Октябрь[Периодичность],-1,0))</f>
        <v>0</v>
      </c>
      <c r="W14" s="24">
        <f ca="1">SUMPRODUCT((Октябрь[№]=2)*Октябрь[19],OFFSET(Октябрь[Периодичность],-1,0))</f>
        <v>0</v>
      </c>
      <c r="X14" s="24">
        <f ca="1">SUMPRODUCT((Октябрь[№]=2)*Октябрь[20],OFFSET(Октябрь[Периодичность],-1,0))</f>
        <v>0</v>
      </c>
      <c r="Y14" s="24">
        <f ca="1">SUMPRODUCT((Октябрь[№]=2)*Октябрь[21],OFFSET(Октябрь[Периодичность],-1,0))</f>
        <v>0</v>
      </c>
      <c r="Z14" s="24">
        <f ca="1">SUMPRODUCT((Октябрь[№]=2)*Октябрь[22],OFFSET(Октябрь[Периодичность],-1,0))</f>
        <v>0</v>
      </c>
      <c r="AA14" s="24">
        <f ca="1">SUMPRODUCT((Октябрь[№]=2)*Октябрь[23],OFFSET(Октябрь[Периодичность],-1,0))</f>
        <v>0</v>
      </c>
      <c r="AB14" s="24">
        <f ca="1">SUMPRODUCT((Октябрь[№]=2)*Октябрь[24],OFFSET(Октябрь[Периодичность],-1,0))</f>
        <v>0</v>
      </c>
      <c r="AC14" s="24">
        <f ca="1">SUMPRODUCT((Октябрь[№]=2)*Октябрь[25],OFFSET(Октябрь[Периодичность],-1,0))</f>
        <v>0</v>
      </c>
      <c r="AD14" s="24">
        <f ca="1">SUMPRODUCT((Октябрь[№]=2)*Октябрь[26],OFFSET(Октябрь[Периодичность],-1,0))</f>
        <v>0</v>
      </c>
      <c r="AE14" s="24">
        <f ca="1">SUMPRODUCT((Октябрь[№]=2)*Октябрь[27],OFFSET(Октябрь[Периодичность],-1,0))</f>
        <v>0</v>
      </c>
      <c r="AF14" s="24">
        <f ca="1">SUMPRODUCT((Октябрь[№]=2)*Октябрь[28],OFFSET(Октябрь[Периодичность],-1,0))</f>
        <v>0</v>
      </c>
      <c r="AG14" s="24">
        <f ca="1">SUMPRODUCT((Октябрь[№]=2)*Октябрь[29],OFFSET(Октябрь[Периодичность],-1,0))</f>
        <v>0</v>
      </c>
      <c r="AH14" s="24">
        <f ca="1">SUMPRODUCT((Октябрь[№]=2)*Октябрь[30],OFFSET(Октябрь[Периодичность],-1,0))</f>
        <v>0</v>
      </c>
      <c r="AI14" s="24">
        <f ca="1">SUMPRODUCT((Октябрь[№]=2)*Октябрь[31],OFFSET(Октябрь[Периодичность],-1,0))</f>
        <v>0</v>
      </c>
      <c r="AL14" s="4"/>
    </row>
    <row r="15" spans="1:38" x14ac:dyDescent="0.25">
      <c r="B15" s="3">
        <f ca="1">SUMPRODUCT((Настройки!$G$30:$AK$30=3)*E16:AI16)</f>
        <v>0</v>
      </c>
      <c r="D15" s="5">
        <v>3</v>
      </c>
      <c r="E15" s="24">
        <f ca="1">SUMPRODUCT((Октябрь[№]=3)*Октябрь[1],OFFSET(Октябрь[Периодичность],-2,0))</f>
        <v>0</v>
      </c>
      <c r="F15" s="24">
        <f ca="1">SUMPRODUCT((Октябрь[№]=3)*Октябрь[2],OFFSET(Октябрь[Периодичность],-2,0))</f>
        <v>0</v>
      </c>
      <c r="G15" s="24">
        <f ca="1">SUMPRODUCT((Октябрь[№]=3)*Октябрь[3],OFFSET(Октябрь[Периодичность],-2,0))</f>
        <v>0</v>
      </c>
      <c r="H15" s="24">
        <f ca="1">SUMPRODUCT((Октябрь[№]=3)*Октябрь[4],OFFSET(Октябрь[Периодичность],-2,0))</f>
        <v>0</v>
      </c>
      <c r="I15" s="24">
        <f ca="1">SUMPRODUCT((Октябрь[№]=3)*Октябрь[5],OFFSET(Октябрь[Периодичность],-2,0))</f>
        <v>0</v>
      </c>
      <c r="J15" s="24">
        <f ca="1">SUMPRODUCT((Октябрь[№]=3)*Октябрь[6],OFFSET(Октябрь[Периодичность],-2,0))</f>
        <v>0</v>
      </c>
      <c r="K15" s="24">
        <f ca="1">SUMPRODUCT((Октябрь[№]=3)*Октябрь[7],OFFSET(Октябрь[Периодичность],-2,0))</f>
        <v>0</v>
      </c>
      <c r="L15" s="24">
        <f ca="1">SUMPRODUCT((Октябрь[№]=3)*Октябрь[8],OFFSET(Октябрь[Периодичность],-2,0))</f>
        <v>0</v>
      </c>
      <c r="M15" s="24">
        <f ca="1">SUMPRODUCT((Октябрь[№]=3)*Октябрь[9],OFFSET(Октябрь[Периодичность],-2,0))</f>
        <v>0</v>
      </c>
      <c r="N15" s="24">
        <f ca="1">SUMPRODUCT((Октябрь[№]=3)*Октябрь[10],OFFSET(Октябрь[Периодичность],-2,0))</f>
        <v>0</v>
      </c>
      <c r="O15" s="24">
        <f ca="1">SUMPRODUCT((Октябрь[№]=3)*Октябрь[11],OFFSET(Октябрь[Периодичность],-2,0))</f>
        <v>0</v>
      </c>
      <c r="P15" s="24">
        <f ca="1">SUMPRODUCT((Октябрь[№]=3)*Октябрь[12],OFFSET(Октябрь[Периодичность],-2,0))</f>
        <v>0</v>
      </c>
      <c r="Q15" s="24">
        <f ca="1">SUMPRODUCT((Октябрь[№]=3)*Октябрь[13],OFFSET(Октябрь[Периодичность],-2,0))</f>
        <v>0</v>
      </c>
      <c r="R15" s="24">
        <f ca="1">SUMPRODUCT((Октябрь[№]=3)*Октябрь[14],OFFSET(Октябрь[Периодичность],-2,0))</f>
        <v>0</v>
      </c>
      <c r="S15" s="24">
        <f ca="1">SUMPRODUCT((Октябрь[№]=3)*Октябрь[15],OFFSET(Октябрь[Периодичность],-2,0))</f>
        <v>0</v>
      </c>
      <c r="T15" s="24">
        <f ca="1">SUMPRODUCT((Октябрь[№]=3)*Октябрь[16],OFFSET(Октябрь[Периодичность],-2,0))</f>
        <v>0</v>
      </c>
      <c r="U15" s="24">
        <f ca="1">SUMPRODUCT((Октябрь[№]=3)*Октябрь[17],OFFSET(Октябрь[Периодичность],-2,0))</f>
        <v>0</v>
      </c>
      <c r="V15" s="24">
        <f ca="1">SUMPRODUCT((Октябрь[№]=3)*Октябрь[18],OFFSET(Октябрь[Периодичность],-2,0))</f>
        <v>0</v>
      </c>
      <c r="W15" s="24">
        <f ca="1">SUMPRODUCT((Октябрь[№]=3)*Октябрь[19],OFFSET(Октябрь[Периодичность],-2,0))</f>
        <v>0</v>
      </c>
      <c r="X15" s="24">
        <f ca="1">SUMPRODUCT((Октябрь[№]=3)*Октябрь[20],OFFSET(Октябрь[Периодичность],-2,0))</f>
        <v>0</v>
      </c>
      <c r="Y15" s="24">
        <f ca="1">SUMPRODUCT((Октябрь[№]=3)*Октябрь[21],OFFSET(Октябрь[Периодичность],-2,0))</f>
        <v>0</v>
      </c>
      <c r="Z15" s="24">
        <f ca="1">SUMPRODUCT((Октябрь[№]=3)*Октябрь[22],OFFSET(Октябрь[Периодичность],-2,0))</f>
        <v>0</v>
      </c>
      <c r="AA15" s="24">
        <f ca="1">SUMPRODUCT((Октябрь[№]=3)*Октябрь[23],OFFSET(Октябрь[Периодичность],-2,0))</f>
        <v>0</v>
      </c>
      <c r="AB15" s="24">
        <f ca="1">SUMPRODUCT((Октябрь[№]=3)*Октябрь[24],OFFSET(Октябрь[Периодичность],-2,0))</f>
        <v>0</v>
      </c>
      <c r="AC15" s="24">
        <f ca="1">SUMPRODUCT((Октябрь[№]=3)*Октябрь[25],OFFSET(Октябрь[Периодичность],-2,0))</f>
        <v>0</v>
      </c>
      <c r="AD15" s="24">
        <f ca="1">SUMPRODUCT((Октябрь[№]=3)*Октябрь[26],OFFSET(Октябрь[Периодичность],-2,0))</f>
        <v>0</v>
      </c>
      <c r="AE15" s="24">
        <f ca="1">SUMPRODUCT((Октябрь[№]=3)*Октябрь[27],OFFSET(Октябрь[Периодичность],-2,0))</f>
        <v>0</v>
      </c>
      <c r="AF15" s="24">
        <f ca="1">SUMPRODUCT((Октябрь[№]=3)*Октябрь[28],OFFSET(Октябрь[Периодичность],-2,0))</f>
        <v>0</v>
      </c>
      <c r="AG15" s="24">
        <f ca="1">SUMPRODUCT((Октябрь[№]=3)*Октябрь[29],OFFSET(Октябрь[Периодичность],-2,0))</f>
        <v>0</v>
      </c>
      <c r="AH15" s="24">
        <f ca="1">SUMPRODUCT((Октябрь[№]=3)*Октябрь[30],OFFSET(Октябрь[Периодичность],-2,0))</f>
        <v>0</v>
      </c>
      <c r="AI15" s="24">
        <f ca="1">SUMPRODUCT((Октябрь[№]=3)*Октябрь[31],OFFSET(Октябрь[Периодичность],-2,0))</f>
        <v>0</v>
      </c>
      <c r="AK15" s="10"/>
    </row>
    <row r="16" spans="1:38" ht="22.5" customHeight="1" x14ac:dyDescent="0.25">
      <c r="B16" s="3">
        <f ca="1">SUMPRODUCT((Настройки!$G$30:$AK$30=4)*E16:AI16)</f>
        <v>0</v>
      </c>
      <c r="D16" s="5"/>
      <c r="E16" s="24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I16" s="24">
        <f ca="1">SUM(AI13:AI15)</f>
        <v>0</v>
      </c>
      <c r="AK16" s="10"/>
    </row>
    <row r="17" spans="1:37" ht="22.5" customHeight="1" x14ac:dyDescent="0.25">
      <c r="B17" s="3">
        <f ca="1">SUMPRODUCT((Настройки!$G$30:$AK$30=5)*E16:AI16)</f>
        <v>0</v>
      </c>
      <c r="C17" s="5">
        <f ca="1">ОктябрьИтоги[[#This Row],[№]]*60</f>
        <v>0</v>
      </c>
      <c r="D17" s="7">
        <f ca="1">SUM(ОктябрьИтоги[[#This Row],[1]:[31]])</f>
        <v>0</v>
      </c>
      <c r="E17" s="25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25">
        <f ca="1">AI16/60</f>
        <v>0</v>
      </c>
      <c r="AJ17" s="5">
        <f ca="1">SUM(Октябрь[УСЛУГ])</f>
        <v>0</v>
      </c>
      <c r="AK17" s="16">
        <f ca="1">SUM(Октябрь[МИНУТ])</f>
        <v>0</v>
      </c>
    </row>
    <row r="18" spans="1:37" ht="22.5" customHeight="1" x14ac:dyDescent="0.25">
      <c r="B18" s="14">
        <f ca="1">SUMPRODUCT((Настройки!$G$30:$AK$30=6)*E16:AI16)</f>
        <v>0</v>
      </c>
      <c r="C18" s="14"/>
      <c r="D18" s="7"/>
      <c r="E18" s="47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47"/>
      <c r="AJ18" s="14"/>
      <c r="AK18" s="46"/>
    </row>
    <row r="19" spans="1:37" ht="20.25" customHeight="1" x14ac:dyDescent="0.25"/>
    <row r="20" spans="1:37" ht="22.5" customHeight="1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9"/>
      <c r="AJ20" s="53" t="s">
        <v>64</v>
      </c>
      <c r="AK20" s="54" t="s">
        <v>64</v>
      </c>
    </row>
    <row r="21" spans="1:37" ht="18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9"/>
      <c r="AJ21" s="53"/>
      <c r="AK21" s="55"/>
    </row>
    <row r="22" spans="1:37" ht="21.75" customHeight="1" x14ac:dyDescent="0.25">
      <c r="A22" s="63"/>
      <c r="B22" s="63"/>
      <c r="C22" s="64"/>
      <c r="D22" s="66"/>
      <c r="E22" s="21">
        <f>Настройки!G16</f>
        <v>45566</v>
      </c>
      <c r="F22" s="21">
        <f>Настройки!H16</f>
        <v>45567</v>
      </c>
      <c r="G22" s="21">
        <f>Настройки!I16</f>
        <v>45568</v>
      </c>
      <c r="H22" s="21">
        <f>Настройки!J16</f>
        <v>45569</v>
      </c>
      <c r="I22" s="21">
        <f>Настройки!K16</f>
        <v>45570</v>
      </c>
      <c r="J22" s="21">
        <f>Настройки!L16</f>
        <v>45571</v>
      </c>
      <c r="K22" s="21">
        <f>Настройки!M16</f>
        <v>45572</v>
      </c>
      <c r="L22" s="21">
        <f>Настройки!N16</f>
        <v>45573</v>
      </c>
      <c r="M22" s="21">
        <f>Настройки!O16</f>
        <v>45574</v>
      </c>
      <c r="N22" s="21">
        <f>Настройки!P16</f>
        <v>45575</v>
      </c>
      <c r="O22" s="21">
        <f>Настройки!Q16</f>
        <v>45576</v>
      </c>
      <c r="P22" s="21">
        <f>Настройки!R16</f>
        <v>45577</v>
      </c>
      <c r="Q22" s="21">
        <f>Настройки!S16</f>
        <v>45578</v>
      </c>
      <c r="R22" s="21">
        <f>Настройки!T16</f>
        <v>45579</v>
      </c>
      <c r="S22" s="21">
        <f>Настройки!U16</f>
        <v>45580</v>
      </c>
      <c r="T22" s="21">
        <f>Настройки!V16</f>
        <v>45581</v>
      </c>
      <c r="U22" s="21">
        <f>Настройки!W16</f>
        <v>45582</v>
      </c>
      <c r="V22" s="21">
        <f>Настройки!X16</f>
        <v>45583</v>
      </c>
      <c r="W22" s="21">
        <f>Настройки!Y16</f>
        <v>45584</v>
      </c>
      <c r="X22" s="21">
        <f>Настройки!Z16</f>
        <v>45585</v>
      </c>
      <c r="Y22" s="21">
        <f>Настройки!AA16</f>
        <v>45586</v>
      </c>
      <c r="Z22" s="21">
        <f>Настройки!AB16</f>
        <v>45587</v>
      </c>
      <c r="AA22" s="21">
        <f>Настройки!AC16</f>
        <v>45588</v>
      </c>
      <c r="AB22" s="21">
        <f>Настройки!AD16</f>
        <v>45589</v>
      </c>
      <c r="AC22" s="21">
        <f>Настройки!AE16</f>
        <v>45590</v>
      </c>
      <c r="AD22" s="21">
        <f>Настройки!AF16</f>
        <v>45591</v>
      </c>
      <c r="AE22" s="21">
        <f>Настройки!AG16</f>
        <v>45592</v>
      </c>
      <c r="AF22" s="21">
        <f>Настройки!AH16</f>
        <v>45593</v>
      </c>
      <c r="AG22" s="21">
        <f>Настройки!AI16</f>
        <v>45594</v>
      </c>
      <c r="AH22" s="21">
        <f>Настройки!AJ16</f>
        <v>45595</v>
      </c>
      <c r="AI22" s="21">
        <f>Настройки!AK16</f>
        <v>45596</v>
      </c>
      <c r="AJ22" s="53"/>
      <c r="AK22" s="55"/>
    </row>
    <row r="23" spans="1:37" x14ac:dyDescent="0.25">
      <c r="A23" s="63"/>
      <c r="B23" s="63"/>
      <c r="C23" s="64"/>
      <c r="D23" s="66"/>
      <c r="E23" s="63" t="s">
        <v>54</v>
      </c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70"/>
      <c r="AJ23" s="53"/>
      <c r="AK23" s="55"/>
    </row>
    <row r="24" spans="1:37" x14ac:dyDescent="0.25">
      <c r="A24" s="63"/>
      <c r="B24" s="63"/>
      <c r="C24" s="64"/>
      <c r="D24" s="66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70"/>
      <c r="AJ24" s="53"/>
      <c r="AK24" s="56"/>
    </row>
    <row r="25" spans="1:37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IF(Октябрь[[#This Row],[№]]=1,SUM(Октябрь[[#This Row],[1]:[31]])+SUM(OFFSET(Октябрь[[#This Row],[1]:[31]],1,0))+SUM(OFFSET(Октябрь[[#This Row],[1]:[31]],2,0)),"")</f>
        <v>0</v>
      </c>
      <c r="AK26" s="5">
        <f ca="1">IF(Октябрь[[#This Row],[УСЛУГ]]&lt;&gt;"",Октябрь[[#This Row],[УСЛУГ]]*Октябрь[[#This Row],[Периодичность]],"")</f>
        <v>0</v>
      </c>
    </row>
    <row r="27" spans="1:37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IF(Октябрь[[#This Row],[№]]=1,SUM(Октябрь[[#This Row],[1]:[31]])+SUM(OFFSET(Октябрь[[#This Row],[1]:[31]],1,0))+SUM(OFFSET(Октябрь[[#This Row],[1]:[31]],2,0)),"")</f>
        <v/>
      </c>
      <c r="AK27" s="5" t="str">
        <f ca="1">IF(Октябрь[[#This Row],[УСЛУГ]]&lt;&gt;"",Октябрь[[#This Row],[УСЛУГ]]*Октябрь[[#This Row],[Периодичность]],"")</f>
        <v/>
      </c>
    </row>
    <row r="28" spans="1:37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IF(Октябрь[[#This Row],[№]]=1,SUM(Октябрь[[#This Row],[1]:[31]])+SUM(OFFSET(Октябрь[[#This Row],[1]:[31]],1,0))+SUM(OFFSET(Октябрь[[#This Row],[1]:[31]],2,0)),"")</f>
        <v/>
      </c>
      <c r="AK28" s="5" t="str">
        <f ca="1">IF(Октябрь[[#This Row],[УСЛУГ]]&lt;&gt;"",Октябрь[[#This Row],[УСЛУГ]]*Октябрь[[#This Row],[Периодичность]],"")</f>
        <v/>
      </c>
    </row>
  </sheetData>
  <mergeCells count="20"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  <mergeCell ref="A2:AJ2"/>
    <mergeCell ref="A3:AJ3"/>
    <mergeCell ref="J4:L4"/>
    <mergeCell ref="M4:U4"/>
    <mergeCell ref="M5:Q5"/>
  </mergeCells>
  <conditionalFormatting sqref="E9:AI9">
    <cfRule type="expression" dxfId="328" priority="2">
      <formula>WEEKDAY(E9:AI9,2)&gt;5</formula>
    </cfRule>
  </conditionalFormatting>
  <conditionalFormatting sqref="E22:AI22">
    <cfRule type="expression" dxfId="327" priority="1">
      <formula>WEEKDAY(E22:AI22,2)&gt;5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AI13:AK13 B13:B18 E16:E17 AI16:AK17 AJ14:AK14 AJ15:AK15 E14:AI15" calculatedColumn="1"/>
  </ignoredErrors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7" tint="0.39997558519241921"/>
    <pageSetUpPr fitToPage="1"/>
  </sheetPr>
  <dimension ref="A2:AF36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129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Настройки!G16</f>
        <v>45566</v>
      </c>
      <c r="C10" s="30">
        <f>Настройки!H16</f>
        <v>45567</v>
      </c>
      <c r="D10" s="30">
        <f>Настройки!I16</f>
        <v>45568</v>
      </c>
      <c r="E10" s="30">
        <f>Настройки!J16</f>
        <v>45569</v>
      </c>
      <c r="F10" s="30">
        <f>Настройки!K16</f>
        <v>45570</v>
      </c>
      <c r="G10" s="30">
        <f>Настройки!L16</f>
        <v>45571</v>
      </c>
      <c r="H10" s="30">
        <f>Настройки!M16</f>
        <v>45572</v>
      </c>
      <c r="I10" s="30">
        <f>Настройки!N16</f>
        <v>45573</v>
      </c>
      <c r="J10" s="30">
        <f>Настройки!O16</f>
        <v>45574</v>
      </c>
      <c r="K10" s="30">
        <f>Настройки!P16</f>
        <v>45575</v>
      </c>
      <c r="L10" s="30">
        <f>Настройки!Q16</f>
        <v>45576</v>
      </c>
      <c r="M10" s="30">
        <f>Настройки!R16</f>
        <v>45577</v>
      </c>
      <c r="N10" s="30">
        <f>Настройки!S16</f>
        <v>45578</v>
      </c>
      <c r="O10" s="30">
        <f>Настройки!T16</f>
        <v>45579</v>
      </c>
      <c r="P10" s="30">
        <f>Настройки!U16</f>
        <v>45580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IF(Настройки!J2&lt;&gt;"",TEXT(Настройки!J2,"ч:мм")&amp;"-"&amp;TEXT(Настройки!J2+TIME(0,MAX(Октябрь!E13:AI13),0),"ч:мм"),"")</f>
        <v>9:00-9:00</v>
      </c>
      <c r="B14" s="31" t="str">
        <f>IF(TEXT(Настройки!$J2+TIME(0,Октябрь!E13,0),"ч::мм")=TEXT(Настройки!$J2,"ч:мм"),"",TEXT(Настройки!$J2,"ч:мм")&amp;"-"&amp;TEXT(Настройки!$J2+TIME(0,Октябрь!E13,0),"ч::мм"))</f>
        <v/>
      </c>
      <c r="C14" s="31" t="str">
        <f>IF(TEXT(Настройки!$J2+TIME(0,Октябрь!F13,0),"ч::мм")=TEXT(Настройки!$J2,"ч:мм"),"",TEXT(Настройки!$J2,"ч:мм")&amp;"-"&amp;TEXT(Настройки!$J2+TIME(0,Октябрь!F13,0),"ч::мм"))</f>
        <v/>
      </c>
      <c r="D14" s="31" t="str">
        <f>IF(TEXT(Настройки!$J2+TIME(0,Октябрь!G13,0),"ч::мм")=TEXT(Настройки!$J2,"ч:мм"),"",TEXT(Настройки!$J2,"ч:мм")&amp;"-"&amp;TEXT(Настройки!$J2+TIME(0,Октябрь!G13,0),"ч::мм"))</f>
        <v/>
      </c>
      <c r="E14" s="31" t="str">
        <f>IF(TEXT(Настройки!$J2+TIME(0,Октябрь!H13,0),"ч::мм")=TEXT(Настройки!$J2,"ч:мм"),"",TEXT(Настройки!$J2,"ч:мм")&amp;"-"&amp;TEXT(Настройки!$J2+TIME(0,Октябрь!H13,0),"ч::мм"))</f>
        <v/>
      </c>
      <c r="F14" s="31" t="str">
        <f>IF(TEXT(Настройки!$J2+TIME(0,Октябрь!I13,0),"ч::мм")=TEXT(Настройки!$J2,"ч:мм"),"",TEXT(Настройки!$J2,"ч:мм")&amp;"-"&amp;TEXT(Настройки!$J2+TIME(0,Октябрь!I13,0),"ч::мм"))</f>
        <v/>
      </c>
      <c r="G14" s="31" t="str">
        <f>IF(TEXT(Настройки!$J2+TIME(0,Октябрь!J13,0),"ч::мм")=TEXT(Настройки!$J2,"ч:мм"),"",TEXT(Настройки!$J2,"ч:мм")&amp;"-"&amp;TEXT(Настройки!$J2+TIME(0,Октябрь!J13,0),"ч::мм"))</f>
        <v/>
      </c>
      <c r="H14" s="31" t="str">
        <f>IF(TEXT(Настройки!$J2+TIME(0,Октябрь!K13,0),"ч::мм")=TEXT(Настройки!$J2,"ч:мм"),"",TEXT(Настройки!$J2,"ч:мм")&amp;"-"&amp;TEXT(Настройки!$J2+TIME(0,Октябрь!K13,0),"ч::мм"))</f>
        <v/>
      </c>
      <c r="I14" s="31" t="str">
        <f>IF(TEXT(Настройки!$J2+TIME(0,Октябрь!L13,0),"ч::мм")=TEXT(Настройки!$J2,"ч:мм"),"",TEXT(Настройки!$J2,"ч:мм")&amp;"-"&amp;TEXT(Настройки!$J2+TIME(0,Октябрь!L13,0),"ч::мм"))</f>
        <v/>
      </c>
      <c r="J14" s="31" t="str">
        <f>IF(TEXT(Настройки!$J2+TIME(0,Октябрь!M13,0),"ч::мм")=TEXT(Настройки!$J2,"ч:мм"),"",TEXT(Настройки!$J2,"ч:мм")&amp;"-"&amp;TEXT(Настройки!$J2+TIME(0,Октябрь!M13,0),"ч::мм"))</f>
        <v/>
      </c>
      <c r="K14" s="31" t="str">
        <f>IF(TEXT(Настройки!$J2+TIME(0,Октябрь!N13,0),"ч::мм")=TEXT(Настройки!$J2,"ч:мм"),"",TEXT(Настройки!$J2,"ч:мм")&amp;"-"&amp;TEXT(Настройки!$J2+TIME(0,Октябрь!N13,0),"ч::мм"))</f>
        <v/>
      </c>
      <c r="L14" s="31" t="str">
        <f>IF(TEXT(Настройки!$J2+TIME(0,Октябрь!O13,0),"ч::мм")=TEXT(Настройки!$J2,"ч:мм"),"",TEXT(Настройки!$J2,"ч:мм")&amp;"-"&amp;TEXT(Настройки!$J2+TIME(0,Октябрь!O13,0),"ч::мм"))</f>
        <v/>
      </c>
      <c r="M14" s="31" t="str">
        <f>IF(TEXT(Настройки!$J2+TIME(0,Октябрь!P13,0),"ч::мм")=TEXT(Настройки!$J2,"ч:мм"),"",TEXT(Настройки!$J2,"ч:мм")&amp;"-"&amp;TEXT(Настройки!$J2+TIME(0,Октябрь!P13,0),"ч::мм"))</f>
        <v/>
      </c>
      <c r="N14" s="31" t="str">
        <f>IF(TEXT(Настройки!$J2+TIME(0,Октябрь!Q13,0),"ч::мм")=TEXT(Настройки!$J2,"ч:мм"),"",TEXT(Настройки!$J2,"ч:мм")&amp;"-"&amp;TEXT(Настройки!$J2+TIME(0,Октябрь!Q13,0),"ч::мм"))</f>
        <v/>
      </c>
      <c r="O14" s="31" t="str">
        <f>IF(TEXT(Настройки!$J2+TIME(0,Октябрь!R13,0),"ч::мм")=TEXT(Настройки!$J2,"ч:мм"),"",TEXT(Настройки!$J2,"ч:мм")&amp;"-"&amp;TEXT(Настройки!$J2+TIME(0,Октябрь!R13,0),"ч::мм"))</f>
        <v/>
      </c>
      <c r="P14" s="31" t="str">
        <f>IF(TEXT(Настройки!$J2+TIME(0,Октябрь!S13,0),"ч::мм")=TEXT(Настройки!$J2,"ч:мм"),"",TEXT(Настройки!$J2,"ч:мм")&amp;"-"&amp;TEXT(Настройки!$J2+TIME(0,Октябрь!S13,0),"ч::мм"))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IF(Настройки!J3&lt;&gt;"",TEXT(Настройки!J3,"ч:мм")&amp;"-"&amp;TEXT(Настройки!J3+TIME(0,MAX(Октябрь!E14:AI14),0),"ч:мм"),"")</f>
        <v>13:00-13:00</v>
      </c>
      <c r="B15" s="31" t="str">
        <f ca="1">IF(TEXT(Настройки!$J3+TIME(0,Октябрь!E14,0),"ч::мм")=TEXT(Настройки!$J3,"ч:мм"),"",TEXT(Настройки!$J3,"ч:мм")&amp;"-"&amp;TEXT(Настройки!$J3+TIME(0,Октябрь!E14,0),"ч::мм"))</f>
        <v/>
      </c>
      <c r="C15" s="31" t="str">
        <f ca="1">IF(TEXT(Настройки!$J3+TIME(0,Октябрь!F14,0),"ч::мм")=TEXT(Настройки!$J3,"ч:мм"),"",TEXT(Настройки!$J3,"ч:мм")&amp;"-"&amp;TEXT(Настройки!$J3+TIME(0,Октябрь!F14,0),"ч::мм"))</f>
        <v/>
      </c>
      <c r="D15" s="31" t="str">
        <f ca="1">IF(TEXT(Настройки!$J3+TIME(0,Октябрь!G14,0),"ч::мм")=TEXT(Настройки!$J3,"ч:мм"),"",TEXT(Настройки!$J3,"ч:мм")&amp;"-"&amp;TEXT(Настройки!$J3+TIME(0,Октябрь!G14,0),"ч::мм"))</f>
        <v/>
      </c>
      <c r="E15" s="31" t="str">
        <f ca="1">IF(TEXT(Настройки!$J3+TIME(0,Октябрь!H14,0),"ч::мм")=TEXT(Настройки!$J3,"ч:мм"),"",TEXT(Настройки!$J3,"ч:мм")&amp;"-"&amp;TEXT(Настройки!$J3+TIME(0,Октябрь!H14,0),"ч::мм"))</f>
        <v/>
      </c>
      <c r="F15" s="31" t="str">
        <f ca="1">IF(TEXT(Настройки!$J3+TIME(0,Октябрь!I14,0),"ч::мм")=TEXT(Настройки!$J3,"ч:мм"),"",TEXT(Настройки!$J3,"ч:мм")&amp;"-"&amp;TEXT(Настройки!$J3+TIME(0,Октябрь!I14,0),"ч::мм"))</f>
        <v/>
      </c>
      <c r="G15" s="31" t="str">
        <f ca="1">IF(TEXT(Настройки!$J3+TIME(0,Октябрь!J14,0),"ч::мм")=TEXT(Настройки!$J3,"ч:мм"),"",TEXT(Настройки!$J3,"ч:мм")&amp;"-"&amp;TEXT(Настройки!$J3+TIME(0,Октябрь!J14,0),"ч::мм"))</f>
        <v/>
      </c>
      <c r="H15" s="31" t="str">
        <f ca="1">IF(TEXT(Настройки!$J3+TIME(0,Октябрь!K14,0),"ч::мм")=TEXT(Настройки!$J3,"ч:мм"),"",TEXT(Настройки!$J3,"ч:мм")&amp;"-"&amp;TEXT(Настройки!$J3+TIME(0,Октябрь!K14,0),"ч::мм"))</f>
        <v/>
      </c>
      <c r="I15" s="31" t="str">
        <f ca="1">IF(TEXT(Настройки!$J3+TIME(0,Октябрь!L14,0),"ч::мм")=TEXT(Настройки!$J3,"ч:мм"),"",TEXT(Настройки!$J3,"ч:мм")&amp;"-"&amp;TEXT(Настройки!$J3+TIME(0,Октябрь!L14,0),"ч::мм"))</f>
        <v/>
      </c>
      <c r="J15" s="31" t="str">
        <f ca="1">IF(TEXT(Настройки!$J3+TIME(0,Октябрь!M14,0),"ч::мм")=TEXT(Настройки!$J3,"ч:мм"),"",TEXT(Настройки!$J3,"ч:мм")&amp;"-"&amp;TEXT(Настройки!$J3+TIME(0,Октябрь!M14,0),"ч::мм"))</f>
        <v/>
      </c>
      <c r="K15" s="31" t="str">
        <f ca="1">IF(TEXT(Настройки!$J3+TIME(0,Октябрь!N14,0),"ч::мм")=TEXT(Настройки!$J3,"ч:мм"),"",TEXT(Настройки!$J3,"ч:мм")&amp;"-"&amp;TEXT(Настройки!$J3+TIME(0,Октябрь!N14,0),"ч::мм"))</f>
        <v/>
      </c>
      <c r="L15" s="31" t="str">
        <f ca="1">IF(TEXT(Настройки!$J3+TIME(0,Октябрь!O14,0),"ч::мм")=TEXT(Настройки!$J3,"ч:мм"),"",TEXT(Настройки!$J3,"ч:мм")&amp;"-"&amp;TEXT(Настройки!$J3+TIME(0,Октябрь!O14,0),"ч::мм"))</f>
        <v/>
      </c>
      <c r="M15" s="31" t="str">
        <f ca="1">IF(TEXT(Настройки!$J3+TIME(0,Октябрь!P14,0),"ч::мм")=TEXT(Настройки!$J3,"ч:мм"),"",TEXT(Настройки!$J3,"ч:мм")&amp;"-"&amp;TEXT(Настройки!$J3+TIME(0,Октябрь!P14,0),"ч::мм"))</f>
        <v/>
      </c>
      <c r="N15" s="31" t="str">
        <f ca="1">IF(TEXT(Настройки!$J3+TIME(0,Октябрь!Q14,0),"ч::мм")=TEXT(Настройки!$J3,"ч:мм"),"",TEXT(Настройки!$J3,"ч:мм")&amp;"-"&amp;TEXT(Настройки!$J3+TIME(0,Октябрь!Q14,0),"ч::мм"))</f>
        <v/>
      </c>
      <c r="O15" s="31" t="str">
        <f ca="1">IF(TEXT(Настройки!$J3+TIME(0,Октябрь!R14,0),"ч::мм")=TEXT(Настройки!$J3,"ч:мм"),"",TEXT(Настройки!$J3,"ч:мм")&amp;"-"&amp;TEXT(Настройки!$J3+TIME(0,Октябрь!R14,0),"ч::мм"))</f>
        <v/>
      </c>
      <c r="P15" s="31" t="str">
        <f ca="1">IF(TEXT(Настройки!$J3+TIME(0,Октябрь!S14,0),"ч::мм")=TEXT(Настройки!$J3,"ч:мм"),"",TEXT(Настройки!$J3,"ч:мм")&amp;"-"&amp;TEXT(Настройки!$J3+TIME(0,Октябрь!S14,0),"ч::мм"))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IF(Настройки!J4&lt;&gt;"",TEXT(Настройки!J4,"ч:мм")&amp;"-"&amp;TEXT(Настройки!J4+TIME(0,MAX(Октябрь!E15:AI15),0),"ч:мм"),"")</f>
        <v>16:00-16:00</v>
      </c>
      <c r="B16" s="31" t="str">
        <f ca="1">IF(TEXT(Настройки!$J4+TIME(0,Октябрь!E15,0),"ч::мм")=TEXT(Настройки!$J4,"ч:мм"),"",TEXT(Настройки!$J4,"ч:мм")&amp;"-"&amp;TEXT(Настройки!$J4+TIME(0,Октябрь!E15,0),"ч::мм"))</f>
        <v/>
      </c>
      <c r="C16" s="31" t="str">
        <f ca="1">IF(TEXT(Настройки!$J4+TIME(0,Октябрь!F15,0),"ч::мм")=TEXT(Настройки!$J4,"ч:мм"),"",TEXT(Настройки!$J4,"ч:мм")&amp;"-"&amp;TEXT(Настройки!$J4+TIME(0,Октябрь!F15,0),"ч::мм"))</f>
        <v/>
      </c>
      <c r="D16" s="31" t="str">
        <f ca="1">IF(TEXT(Настройки!$J4+TIME(0,Октябрь!G15,0),"ч::мм")=TEXT(Настройки!$J4,"ч:мм"),"",TEXT(Настройки!$J4,"ч:мм")&amp;"-"&amp;TEXT(Настройки!$J4+TIME(0,Октябрь!G15,0),"ч::мм"))</f>
        <v/>
      </c>
      <c r="E16" s="31" t="str">
        <f ca="1">IF(TEXT(Настройки!$J4+TIME(0,Октябрь!H15,0),"ч::мм")=TEXT(Настройки!$J4,"ч:мм"),"",TEXT(Настройки!$J4,"ч:мм")&amp;"-"&amp;TEXT(Настройки!$J4+TIME(0,Октябрь!H15,0),"ч::мм"))</f>
        <v/>
      </c>
      <c r="F16" s="31" t="str">
        <f ca="1">IF(TEXT(Настройки!$J4+TIME(0,Октябрь!I15,0),"ч::мм")=TEXT(Настройки!$J4,"ч:мм"),"",TEXT(Настройки!$J4,"ч:мм")&amp;"-"&amp;TEXT(Настройки!$J4+TIME(0,Октябрь!I15,0),"ч::мм"))</f>
        <v/>
      </c>
      <c r="G16" s="31" t="str">
        <f ca="1">IF(TEXT(Настройки!$J4+TIME(0,Октябрь!J15,0),"ч::мм")=TEXT(Настройки!$J4,"ч:мм"),"",TEXT(Настройки!$J4,"ч:мм")&amp;"-"&amp;TEXT(Настройки!$J4+TIME(0,Октябрь!J15,0),"ч::мм"))</f>
        <v/>
      </c>
      <c r="H16" s="31" t="str">
        <f ca="1">IF(TEXT(Настройки!$J4+TIME(0,Октябрь!K15,0),"ч::мм")=TEXT(Настройки!$J4,"ч:мм"),"",TEXT(Настройки!$J4,"ч:мм")&amp;"-"&amp;TEXT(Настройки!$J4+TIME(0,Октябрь!K15,0),"ч::мм"))</f>
        <v/>
      </c>
      <c r="I16" s="31" t="str">
        <f ca="1">IF(TEXT(Настройки!$J4+TIME(0,Октябрь!L15,0),"ч::мм")=TEXT(Настройки!$J4,"ч:мм"),"",TEXT(Настройки!$J4,"ч:мм")&amp;"-"&amp;TEXT(Настройки!$J4+TIME(0,Октябрь!L15,0),"ч::мм"))</f>
        <v/>
      </c>
      <c r="J16" s="31" t="str">
        <f ca="1">IF(TEXT(Настройки!$J4+TIME(0,Октябрь!M15,0),"ч::мм")=TEXT(Настройки!$J4,"ч:мм"),"",TEXT(Настройки!$J4,"ч:мм")&amp;"-"&amp;TEXT(Настройки!$J4+TIME(0,Октябрь!M15,0),"ч::мм"))</f>
        <v/>
      </c>
      <c r="K16" s="31" t="str">
        <f ca="1">IF(TEXT(Настройки!$J4+TIME(0,Октябрь!N15,0),"ч::мм")=TEXT(Настройки!$J4,"ч:мм"),"",TEXT(Настройки!$J4,"ч:мм")&amp;"-"&amp;TEXT(Настройки!$J4+TIME(0,Октябрь!N15,0),"ч::мм"))</f>
        <v/>
      </c>
      <c r="L16" s="31" t="str">
        <f ca="1">IF(TEXT(Настройки!$J4+TIME(0,Октябрь!O15,0),"ч::мм")=TEXT(Настройки!$J4,"ч:мм"),"",TEXT(Настройки!$J4,"ч:мм")&amp;"-"&amp;TEXT(Настройки!$J4+TIME(0,Октябрь!O15,0),"ч::мм"))</f>
        <v/>
      </c>
      <c r="M16" s="31" t="str">
        <f ca="1">IF(TEXT(Настройки!$J4+TIME(0,Октябрь!P15,0),"ч::мм")=TEXT(Настройки!$J4,"ч:мм"),"",TEXT(Настройки!$J4,"ч:мм")&amp;"-"&amp;TEXT(Настройки!$J4+TIME(0,Октябрь!P15,0),"ч::мм"))</f>
        <v/>
      </c>
      <c r="N16" s="31" t="str">
        <f ca="1">IF(TEXT(Настройки!$J4+TIME(0,Октябрь!Q15,0),"ч::мм")=TEXT(Настройки!$J4,"ч:мм"),"",TEXT(Настройки!$J4,"ч:мм")&amp;"-"&amp;TEXT(Настройки!$J4+TIME(0,Октябрь!Q15,0),"ч::мм"))</f>
        <v/>
      </c>
      <c r="O16" s="31" t="str">
        <f ca="1">IF(TEXT(Настройки!$J4+TIME(0,Октябрь!R15,0),"ч::мм")=TEXT(Настройки!$J4,"ч:мм"),"",TEXT(Настройки!$J4,"ч:мм")&amp;"-"&amp;TEXT(Настройки!$J4+TIME(0,Октябрь!R15,0),"ч::мм"))</f>
        <v/>
      </c>
      <c r="P16" s="31" t="str">
        <f ca="1">IF(TEXT(Настройки!$J4+TIME(0,Октябрь!S15,0),"ч::мм")=TEXT(Настройки!$J4,"ч:мм"),"",TEXT(Настройки!$J4,"ч:мм")&amp;"-"&amp;TEXT(Настройки!$J4+TIME(0,Октябрь!S15,0),"ч::мм"))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Настройки!V16</f>
        <v>45581</v>
      </c>
      <c r="C20" s="30">
        <f>Настройки!W16</f>
        <v>45582</v>
      </c>
      <c r="D20" s="30">
        <f>Настройки!X16</f>
        <v>45583</v>
      </c>
      <c r="E20" s="30">
        <f>Настройки!Y16</f>
        <v>45584</v>
      </c>
      <c r="F20" s="30">
        <f>Настройки!Z16</f>
        <v>45585</v>
      </c>
      <c r="G20" s="30">
        <f>Настройки!AA16</f>
        <v>45586</v>
      </c>
      <c r="H20" s="30">
        <f>Настройки!AB16</f>
        <v>45587</v>
      </c>
      <c r="I20" s="30">
        <f>Настройки!AC16</f>
        <v>45588</v>
      </c>
      <c r="J20" s="30">
        <f>Настройки!AD16</f>
        <v>45589</v>
      </c>
      <c r="K20" s="30">
        <f>Настройки!AE16</f>
        <v>45590</v>
      </c>
      <c r="L20" s="30">
        <f>Настройки!AF16</f>
        <v>45591</v>
      </c>
      <c r="M20" s="30">
        <f>Настройки!AG16</f>
        <v>45592</v>
      </c>
      <c r="N20" s="30">
        <f>Настройки!AH16</f>
        <v>45593</v>
      </c>
      <c r="O20" s="30">
        <f>Настройки!AI16</f>
        <v>45594</v>
      </c>
      <c r="P20" s="30">
        <f>Настройки!AJ16</f>
        <v>45595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IF(TEXT(Настройки!$J2+TIME(0,Октябрь!T13,0),"ч::мм")=TEXT(Настройки!$J2,"ч:мм"),"",TEXT(Настройки!$J2,"ч:мм")&amp;"-"&amp;TEXT(Настройки!$J2+TIME(0,Октябрь!T13,0),"ч::мм"))</f>
        <v/>
      </c>
      <c r="C24" s="3" t="str">
        <f>IF(TEXT(Настройки!$J2+TIME(0,Октябрь!U13,0),"ч::мм")=TEXT(Настройки!$J2,"ч:мм"),"",TEXT(Настройки!$J2,"ч:мм")&amp;"-"&amp;TEXT(Настройки!$J2+TIME(0,Октябрь!U13,0),"ч::мм"))</f>
        <v/>
      </c>
      <c r="D24" s="3" t="str">
        <f>IF(TEXT(Настройки!$J2+TIME(0,Октябрь!V13,0),"ч::мм")=TEXT(Настройки!$J2,"ч:мм"),"",TEXT(Настройки!$J2,"ч:мм")&amp;"-"&amp;TEXT(Настройки!$J2+TIME(0,Октябрь!V13,0),"ч::мм"))</f>
        <v/>
      </c>
      <c r="E24" s="3" t="str">
        <f>IF(TEXT(Настройки!$J2+TIME(0,Октябрь!W13,0),"ч::мм")=TEXT(Настройки!$J2,"ч:мм"),"",TEXT(Настройки!$J2,"ч:мм")&amp;"-"&amp;TEXT(Настройки!$J2+TIME(0,Октябрь!W13,0),"ч::мм"))</f>
        <v/>
      </c>
      <c r="F24" s="3" t="str">
        <f>IF(TEXT(Настройки!$J2+TIME(0,Октябрь!X13,0),"ч::мм")=TEXT(Настройки!$J2,"ч:мм"),"",TEXT(Настройки!$J2,"ч:мм")&amp;"-"&amp;TEXT(Настройки!$J2+TIME(0,Октябрь!X13,0),"ч::мм"))</f>
        <v/>
      </c>
      <c r="G24" s="3" t="str">
        <f>IF(TEXT(Настройки!$J2+TIME(0,Октябрь!Y13,0),"ч::мм")=TEXT(Настройки!$J2,"ч:мм"),"",TEXT(Настройки!$J2,"ч:мм")&amp;"-"&amp;TEXT(Настройки!$J2+TIME(0,Октябрь!Y13,0),"ч::мм"))</f>
        <v/>
      </c>
      <c r="H24" s="3" t="str">
        <f>IF(TEXT(Настройки!$J2+TIME(0,Октябрь!Z13,0),"ч::мм")=TEXT(Настройки!$J2,"ч:мм"),"",TEXT(Настройки!$J2,"ч:мм")&amp;"-"&amp;TEXT(Настройки!$J2+TIME(0,Октябрь!Z13,0),"ч::мм"))</f>
        <v/>
      </c>
      <c r="I24" s="3" t="str">
        <f>IF(TEXT(Настройки!$J2+TIME(0,Октябрь!AA13,0),"ч::мм")=TEXT(Настройки!$J2,"ч:мм"),"",TEXT(Настройки!$J2,"ч:мм")&amp;"-"&amp;TEXT(Настройки!$J2+TIME(0,Октябрь!AA13,0),"ч::мм"))</f>
        <v/>
      </c>
      <c r="J24" s="3" t="str">
        <f>IF(TEXT(Настройки!$J2+TIME(0,Октябрь!AB13,0),"ч::мм")=TEXT(Настройки!$J2,"ч:мм"),"",TEXT(Настройки!$J2,"ч:мм")&amp;"-"&amp;TEXT(Настройки!$J2+TIME(0,Октябрь!AB13,0),"ч::мм"))</f>
        <v/>
      </c>
      <c r="K24" s="3" t="str">
        <f>IF(TEXT(Настройки!$J2+TIME(0,Октябрь!AC13,0),"ч::мм")=TEXT(Настройки!$J2,"ч:мм"),"",TEXT(Настройки!$J2,"ч:мм")&amp;"-"&amp;TEXT(Настройки!$J2+TIME(0,Октябрь!AC13,0),"ч::мм"))</f>
        <v/>
      </c>
      <c r="L24" s="3" t="str">
        <f>IF(TEXT(Настройки!$J2+TIME(0,Октябрь!AD13,0),"ч::мм")=TEXT(Настройки!$J2,"ч:мм"),"",TEXT(Настройки!$J2,"ч:мм")&amp;"-"&amp;TEXT(Настройки!$J2+TIME(0,Октябрь!AD13,0),"ч::мм"))</f>
        <v/>
      </c>
      <c r="M24" s="3" t="str">
        <f>IF(TEXT(Настройки!$J2+TIME(0,Октябрь!AE13,0),"ч::мм")=TEXT(Настройки!$J2,"ч:мм"),"",TEXT(Настройки!$J2,"ч:мм")&amp;"-"&amp;TEXT(Настройки!$J2+TIME(0,Октябрь!AE13,0),"ч::мм"))</f>
        <v/>
      </c>
      <c r="N24" s="3" t="str">
        <f>IF(TEXT(Настройки!$J2+TIME(0,Октябрь!AF13,0),"ч::мм")=TEXT(Настройки!$J2,"ч:мм"),"",TEXT(Настройки!$J2,"ч:мм")&amp;"-"&amp;TEXT(Настройки!$J2+TIME(0,Октябрь!AF13,0),"ч::мм"))</f>
        <v/>
      </c>
      <c r="O24" s="3" t="str">
        <f>IF(TEXT(Настройки!$J2+TIME(0,Октябрь!AG13,0),"ч::мм")=TEXT(Настройки!$J2,"ч:мм"),"",TEXT(Настройки!$J2,"ч:мм")&amp;"-"&amp;TEXT(Настройки!$J2+TIME(0,Октябрь!AG13,0),"ч::мм"))</f>
        <v/>
      </c>
      <c r="P24" s="3" t="str">
        <f>IF(TEXT(Настройки!$J2+TIME(0,Октябрь!AH13,0),"ч::мм")=TEXT(Настройки!$J2,"ч:мм"),"",TEXT(Настройки!$J2,"ч:мм")&amp;"-"&amp;TEXT(Настройки!$J2+TIME(0,Октябрь!AH13,0),"ч::мм"))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IF(TEXT(Настройки!$J3+TIME(0,Октябрь!T14,0),"ч::мм")=TEXT(Настройки!$J3,"ч:мм"),"",TEXT(Настройки!$J3,"ч:мм")&amp;"-"&amp;TEXT(Настройки!$J3+TIME(0,Октябрь!T14,0),"ч::мм"))</f>
        <v/>
      </c>
      <c r="C25" s="3" t="str">
        <f ca="1">IF(TEXT(Настройки!$J3+TIME(0,Октябрь!U14,0),"ч::мм")=TEXT(Настройки!$J3,"ч:мм"),"",TEXT(Настройки!$J3,"ч:мм")&amp;"-"&amp;TEXT(Настройки!$J3+TIME(0,Октябрь!U14,0),"ч::мм"))</f>
        <v/>
      </c>
      <c r="D25" s="3" t="str">
        <f ca="1">IF(TEXT(Настройки!$J3+TIME(0,Октябрь!V14,0),"ч::мм")=TEXT(Настройки!$J3,"ч:мм"),"",TEXT(Настройки!$J3,"ч:мм")&amp;"-"&amp;TEXT(Настройки!$J3+TIME(0,Октябрь!V14,0),"ч::мм"))</f>
        <v/>
      </c>
      <c r="E25" s="3" t="str">
        <f ca="1">IF(TEXT(Настройки!$J3+TIME(0,Октябрь!W14,0),"ч::мм")=TEXT(Настройки!$J3,"ч:мм"),"",TEXT(Настройки!$J3,"ч:мм")&amp;"-"&amp;TEXT(Настройки!$J3+TIME(0,Октябрь!W14,0),"ч::мм"))</f>
        <v/>
      </c>
      <c r="F25" s="3" t="str">
        <f ca="1">IF(TEXT(Настройки!$J3+TIME(0,Октябрь!X14,0),"ч::мм")=TEXT(Настройки!$J3,"ч:мм"),"",TEXT(Настройки!$J3,"ч:мм")&amp;"-"&amp;TEXT(Настройки!$J3+TIME(0,Октябрь!X14,0),"ч::мм"))</f>
        <v/>
      </c>
      <c r="G25" s="3" t="str">
        <f ca="1">IF(TEXT(Настройки!$J3+TIME(0,Октябрь!Y14,0),"ч::мм")=TEXT(Настройки!$J3,"ч:мм"),"",TEXT(Настройки!$J3,"ч:мм")&amp;"-"&amp;TEXT(Настройки!$J3+TIME(0,Октябрь!Y14,0),"ч::мм"))</f>
        <v/>
      </c>
      <c r="H25" s="3" t="str">
        <f ca="1">IF(TEXT(Настройки!$J3+TIME(0,Октябрь!Z14,0),"ч::мм")=TEXT(Настройки!$J3,"ч:мм"),"",TEXT(Настройки!$J3,"ч:мм")&amp;"-"&amp;TEXT(Настройки!$J3+TIME(0,Октябрь!Z14,0),"ч::мм"))</f>
        <v/>
      </c>
      <c r="I25" s="3" t="str">
        <f ca="1">IF(TEXT(Настройки!$J3+TIME(0,Октябрь!AA14,0),"ч::мм")=TEXT(Настройки!$J3,"ч:мм"),"",TEXT(Настройки!$J3,"ч:мм")&amp;"-"&amp;TEXT(Настройки!$J3+TIME(0,Октябрь!AA14,0),"ч::мм"))</f>
        <v/>
      </c>
      <c r="J25" s="3" t="str">
        <f ca="1">IF(TEXT(Настройки!$J3+TIME(0,Октябрь!AB14,0),"ч::мм")=TEXT(Настройки!$J3,"ч:мм"),"",TEXT(Настройки!$J3,"ч:мм")&amp;"-"&amp;TEXT(Настройки!$J3+TIME(0,Октябрь!AB14,0),"ч::мм"))</f>
        <v/>
      </c>
      <c r="K25" s="3" t="str">
        <f ca="1">IF(TEXT(Настройки!$J3+TIME(0,Октябрь!AC14,0),"ч::мм")=TEXT(Настройки!$J3,"ч:мм"),"",TEXT(Настройки!$J3,"ч:мм")&amp;"-"&amp;TEXT(Настройки!$J3+TIME(0,Октябрь!AC14,0),"ч::мм"))</f>
        <v/>
      </c>
      <c r="L25" s="3" t="str">
        <f ca="1">IF(TEXT(Настройки!$J3+TIME(0,Октябрь!AD14,0),"ч::мм")=TEXT(Настройки!$J3,"ч:мм"),"",TEXT(Настройки!$J3,"ч:мм")&amp;"-"&amp;TEXT(Настройки!$J3+TIME(0,Октябрь!AD14,0),"ч::мм"))</f>
        <v/>
      </c>
      <c r="M25" s="3" t="str">
        <f ca="1">IF(TEXT(Настройки!$J3+TIME(0,Октябрь!AE14,0),"ч::мм")=TEXT(Настройки!$J3,"ч:мм"),"",TEXT(Настройки!$J3,"ч:мм")&amp;"-"&amp;TEXT(Настройки!$J3+TIME(0,Октябрь!AE14,0),"ч::мм"))</f>
        <v/>
      </c>
      <c r="N25" s="3" t="str">
        <f ca="1">IF(TEXT(Настройки!$J3+TIME(0,Октябрь!AF14,0),"ч::мм")=TEXT(Настройки!$J3,"ч:мм"),"",TEXT(Настройки!$J3,"ч:мм")&amp;"-"&amp;TEXT(Настройки!$J3+TIME(0,Октябрь!AF14,0),"ч::мм"))</f>
        <v/>
      </c>
      <c r="O25" s="3" t="str">
        <f ca="1">IF(TEXT(Настройки!$J3+TIME(0,Октябрь!AG14,0),"ч::мм")=TEXT(Настройки!$J3,"ч:мм"),"",TEXT(Настройки!$J3,"ч:мм")&amp;"-"&amp;TEXT(Настройки!$J3+TIME(0,Октябрь!AG14,0),"ч::мм"))</f>
        <v/>
      </c>
      <c r="P25" s="3" t="str">
        <f ca="1">IF(TEXT(Настройки!$J3+TIME(0,Октябрь!AH14,0),"ч::мм")=TEXT(Настройки!$J3,"ч:мм"),"",TEXT(Настройки!$J3,"ч:мм")&amp;"-"&amp;TEXT(Настройки!$J3+TIME(0,Октябрь!AH14,0),"ч::мм"))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IF(TEXT(Настройки!$J4+TIME(0,Октябрь!T15,0),"ч::мм")=TEXT(Настройки!$J4,"ч:мм"),"",TEXT(Настройки!$J4,"ч:мм")&amp;"-"&amp;TEXT(Настройки!$J4+TIME(0,Октябрь!T15,0),"ч::мм"))</f>
        <v/>
      </c>
      <c r="C26" s="3" t="str">
        <f ca="1">IF(TEXT(Настройки!$J4+TIME(0,Октябрь!U15,0),"ч::мм")=TEXT(Настройки!$J4,"ч:мм"),"",TEXT(Настройки!$J4,"ч:мм")&amp;"-"&amp;TEXT(Настройки!$J4+TIME(0,Октябрь!U15,0),"ч::мм"))</f>
        <v/>
      </c>
      <c r="D26" s="3" t="str">
        <f ca="1">IF(TEXT(Настройки!$J4+TIME(0,Октябрь!V15,0),"ч::мм")=TEXT(Настройки!$J4,"ч:мм"),"",TEXT(Настройки!$J4,"ч:мм")&amp;"-"&amp;TEXT(Настройки!$J4+TIME(0,Октябрь!V15,0),"ч::мм"))</f>
        <v/>
      </c>
      <c r="E26" s="3" t="str">
        <f ca="1">IF(TEXT(Настройки!$J4+TIME(0,Октябрь!W15,0),"ч::мм")=TEXT(Настройки!$J4,"ч:мм"),"",TEXT(Настройки!$J4,"ч:мм")&amp;"-"&amp;TEXT(Настройки!$J4+TIME(0,Октябрь!W15,0),"ч::мм"))</f>
        <v/>
      </c>
      <c r="F26" s="3" t="str">
        <f ca="1">IF(TEXT(Настройки!$J4+TIME(0,Октябрь!X15,0),"ч::мм")=TEXT(Настройки!$J4,"ч:мм"),"",TEXT(Настройки!$J4,"ч:мм")&amp;"-"&amp;TEXT(Настройки!$J4+TIME(0,Октябрь!X15,0),"ч::мм"))</f>
        <v/>
      </c>
      <c r="G26" s="3" t="str">
        <f ca="1">IF(TEXT(Настройки!$J4+TIME(0,Октябрь!Y15,0),"ч::мм")=TEXT(Настройки!$J4,"ч:мм"),"",TEXT(Настройки!$J4,"ч:мм")&amp;"-"&amp;TEXT(Настройки!$J4+TIME(0,Октябрь!Y15,0),"ч::мм"))</f>
        <v/>
      </c>
      <c r="H26" s="3" t="str">
        <f ca="1">IF(TEXT(Настройки!$J4+TIME(0,Октябрь!Z15,0),"ч::мм")=TEXT(Настройки!$J4,"ч:мм"),"",TEXT(Настройки!$J4,"ч:мм")&amp;"-"&amp;TEXT(Настройки!$J4+TIME(0,Октябрь!Z15,0),"ч::мм"))</f>
        <v/>
      </c>
      <c r="I26" s="3" t="str">
        <f ca="1">IF(TEXT(Настройки!$J4+TIME(0,Октябрь!AA15,0),"ч::мм")=TEXT(Настройки!$J4,"ч:мм"),"",TEXT(Настройки!$J4,"ч:мм")&amp;"-"&amp;TEXT(Настройки!$J4+TIME(0,Октябрь!AA15,0),"ч::мм"))</f>
        <v/>
      </c>
      <c r="J26" s="3" t="str">
        <f ca="1">IF(TEXT(Настройки!$J4+TIME(0,Октябрь!AB15,0),"ч::мм")=TEXT(Настройки!$J4,"ч:мм"),"",TEXT(Настройки!$J4,"ч:мм")&amp;"-"&amp;TEXT(Настройки!$J4+TIME(0,Октябрь!AB15,0),"ч::мм"))</f>
        <v/>
      </c>
      <c r="K26" s="3" t="str">
        <f ca="1">IF(TEXT(Настройки!$J4+TIME(0,Октябрь!AC15,0),"ч::мм")=TEXT(Настройки!$J4,"ч:мм"),"",TEXT(Настройки!$J4,"ч:мм")&amp;"-"&amp;TEXT(Настройки!$J4+TIME(0,Октябрь!AC15,0),"ч::мм"))</f>
        <v/>
      </c>
      <c r="L26" s="3" t="str">
        <f ca="1">IF(TEXT(Настройки!$J4+TIME(0,Октябрь!AD15,0),"ч::мм")=TEXT(Настройки!$J4,"ч:мм"),"",TEXT(Настройки!$J4,"ч:мм")&amp;"-"&amp;TEXT(Настройки!$J4+TIME(0,Октябрь!AD15,0),"ч::мм"))</f>
        <v/>
      </c>
      <c r="M26" s="3" t="str">
        <f ca="1">IF(TEXT(Настройки!$J4+TIME(0,Октябрь!AE15,0),"ч::мм")=TEXT(Настройки!$J4,"ч:мм"),"",TEXT(Настройки!$J4,"ч:мм")&amp;"-"&amp;TEXT(Настройки!$J4+TIME(0,Октябрь!AE15,0),"ч::мм"))</f>
        <v/>
      </c>
      <c r="N26" s="3" t="str">
        <f ca="1">IF(TEXT(Настройки!$J4+TIME(0,Октябрь!AF15,0),"ч::мм")=TEXT(Настройки!$J4,"ч:мм"),"",TEXT(Настройки!$J4,"ч:мм")&amp;"-"&amp;TEXT(Настройки!$J4+TIME(0,Октябрь!AF15,0),"ч::мм"))</f>
        <v/>
      </c>
      <c r="O26" s="3" t="str">
        <f ca="1">IF(TEXT(Настройки!$J4+TIME(0,Октябрь!AG15,0),"ч::мм")=TEXT(Настройки!$J4,"ч:мм"),"",TEXT(Настройки!$J4,"ч:мм")&amp;"-"&amp;TEXT(Настройки!$J4+TIME(0,Октябрь!AG15,0),"ч::мм"))</f>
        <v/>
      </c>
      <c r="P26" s="3" t="str">
        <f ca="1">IF(TEXT(Настройки!$J4+TIME(0,Октябрь!AH15,0),"ч::мм")=TEXT(Настройки!$J4,"ч:мм"),"",TEXT(Настройки!$J4,"ч:мм")&amp;"-"&amp;TEXT(Настройки!$J4+TIME(0,Октябрь!AH15,0),"ч::мм"))</f>
        <v/>
      </c>
    </row>
    <row r="27" spans="1:18" x14ac:dyDescent="0.25">
      <c r="Q27" s="10"/>
      <c r="R27" s="10"/>
    </row>
    <row r="28" spans="1:18" x14ac:dyDescent="0.25">
      <c r="A28" s="72"/>
      <c r="B28" s="57" t="s">
        <v>55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2"/>
      <c r="Q28" s="34"/>
      <c r="R28" s="10"/>
    </row>
    <row r="29" spans="1:18" x14ac:dyDescent="0.25">
      <c r="A29" s="79"/>
      <c r="B29" s="83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5"/>
      <c r="Q29" s="34"/>
      <c r="R29" s="10"/>
    </row>
    <row r="30" spans="1:18" x14ac:dyDescent="0.25">
      <c r="A30" s="79"/>
      <c r="B30" s="30">
        <f>Настройки!AK16</f>
        <v>45596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2"/>
      <c r="R30" s="10"/>
    </row>
    <row r="31" spans="1:18" x14ac:dyDescent="0.25">
      <c r="A31" s="79"/>
      <c r="B31" s="57" t="s">
        <v>54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2"/>
      <c r="Q31" s="34"/>
      <c r="R31" s="10"/>
    </row>
    <row r="32" spans="1:18" x14ac:dyDescent="0.25">
      <c r="A32" s="80"/>
      <c r="B32" s="83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5"/>
      <c r="Q32" s="34"/>
      <c r="R32" s="10"/>
    </row>
    <row r="33" spans="1:16" x14ac:dyDescent="0.25">
      <c r="A33" s="3" t="s">
        <v>138</v>
      </c>
      <c r="B33" s="3" t="s">
        <v>113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3" t="str">
        <f t="shared" ref="A34:A36" si="1">A24</f>
        <v>9:00-9:00</v>
      </c>
      <c r="B34" s="3" t="str">
        <f>IF(TEXT(Настройки!$J2+TIME(0,Октябрь!AI13,0),"ч::мм")=TEXT(Настройки!$J2,"ч:мм"),"",TEXT(Настройки!$J2,"ч:мм")&amp;"-"&amp;TEXT(Настройки!$J2+TIME(0,Октябрь!AI13,0),"ч::мм"))</f>
        <v/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</row>
    <row r="35" spans="1:16" x14ac:dyDescent="0.25">
      <c r="A35" s="33" t="str">
        <f t="shared" ca="1" si="1"/>
        <v>13:00-13:00</v>
      </c>
      <c r="B35" s="3" t="str">
        <f ca="1">IF(TEXT(Настройки!$J3+TIME(0,Октябрь!AI14,0),"ч::мм")=TEXT(Настройки!$J3,"ч:мм"),"",TEXT(Настройки!$J3,"ч:мм")&amp;"-"&amp;TEXT(Настройки!$J3+TIME(0,Октябрь!AI14,0),"ч::мм"))</f>
        <v/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1:16" x14ac:dyDescent="0.25">
      <c r="A36" s="33" t="str">
        <f t="shared" ca="1" si="1"/>
        <v>16:00-16:00</v>
      </c>
      <c r="B36" s="3" t="str">
        <f ca="1">IF(TEXT(Настройки!$J4+TIME(0,Октябрь!AI15,0),"ч::мм")=TEXT(Настройки!$J4,"ч:мм"),"",TEXT(Настройки!$J4,"ч:мм")&amp;"-"&amp;TEXT(Настройки!$J4+TIME(0,Октябрь!AI15,0),"ч::мм"))</f>
        <v/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</sheetData>
  <mergeCells count="12">
    <mergeCell ref="A18:A22"/>
    <mergeCell ref="B18:P19"/>
    <mergeCell ref="B21:P22"/>
    <mergeCell ref="A28:A32"/>
    <mergeCell ref="B28:P29"/>
    <mergeCell ref="B31:P32"/>
    <mergeCell ref="A2:P2"/>
    <mergeCell ref="F6:G6"/>
    <mergeCell ref="H6:I6"/>
    <mergeCell ref="A8:A12"/>
    <mergeCell ref="B8:P9"/>
    <mergeCell ref="B11:P12"/>
  </mergeCells>
  <conditionalFormatting sqref="B10:P10">
    <cfRule type="expression" dxfId="260" priority="3">
      <formula>WEEKDAY(B10:P10,2)&gt;5</formula>
    </cfRule>
  </conditionalFormatting>
  <conditionalFormatting sqref="B20:P20">
    <cfRule type="expression" dxfId="259" priority="2">
      <formula>WEEKDAY(B20:P20,2)&gt;5</formula>
    </cfRule>
  </conditionalFormatting>
  <conditionalFormatting sqref="B30">
    <cfRule type="expression" dxfId="258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theme="4" tint="0.39997558519241921"/>
    <pageSetUpPr fitToPage="1"/>
  </sheetPr>
  <dimension ref="A2:AK28"/>
  <sheetViews>
    <sheetView zoomScale="60" zoomScaleNormal="6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4.140625" style="3" customWidth="1"/>
    <col min="3" max="3" width="17.5703125" style="3" customWidth="1"/>
    <col min="4" max="4" width="9.28515625" style="3" customWidth="1"/>
    <col min="5" max="5" width="11.28515625" style="3" bestFit="1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7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7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7" ht="18.75" x14ac:dyDescent="0.25">
      <c r="C5" s="15"/>
      <c r="L5" s="11" t="s">
        <v>69</v>
      </c>
      <c r="M5" s="77" t="s">
        <v>130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7" ht="18.75" x14ac:dyDescent="0.25">
      <c r="C6" s="15"/>
      <c r="L6" s="11"/>
      <c r="M6" s="17"/>
      <c r="N6" s="26"/>
      <c r="O6" s="26"/>
      <c r="P6" s="26"/>
      <c r="Q6" s="26"/>
      <c r="R6" s="17"/>
      <c r="S6" s="26"/>
      <c r="T6" s="13"/>
      <c r="U6" s="13"/>
    </row>
    <row r="7" spans="1:37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59"/>
      <c r="AI7" s="53" t="s">
        <v>64</v>
      </c>
      <c r="AJ7" s="53" t="s">
        <v>64</v>
      </c>
      <c r="AK7" s="4"/>
    </row>
    <row r="8" spans="1:37" ht="15.75" customHeight="1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9"/>
      <c r="AI8" s="53"/>
      <c r="AJ8" s="53"/>
      <c r="AK8" s="4"/>
    </row>
    <row r="9" spans="1:37" x14ac:dyDescent="0.25">
      <c r="A9" s="63"/>
      <c r="B9" s="66"/>
      <c r="C9" s="66"/>
      <c r="D9" s="73"/>
      <c r="E9" s="18">
        <f>Настройки!G17</f>
        <v>45597</v>
      </c>
      <c r="F9" s="18">
        <f>Настройки!H17</f>
        <v>45598</v>
      </c>
      <c r="G9" s="18">
        <f>Настройки!I17</f>
        <v>45599</v>
      </c>
      <c r="H9" s="18">
        <f>Настройки!J17</f>
        <v>45600</v>
      </c>
      <c r="I9" s="18">
        <f>Настройки!K17</f>
        <v>45601</v>
      </c>
      <c r="J9" s="18">
        <f>Настройки!L17</f>
        <v>45602</v>
      </c>
      <c r="K9" s="18">
        <f>Настройки!M17</f>
        <v>45603</v>
      </c>
      <c r="L9" s="18">
        <f>Настройки!N17</f>
        <v>45604</v>
      </c>
      <c r="M9" s="18">
        <f>Настройки!O17</f>
        <v>45605</v>
      </c>
      <c r="N9" s="18">
        <f>Настройки!P17</f>
        <v>45606</v>
      </c>
      <c r="O9" s="18">
        <f>Настройки!Q17</f>
        <v>45607</v>
      </c>
      <c r="P9" s="18">
        <f>Настройки!R17</f>
        <v>45608</v>
      </c>
      <c r="Q9" s="18">
        <f>Настройки!S17</f>
        <v>45609</v>
      </c>
      <c r="R9" s="18">
        <f>Настройки!T17</f>
        <v>45610</v>
      </c>
      <c r="S9" s="18">
        <f>Настройки!U17</f>
        <v>45611</v>
      </c>
      <c r="T9" s="18">
        <f>Настройки!V17</f>
        <v>45612</v>
      </c>
      <c r="U9" s="18">
        <f>Настройки!W17</f>
        <v>45613</v>
      </c>
      <c r="V9" s="18">
        <f>Настройки!X17</f>
        <v>45614</v>
      </c>
      <c r="W9" s="18">
        <f>Настройки!Y17</f>
        <v>45615</v>
      </c>
      <c r="X9" s="18">
        <f>Настройки!Z17</f>
        <v>45616</v>
      </c>
      <c r="Y9" s="18">
        <f>Настройки!AA17</f>
        <v>45617</v>
      </c>
      <c r="Z9" s="18">
        <f>Настройки!AB17</f>
        <v>45618</v>
      </c>
      <c r="AA9" s="18">
        <f>Настройки!AC17</f>
        <v>45619</v>
      </c>
      <c r="AB9" s="18">
        <f>Настройки!AD17</f>
        <v>45620</v>
      </c>
      <c r="AC9" s="18">
        <f>Настройки!AE17</f>
        <v>45621</v>
      </c>
      <c r="AD9" s="18">
        <f>Настройки!AF17</f>
        <v>45622</v>
      </c>
      <c r="AE9" s="18">
        <f>Настройки!AG17</f>
        <v>45623</v>
      </c>
      <c r="AF9" s="18">
        <f>Настройки!AH17</f>
        <v>45624</v>
      </c>
      <c r="AG9" s="18">
        <f>Настройки!AI17</f>
        <v>45625</v>
      </c>
      <c r="AH9" s="18">
        <f>Настройки!AJ17</f>
        <v>45626</v>
      </c>
      <c r="AI9" s="53"/>
      <c r="AJ9" s="53"/>
      <c r="AK9" s="4"/>
    </row>
    <row r="10" spans="1:37" ht="15.75" customHeight="1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86"/>
      <c r="AI10" s="53"/>
      <c r="AJ10" s="53"/>
      <c r="AK10" s="4"/>
    </row>
    <row r="11" spans="1:37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2"/>
      <c r="AI11" s="53"/>
      <c r="AJ11" s="53"/>
    </row>
    <row r="12" spans="1:37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14" t="s">
        <v>75</v>
      </c>
      <c r="F12" s="14" t="s">
        <v>76</v>
      </c>
      <c r="G12" s="14" t="s">
        <v>77</v>
      </c>
      <c r="H12" s="14" t="s">
        <v>78</v>
      </c>
      <c r="I12" s="14" t="s">
        <v>79</v>
      </c>
      <c r="J12" s="14" t="s">
        <v>80</v>
      </c>
      <c r="K12" s="14" t="s">
        <v>81</v>
      </c>
      <c r="L12" s="14" t="s">
        <v>82</v>
      </c>
      <c r="M12" s="14" t="s">
        <v>83</v>
      </c>
      <c r="N12" s="14" t="s">
        <v>84</v>
      </c>
      <c r="O12" s="14" t="s">
        <v>85</v>
      </c>
      <c r="P12" s="14" t="s">
        <v>86</v>
      </c>
      <c r="Q12" s="14" t="s">
        <v>87</v>
      </c>
      <c r="R12" s="14" t="s">
        <v>88</v>
      </c>
      <c r="S12" s="14" t="s">
        <v>89</v>
      </c>
      <c r="T12" s="14" t="s">
        <v>90</v>
      </c>
      <c r="U12" s="14" t="s">
        <v>91</v>
      </c>
      <c r="V12" s="14" t="s">
        <v>92</v>
      </c>
      <c r="W12" s="14" t="s">
        <v>93</v>
      </c>
      <c r="X12" s="14" t="s">
        <v>94</v>
      </c>
      <c r="Y12" s="14" t="s">
        <v>95</v>
      </c>
      <c r="Z12" s="14" t="s">
        <v>96</v>
      </c>
      <c r="AA12" s="14" t="s">
        <v>97</v>
      </c>
      <c r="AB12" s="14" t="s">
        <v>98</v>
      </c>
      <c r="AC12" s="14" t="s">
        <v>99</v>
      </c>
      <c r="AD12" s="14" t="s">
        <v>100</v>
      </c>
      <c r="AE12" s="14" t="s">
        <v>101</v>
      </c>
      <c r="AF12" s="14" t="s">
        <v>102</v>
      </c>
      <c r="AG12" s="14" t="s">
        <v>103</v>
      </c>
      <c r="AH12" s="14" t="s">
        <v>104</v>
      </c>
      <c r="AI12" s="3" t="s">
        <v>62</v>
      </c>
      <c r="AJ12" s="3" t="s">
        <v>63</v>
      </c>
    </row>
    <row r="13" spans="1:37" ht="22.5" customHeight="1" x14ac:dyDescent="0.25">
      <c r="A13" s="5" t="s">
        <v>56</v>
      </c>
      <c r="B13" s="3">
        <f ca="1">SUMPRODUCT((Настройки!$G$31:$AJ$31=1)*E16:AH16)</f>
        <v>0</v>
      </c>
      <c r="C13" s="14"/>
      <c r="D13" s="5">
        <v>1</v>
      </c>
      <c r="E13" s="3">
        <f>SUMPRODUCT((Ноябрь[№]=1)*Ноябрь[1],Ноябрь[Периодичность])</f>
        <v>0</v>
      </c>
      <c r="F13" s="24">
        <f>SUMPRODUCT((Ноябрь[№]=1)*Ноябрь[2],Ноябрь[Периодичность])</f>
        <v>0</v>
      </c>
      <c r="G13" s="24">
        <f>SUMPRODUCT((Ноябрь[№]=1)*Ноябрь[3],Ноябрь[Периодичность])</f>
        <v>0</v>
      </c>
      <c r="H13" s="24">
        <f>SUMPRODUCT((Ноябрь[№]=1)*Ноябрь[4],Ноябрь[Периодичность])</f>
        <v>0</v>
      </c>
      <c r="I13" s="24">
        <f>SUMPRODUCT((Ноябрь[№]=1)*Ноябрь[5],Ноябрь[Периодичность])</f>
        <v>0</v>
      </c>
      <c r="J13" s="24">
        <f>SUMPRODUCT((Ноябрь[№]=1)*Ноябрь[6],Ноябрь[Периодичность])</f>
        <v>0</v>
      </c>
      <c r="K13" s="24">
        <f>SUMPRODUCT((Ноябрь[№]=1)*Ноябрь[7],Ноябрь[Периодичность])</f>
        <v>0</v>
      </c>
      <c r="L13" s="24">
        <f>SUMPRODUCT((Ноябрь[№]=1)*Ноябрь[8],Ноябрь[Периодичность])</f>
        <v>0</v>
      </c>
      <c r="M13" s="24">
        <f>SUMPRODUCT((Ноябрь[№]=1)*Ноябрь[9],Ноябрь[Периодичность])</f>
        <v>0</v>
      </c>
      <c r="N13" s="24">
        <f>SUMPRODUCT((Ноябрь[№]=1)*Ноябрь[10],Ноябрь[Периодичность])</f>
        <v>0</v>
      </c>
      <c r="O13" s="24">
        <f>SUMPRODUCT((Ноябрь[№]=1)*Ноябрь[11],Ноябрь[Периодичность])</f>
        <v>0</v>
      </c>
      <c r="P13" s="24">
        <f>SUMPRODUCT((Ноябрь[№]=1)*Ноябрь[12],Ноябрь[Периодичность])</f>
        <v>0</v>
      </c>
      <c r="Q13" s="24">
        <f>SUMPRODUCT((Ноябрь[№]=1)*Ноябрь[13],Ноябрь[Периодичность])</f>
        <v>0</v>
      </c>
      <c r="R13" s="24">
        <f>SUMPRODUCT((Ноябрь[№]=1)*Ноябрь[14],Ноябрь[Периодичность])</f>
        <v>0</v>
      </c>
      <c r="S13" s="24">
        <f>SUMPRODUCT((Ноябрь[№]=1)*Ноябрь[15],Ноябрь[Периодичность])</f>
        <v>0</v>
      </c>
      <c r="T13" s="24">
        <f>SUMPRODUCT((Ноябрь[№]=1)*Ноябрь[16],Ноябрь[Периодичность])</f>
        <v>0</v>
      </c>
      <c r="U13" s="24">
        <f>SUMPRODUCT((Ноябрь[№]=1)*Ноябрь[17],Ноябрь[Периодичность])</f>
        <v>0</v>
      </c>
      <c r="V13" s="24">
        <f>SUMPRODUCT((Ноябрь[№]=1)*Ноябрь[18],Ноябрь[Периодичность])</f>
        <v>0</v>
      </c>
      <c r="W13" s="24">
        <f>SUMPRODUCT((Ноябрь[№]=1)*Ноябрь[19],Ноябрь[Периодичность])</f>
        <v>0</v>
      </c>
      <c r="X13" s="24">
        <f>SUMPRODUCT((Ноябрь[№]=1)*Ноябрь[20],Ноябрь[Периодичность])</f>
        <v>0</v>
      </c>
      <c r="Y13" s="24">
        <f>SUMPRODUCT((Ноябрь[№]=1)*Ноябрь[21],Ноябрь[Периодичность])</f>
        <v>0</v>
      </c>
      <c r="Z13" s="24">
        <f>SUMPRODUCT((Ноябрь[№]=1)*Ноябрь[22],Ноябрь[Периодичность])</f>
        <v>0</v>
      </c>
      <c r="AA13" s="24">
        <f>SUMPRODUCT((Ноябрь[№]=1)*Ноябрь[23],Ноябрь[Периодичность])</f>
        <v>0</v>
      </c>
      <c r="AB13" s="24">
        <f>SUMPRODUCT((Ноябрь[№]=1)*Ноябрь[24],Ноябрь[Периодичность])</f>
        <v>0</v>
      </c>
      <c r="AC13" s="24">
        <f>SUMPRODUCT((Ноябрь[№]=1)*Ноябрь[25],Ноябрь[Периодичность])</f>
        <v>0</v>
      </c>
      <c r="AD13" s="24">
        <f>SUMPRODUCT((Ноябрь[№]=1)*Ноябрь[26],Ноябрь[Периодичность])</f>
        <v>0</v>
      </c>
      <c r="AE13" s="24">
        <f>SUMPRODUCT((Ноябрь[№]=1)*Ноябрь[27],Ноябрь[Периодичность])</f>
        <v>0</v>
      </c>
      <c r="AF13" s="24">
        <f>SUMPRODUCT((Ноябрь[№]=1)*Ноябрь[28],Ноябрь[Периодичность])</f>
        <v>0</v>
      </c>
      <c r="AG13" s="24">
        <f>SUMPRODUCT((Ноябрь[№]=1)*Ноябрь[29],Ноябрь[Периодичность])</f>
        <v>0</v>
      </c>
      <c r="AH13" s="24">
        <f>SUMPRODUCT((Ноябрь[№]=1)*Ноябрь[30],Ноябрь[Периодичность])</f>
        <v>0</v>
      </c>
    </row>
    <row r="14" spans="1:37" ht="20.25" customHeight="1" x14ac:dyDescent="0.25">
      <c r="B14" s="3">
        <f ca="1">SUMPRODUCT((Настройки!$G$31:$AJ$31=2)*E16:AH16)</f>
        <v>0</v>
      </c>
      <c r="D14" s="5">
        <v>2</v>
      </c>
      <c r="E14" s="3">
        <f ca="1">SUMPRODUCT((Ноябрь[№]=2)*Ноябрь[1],OFFSET(Ноябрь[Периодичность],-1,0))</f>
        <v>0</v>
      </c>
      <c r="F14" s="24">
        <f ca="1">SUMPRODUCT((Ноябрь[№]=2)*Ноябрь[2],OFFSET(Ноябрь[Периодичность],-1,0))</f>
        <v>0</v>
      </c>
      <c r="G14" s="24">
        <f ca="1">SUMPRODUCT((Ноябрь[№]=2)*Ноябрь[3],OFFSET(Ноябрь[Периодичность],-1,0))</f>
        <v>0</v>
      </c>
      <c r="H14" s="24">
        <f ca="1">SUMPRODUCT((Ноябрь[№]=2)*Ноябрь[4],OFFSET(Ноябрь[Периодичность],-1,0))</f>
        <v>0</v>
      </c>
      <c r="I14" s="24">
        <f ca="1">SUMPRODUCT((Ноябрь[№]=2)*Ноябрь[5],OFFSET(Ноябрь[Периодичность],-1,0))</f>
        <v>0</v>
      </c>
      <c r="J14" s="24">
        <f ca="1">SUMPRODUCT((Ноябрь[№]=2)*Ноябрь[6],OFFSET(Ноябрь[Периодичность],-1,0))</f>
        <v>0</v>
      </c>
      <c r="K14" s="24">
        <f ca="1">SUMPRODUCT((Ноябрь[№]=2)*Ноябрь[7],OFFSET(Ноябрь[Периодичность],-1,0))</f>
        <v>0</v>
      </c>
      <c r="L14" s="24">
        <f ca="1">SUMPRODUCT((Ноябрь[№]=2)*Ноябрь[8],OFFSET(Ноябрь[Периодичность],-1,0))</f>
        <v>0</v>
      </c>
      <c r="M14" s="24">
        <f ca="1">SUMPRODUCT((Ноябрь[№]=2)*Ноябрь[9],OFFSET(Ноябрь[Периодичность],-1,0))</f>
        <v>0</v>
      </c>
      <c r="N14" s="24">
        <f ca="1">SUMPRODUCT((Ноябрь[№]=2)*Ноябрь[10],OFFSET(Ноябрь[Периодичность],-1,0))</f>
        <v>0</v>
      </c>
      <c r="O14" s="24">
        <f ca="1">SUMPRODUCT((Ноябрь[№]=2)*Ноябрь[11],OFFSET(Ноябрь[Периодичность],-1,0))</f>
        <v>0</v>
      </c>
      <c r="P14" s="24">
        <f ca="1">SUMPRODUCT((Ноябрь[№]=2)*Ноябрь[12],OFFSET(Ноябрь[Периодичность],-1,0))</f>
        <v>0</v>
      </c>
      <c r="Q14" s="24">
        <f ca="1">SUMPRODUCT((Ноябрь[№]=2)*Ноябрь[13],OFFSET(Ноябрь[Периодичность],-1,0))</f>
        <v>0</v>
      </c>
      <c r="R14" s="24">
        <f ca="1">SUMPRODUCT((Ноябрь[№]=2)*Ноябрь[14],OFFSET(Ноябрь[Периодичность],-1,0))</f>
        <v>0</v>
      </c>
      <c r="S14" s="24">
        <f ca="1">SUMPRODUCT((Ноябрь[№]=2)*Ноябрь[15],OFFSET(Ноябрь[Периодичность],-1,0))</f>
        <v>0</v>
      </c>
      <c r="T14" s="24">
        <f ca="1">SUMPRODUCT((Ноябрь[№]=2)*Ноябрь[16],OFFSET(Ноябрь[Периодичность],-1,0))</f>
        <v>0</v>
      </c>
      <c r="U14" s="24">
        <f ca="1">SUMPRODUCT((Ноябрь[№]=2)*Ноябрь[17],OFFSET(Ноябрь[Периодичность],-1,0))</f>
        <v>0</v>
      </c>
      <c r="V14" s="24">
        <f ca="1">SUMPRODUCT((Ноябрь[№]=2)*Ноябрь[18],OFFSET(Ноябрь[Периодичность],-1,0))</f>
        <v>0</v>
      </c>
      <c r="W14" s="24">
        <f ca="1">SUMPRODUCT((Ноябрь[№]=2)*Ноябрь[19],OFFSET(Ноябрь[Периодичность],-1,0))</f>
        <v>0</v>
      </c>
      <c r="X14" s="24">
        <f ca="1">SUMPRODUCT((Ноябрь[№]=2)*Ноябрь[20],OFFSET(Ноябрь[Периодичность],-1,0))</f>
        <v>0</v>
      </c>
      <c r="Y14" s="24">
        <f ca="1">SUMPRODUCT((Ноябрь[№]=2)*Ноябрь[21],OFFSET(Ноябрь[Периодичность],-1,0))</f>
        <v>0</v>
      </c>
      <c r="Z14" s="24">
        <f ca="1">SUMPRODUCT((Ноябрь[№]=2)*Ноябрь[22],OFFSET(Ноябрь[Периодичность],-1,0))</f>
        <v>0</v>
      </c>
      <c r="AA14" s="24">
        <f ca="1">SUMPRODUCT((Ноябрь[№]=2)*Ноябрь[23],OFFSET(Ноябрь[Периодичность],-1,0))</f>
        <v>0</v>
      </c>
      <c r="AB14" s="24">
        <f ca="1">SUMPRODUCT((Ноябрь[№]=2)*Ноябрь[24],OFFSET(Ноябрь[Периодичность],-1,0))</f>
        <v>0</v>
      </c>
      <c r="AC14" s="24">
        <f ca="1">SUMPRODUCT((Ноябрь[№]=2)*Ноябрь[25],OFFSET(Ноябрь[Периодичность],-1,0))</f>
        <v>0</v>
      </c>
      <c r="AD14" s="24">
        <f ca="1">SUMPRODUCT((Ноябрь[№]=2)*Ноябрь[26],OFFSET(Ноябрь[Периодичность],-1,0))</f>
        <v>0</v>
      </c>
      <c r="AE14" s="24">
        <f ca="1">SUMPRODUCT((Ноябрь[№]=2)*Ноябрь[27],OFFSET(Ноябрь[Периодичность],-1,0))</f>
        <v>0</v>
      </c>
      <c r="AF14" s="24">
        <f ca="1">SUMPRODUCT((Ноябрь[№]=2)*Ноябрь[28],OFFSET(Ноябрь[Периодичность],-1,0))</f>
        <v>0</v>
      </c>
      <c r="AG14" s="24">
        <f ca="1">SUMPRODUCT((Ноябрь[№]=2)*Ноябрь[29],OFFSET(Ноябрь[Периодичность],-1,0))</f>
        <v>0</v>
      </c>
      <c r="AH14" s="24">
        <f ca="1">SUMPRODUCT((Ноябрь[№]=2)*Ноябрь[30],OFFSET(Ноябрь[Периодичность],-1,0))</f>
        <v>0</v>
      </c>
    </row>
    <row r="15" spans="1:37" ht="22.5" customHeight="1" x14ac:dyDescent="0.25">
      <c r="B15" s="3">
        <f ca="1">SUMPRODUCT((Настройки!$G$31:$AJ$31=3)*E16:AH16)</f>
        <v>0</v>
      </c>
      <c r="D15" s="5">
        <v>3</v>
      </c>
      <c r="E15" s="3">
        <f ca="1">SUMPRODUCT((Ноябрь[№]=3)*Ноябрь[1],OFFSET(Ноябрь[Периодичность],-2,0))</f>
        <v>0</v>
      </c>
      <c r="F15" s="24">
        <f ca="1">SUMPRODUCT((Ноябрь[№]=3)*Ноябрь[2],OFFSET(Ноябрь[Периодичность],-2,0))</f>
        <v>0</v>
      </c>
      <c r="G15" s="24">
        <f ca="1">SUMPRODUCT((Ноябрь[№]=3)*Ноябрь[3],OFFSET(Ноябрь[Периодичность],-2,0))</f>
        <v>0</v>
      </c>
      <c r="H15" s="24">
        <f ca="1">SUMPRODUCT((Ноябрь[№]=3)*Ноябрь[4],OFFSET(Ноябрь[Периодичность],-2,0))</f>
        <v>0</v>
      </c>
      <c r="I15" s="24">
        <f ca="1">SUMPRODUCT((Ноябрь[№]=3)*Ноябрь[5],OFFSET(Ноябрь[Периодичность],-2,0))</f>
        <v>0</v>
      </c>
      <c r="J15" s="24">
        <f ca="1">SUMPRODUCT((Ноябрь[№]=3)*Ноябрь[6],OFFSET(Ноябрь[Периодичность],-2,0))</f>
        <v>0</v>
      </c>
      <c r="K15" s="24">
        <f ca="1">SUMPRODUCT((Ноябрь[№]=3)*Ноябрь[7],OFFSET(Ноябрь[Периодичность],-2,0))</f>
        <v>0</v>
      </c>
      <c r="L15" s="24">
        <f ca="1">SUMPRODUCT((Ноябрь[№]=3)*Ноябрь[8],OFFSET(Ноябрь[Периодичность],-2,0))</f>
        <v>0</v>
      </c>
      <c r="M15" s="24">
        <f ca="1">SUMPRODUCT((Ноябрь[№]=3)*Ноябрь[9],OFFSET(Ноябрь[Периодичность],-2,0))</f>
        <v>0</v>
      </c>
      <c r="N15" s="24">
        <f ca="1">SUMPRODUCT((Ноябрь[№]=3)*Ноябрь[10],OFFSET(Ноябрь[Периодичность],-2,0))</f>
        <v>0</v>
      </c>
      <c r="O15" s="24">
        <f ca="1">SUMPRODUCT((Ноябрь[№]=3)*Ноябрь[11],OFFSET(Ноябрь[Периодичность],-2,0))</f>
        <v>0</v>
      </c>
      <c r="P15" s="24">
        <f ca="1">SUMPRODUCT((Ноябрь[№]=3)*Ноябрь[12],OFFSET(Ноябрь[Периодичность],-2,0))</f>
        <v>0</v>
      </c>
      <c r="Q15" s="24">
        <f ca="1">SUMPRODUCT((Ноябрь[№]=3)*Ноябрь[13],OFFSET(Ноябрь[Периодичность],-2,0))</f>
        <v>0</v>
      </c>
      <c r="R15" s="24">
        <f ca="1">SUMPRODUCT((Ноябрь[№]=3)*Ноябрь[14],OFFSET(Ноябрь[Периодичность],-2,0))</f>
        <v>0</v>
      </c>
      <c r="S15" s="24">
        <f ca="1">SUMPRODUCT((Ноябрь[№]=3)*Ноябрь[15],OFFSET(Ноябрь[Периодичность],-2,0))</f>
        <v>0</v>
      </c>
      <c r="T15" s="24">
        <f ca="1">SUMPRODUCT((Ноябрь[№]=3)*Ноябрь[16],OFFSET(Ноябрь[Периодичность],-2,0))</f>
        <v>0</v>
      </c>
      <c r="U15" s="24">
        <f ca="1">SUMPRODUCT((Ноябрь[№]=3)*Ноябрь[17],OFFSET(Ноябрь[Периодичность],-2,0))</f>
        <v>0</v>
      </c>
      <c r="V15" s="24">
        <f ca="1">SUMPRODUCT((Ноябрь[№]=3)*Ноябрь[18],OFFSET(Ноябрь[Периодичность],-2,0))</f>
        <v>0</v>
      </c>
      <c r="W15" s="24">
        <f ca="1">SUMPRODUCT((Ноябрь[№]=3)*Ноябрь[19],OFFSET(Ноябрь[Периодичность],-2,0))</f>
        <v>0</v>
      </c>
      <c r="X15" s="24">
        <f ca="1">SUMPRODUCT((Ноябрь[№]=3)*Ноябрь[20],OFFSET(Ноябрь[Периодичность],-2,0))</f>
        <v>0</v>
      </c>
      <c r="Y15" s="24">
        <f ca="1">SUMPRODUCT((Ноябрь[№]=3)*Ноябрь[21],OFFSET(Ноябрь[Периодичность],-2,0))</f>
        <v>0</v>
      </c>
      <c r="Z15" s="24">
        <f ca="1">SUMPRODUCT((Ноябрь[№]=3)*Ноябрь[22],OFFSET(Ноябрь[Периодичность],-2,0))</f>
        <v>0</v>
      </c>
      <c r="AA15" s="24">
        <f ca="1">SUMPRODUCT((Ноябрь[№]=3)*Ноябрь[23],OFFSET(Ноябрь[Периодичность],-2,0))</f>
        <v>0</v>
      </c>
      <c r="AB15" s="24">
        <f ca="1">SUMPRODUCT((Ноябрь[№]=3)*Ноябрь[24],OFFSET(Ноябрь[Периодичность],-2,0))</f>
        <v>0</v>
      </c>
      <c r="AC15" s="24">
        <f ca="1">SUMPRODUCT((Ноябрь[№]=3)*Ноябрь[25],OFFSET(Ноябрь[Периодичность],-2,0))</f>
        <v>0</v>
      </c>
      <c r="AD15" s="24">
        <f ca="1">SUMPRODUCT((Ноябрь[№]=3)*Ноябрь[26],OFFSET(Ноябрь[Периодичность],-2,0))</f>
        <v>0</v>
      </c>
      <c r="AE15" s="24">
        <f ca="1">SUMPRODUCT((Ноябрь[№]=3)*Ноябрь[27],OFFSET(Ноябрь[Периодичность],-2,0))</f>
        <v>0</v>
      </c>
      <c r="AF15" s="24">
        <f ca="1">SUMPRODUCT((Ноябрь[№]=3)*Ноябрь[28],OFFSET(Ноябрь[Периодичность],-2,0))</f>
        <v>0</v>
      </c>
      <c r="AG15" s="24">
        <f ca="1">SUMPRODUCT((Ноябрь[№]=3)*Ноябрь[29],OFFSET(Ноябрь[Периодичность],-2,0))</f>
        <v>0</v>
      </c>
      <c r="AH15" s="24">
        <f ca="1">SUMPRODUCT((Ноябрь[№]=3)*Ноябрь[30],OFFSET(Ноябрь[Периодичность],-2,0))</f>
        <v>0</v>
      </c>
      <c r="AJ15" s="10"/>
    </row>
    <row r="16" spans="1:37" ht="18" customHeight="1" x14ac:dyDescent="0.25">
      <c r="B16" s="3">
        <f ca="1">SUMPRODUCT((Настройки!$G$31:$AJ$31=4)*E16:AH16)</f>
        <v>0</v>
      </c>
      <c r="D16" s="5"/>
      <c r="E16" s="3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J16" s="10"/>
    </row>
    <row r="17" spans="1:36" ht="21.75" customHeight="1" x14ac:dyDescent="0.25">
      <c r="B17" s="3">
        <f ca="1">SUMPRODUCT((Настройки!$G$31:$AJ$31=5)*E16:AH16)</f>
        <v>0</v>
      </c>
      <c r="C17" s="5">
        <f ca="1">НоябрьИтоги[[#This Row],[№]]*60</f>
        <v>0</v>
      </c>
      <c r="D17" s="7">
        <f ca="1">SUM(НоябрьИтоги[[#This Row],[1]:[30]])</f>
        <v>0</v>
      </c>
      <c r="E17" s="6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5">
        <f ca="1">SUM(Ноябрь[УСЛУГ])</f>
        <v>0</v>
      </c>
      <c r="AJ17" s="16">
        <f ca="1">SUM(Ноябрь[МИНУТ])</f>
        <v>0</v>
      </c>
    </row>
    <row r="18" spans="1:36" ht="21.75" customHeight="1" x14ac:dyDescent="0.25">
      <c r="B18" s="14">
        <f ca="1">SUMPRODUCT((Настройки!$G$31:$AJ$31=6)*E16:AH16)</f>
        <v>0</v>
      </c>
      <c r="C18" s="14"/>
      <c r="D18" s="7"/>
      <c r="E18" s="14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14"/>
      <c r="AJ18" s="46"/>
    </row>
    <row r="20" spans="1:36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59"/>
      <c r="AI20" s="53" t="s">
        <v>64</v>
      </c>
      <c r="AJ20" s="53" t="s">
        <v>64</v>
      </c>
    </row>
    <row r="21" spans="1:36" ht="15.75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9"/>
      <c r="AI21" s="53"/>
      <c r="AJ21" s="53"/>
    </row>
    <row r="22" spans="1:36" x14ac:dyDescent="0.25">
      <c r="A22" s="63"/>
      <c r="B22" s="63"/>
      <c r="C22" s="64"/>
      <c r="D22" s="66"/>
      <c r="E22" s="22">
        <f>Настройки!G17</f>
        <v>45597</v>
      </c>
      <c r="F22" s="22">
        <f>Настройки!H17</f>
        <v>45598</v>
      </c>
      <c r="G22" s="22">
        <f>Настройки!I17</f>
        <v>45599</v>
      </c>
      <c r="H22" s="22">
        <f>Настройки!J17</f>
        <v>45600</v>
      </c>
      <c r="I22" s="22">
        <f>Настройки!K17</f>
        <v>45601</v>
      </c>
      <c r="J22" s="22">
        <f>Настройки!L17</f>
        <v>45602</v>
      </c>
      <c r="K22" s="22">
        <f>Настройки!M17</f>
        <v>45603</v>
      </c>
      <c r="L22" s="22">
        <f>Настройки!N17</f>
        <v>45604</v>
      </c>
      <c r="M22" s="22">
        <f>Настройки!O17</f>
        <v>45605</v>
      </c>
      <c r="N22" s="22">
        <f>Настройки!P17</f>
        <v>45606</v>
      </c>
      <c r="O22" s="22">
        <f>Настройки!Q17</f>
        <v>45607</v>
      </c>
      <c r="P22" s="22">
        <f>Настройки!R17</f>
        <v>45608</v>
      </c>
      <c r="Q22" s="22">
        <f>Настройки!S17</f>
        <v>45609</v>
      </c>
      <c r="R22" s="22">
        <f>Настройки!T17</f>
        <v>45610</v>
      </c>
      <c r="S22" s="22">
        <f>Настройки!U17</f>
        <v>45611</v>
      </c>
      <c r="T22" s="22">
        <f>Настройки!V17</f>
        <v>45612</v>
      </c>
      <c r="U22" s="22">
        <f>Настройки!W17</f>
        <v>45613</v>
      </c>
      <c r="V22" s="22">
        <f>Настройки!X17</f>
        <v>45614</v>
      </c>
      <c r="W22" s="22">
        <f>Настройки!Y17</f>
        <v>45615</v>
      </c>
      <c r="X22" s="22">
        <f>Настройки!Z17</f>
        <v>45616</v>
      </c>
      <c r="Y22" s="22">
        <f>Настройки!AA17</f>
        <v>45617</v>
      </c>
      <c r="Z22" s="22">
        <f>Настройки!AB17</f>
        <v>45618</v>
      </c>
      <c r="AA22" s="22">
        <f>Настройки!AC17</f>
        <v>45619</v>
      </c>
      <c r="AB22" s="22">
        <f>Настройки!AD17</f>
        <v>45620</v>
      </c>
      <c r="AC22" s="22">
        <f>Настройки!AE17</f>
        <v>45621</v>
      </c>
      <c r="AD22" s="22">
        <f>Настройки!AF17</f>
        <v>45622</v>
      </c>
      <c r="AE22" s="22">
        <f>Настройки!AG17</f>
        <v>45623</v>
      </c>
      <c r="AF22" s="22">
        <f>Настройки!AH17</f>
        <v>45624</v>
      </c>
      <c r="AG22" s="22">
        <f>Настройки!AI17</f>
        <v>45625</v>
      </c>
      <c r="AH22" s="22">
        <f>Настройки!AJ17</f>
        <v>45626</v>
      </c>
      <c r="AI22" s="53"/>
      <c r="AJ22" s="53"/>
    </row>
    <row r="23" spans="1:36" x14ac:dyDescent="0.25">
      <c r="A23" s="63"/>
      <c r="B23" s="63"/>
      <c r="C23" s="64"/>
      <c r="D23" s="66"/>
      <c r="E23" s="58" t="s">
        <v>54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86"/>
      <c r="AI23" s="53"/>
      <c r="AJ23" s="53"/>
    </row>
    <row r="24" spans="1:36" x14ac:dyDescent="0.25">
      <c r="A24" s="63"/>
      <c r="B24" s="63"/>
      <c r="C24" s="64"/>
      <c r="D24" s="6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88"/>
      <c r="AI24" s="53"/>
      <c r="AJ24" s="53"/>
    </row>
    <row r="25" spans="1:36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62</v>
      </c>
      <c r="AJ25" s="3" t="s">
        <v>63</v>
      </c>
    </row>
    <row r="26" spans="1:36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5">
        <f ca="1">IF(Ноябрь[[#This Row],[№]]=1,SUM(Ноябрь[[#This Row],[1]:[30]])+SUM(OFFSET(Ноябрь[[#This Row],[1]:[30]],1,0))+SUM(OFFSET(Ноябрь[[#This Row],[1]:[30]],2,0)),"")</f>
        <v>0</v>
      </c>
      <c r="AJ26" s="5">
        <f ca="1">IF(Ноябрь[[#This Row],[УСЛУГ]]&lt;&gt;"",Ноябрь[[#This Row],[УСЛУГ]]*Ноябрь[[#This Row],[Периодичность]],"")</f>
        <v>0</v>
      </c>
    </row>
    <row r="27" spans="1:36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5" t="str">
        <f ca="1">IF(Ноябрь[[#This Row],[№]]=1,SUM(Ноябрь[[#This Row],[1]:[30]])+SUM(OFFSET(Ноябрь[[#This Row],[1]:[30]],1,0))+SUM(OFFSET(Ноябрь[[#This Row],[1]:[30]],2,0)),"")</f>
        <v/>
      </c>
      <c r="AJ27" s="5" t="str">
        <f ca="1">IF(Ноябрь[[#This Row],[УСЛУГ]]&lt;&gt;"",Ноябрь[[#This Row],[УСЛУГ]]*Ноябрь[[#This Row],[Периодичность]],"")</f>
        <v/>
      </c>
    </row>
    <row r="28" spans="1:36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5" t="str">
        <f ca="1">IF(Ноябрь[[#This Row],[№]]=1,SUM(Ноябрь[[#This Row],[1]:[30]])+SUM(OFFSET(Ноябрь[[#This Row],[1]:[30]],1,0))+SUM(OFFSET(Ноябрь[[#This Row],[1]:[30]],2,0)),"")</f>
        <v/>
      </c>
      <c r="AJ28" s="5" t="str">
        <f ca="1">IF(Ноябрь[[#This Row],[УСЛУГ]]&lt;&gt;"",Ноябрь[[#This Row],[УСЛУГ]]*Ноябрь[[#This Row],[Периодичность]],"")</f>
        <v/>
      </c>
    </row>
  </sheetData>
  <mergeCells count="20">
    <mergeCell ref="AI7:AI11"/>
    <mergeCell ref="AJ7:AJ11"/>
    <mergeCell ref="E10:AH11"/>
    <mergeCell ref="A20:A24"/>
    <mergeCell ref="B20:C24"/>
    <mergeCell ref="D20:D24"/>
    <mergeCell ref="E20:AH21"/>
    <mergeCell ref="AI20:AI24"/>
    <mergeCell ref="AJ20:AJ24"/>
    <mergeCell ref="E23:AH24"/>
    <mergeCell ref="A7:A11"/>
    <mergeCell ref="B7:B11"/>
    <mergeCell ref="C7:C11"/>
    <mergeCell ref="D7:D11"/>
    <mergeCell ref="E7:AH8"/>
    <mergeCell ref="A2:AJ2"/>
    <mergeCell ref="A3:AJ3"/>
    <mergeCell ref="J4:L4"/>
    <mergeCell ref="M4:U4"/>
    <mergeCell ref="M5:Q5"/>
  </mergeCells>
  <conditionalFormatting sqref="E9:AH9">
    <cfRule type="expression" dxfId="216" priority="2">
      <formula>WEEKDAY(E9:AH9,2)&gt;5</formula>
    </cfRule>
  </conditionalFormatting>
  <conditionalFormatting sqref="E22:AH22">
    <cfRule type="expression" dxfId="215" priority="1">
      <formula>WEEKDAY(E22:AH22,2)&gt;5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2" fitToHeight="0" orientation="landscape" horizontalDpi="300" verticalDpi="300" r:id="rId1"/>
  <ignoredErrors>
    <ignoredError sqref="E13 AI17:AJ17 B13:B18 E16:E17 E14:E15" calculatedColumn="1"/>
  </ignoredErrors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2:AF27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130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Настройки!G17</f>
        <v>45597</v>
      </c>
      <c r="C10" s="30">
        <f>Настройки!H17</f>
        <v>45598</v>
      </c>
      <c r="D10" s="30">
        <f>Настройки!I17</f>
        <v>45599</v>
      </c>
      <c r="E10" s="30">
        <f>Настройки!J17</f>
        <v>45600</v>
      </c>
      <c r="F10" s="30">
        <f>Настройки!K17</f>
        <v>45601</v>
      </c>
      <c r="G10" s="30">
        <f>Настройки!L17</f>
        <v>45602</v>
      </c>
      <c r="H10" s="30">
        <f>Настройки!M17</f>
        <v>45603</v>
      </c>
      <c r="I10" s="30">
        <f>Настройки!N17</f>
        <v>45604</v>
      </c>
      <c r="J10" s="30">
        <f>Настройки!O17</f>
        <v>45605</v>
      </c>
      <c r="K10" s="30">
        <f>Настройки!P17</f>
        <v>45606</v>
      </c>
      <c r="L10" s="30">
        <f>Настройки!Q17</f>
        <v>45607</v>
      </c>
      <c r="M10" s="30">
        <f>Настройки!R17</f>
        <v>45608</v>
      </c>
      <c r="N10" s="30">
        <f>Настройки!S17</f>
        <v>45609</v>
      </c>
      <c r="O10" s="30">
        <f>Настройки!T17</f>
        <v>45610</v>
      </c>
      <c r="P10" s="30">
        <f>Настройки!U17</f>
        <v>45611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IF(Настройки!J2&lt;&gt;"",TEXT(Настройки!J2,"ч:мм")&amp;"-"&amp;TEXT(Настройки!J2+TIME(0,MAX(Ноябрь!E13:AH13),0),"ч:мм"),"")</f>
        <v>9:00-9:00</v>
      </c>
      <c r="B14" s="31" t="str">
        <f>IF(TEXT(Настройки!$J2+TIME(0,Ноябрь!E13,0),"ч::мм")=TEXT(Настройки!$J2,"ч:мм"),"",TEXT(Настройки!$J2,"ч:мм")&amp;"-"&amp;TEXT(Настройки!$J2+TIME(0,Ноябрь!E13,0),"ч::мм"))</f>
        <v/>
      </c>
      <c r="C14" s="31" t="str">
        <f>IF(TEXT(Настройки!$J2+TIME(0,Ноябрь!F13,0),"ч::мм")=TEXT(Настройки!$J2,"ч:мм"),"",TEXT(Настройки!$J2,"ч:мм")&amp;"-"&amp;TEXT(Настройки!$J2+TIME(0,Ноябрь!F13,0),"ч::мм"))</f>
        <v/>
      </c>
      <c r="D14" s="31" t="str">
        <f>IF(TEXT(Настройки!$J2+TIME(0,Ноябрь!G13,0),"ч::мм")=TEXT(Настройки!$J2,"ч:мм"),"",TEXT(Настройки!$J2,"ч:мм")&amp;"-"&amp;TEXT(Настройки!$J2+TIME(0,Ноябрь!G13,0),"ч::мм"))</f>
        <v/>
      </c>
      <c r="E14" s="31" t="str">
        <f>IF(TEXT(Настройки!$J2+TIME(0,Ноябрь!H13,0),"ч::мм")=TEXT(Настройки!$J2,"ч:мм"),"",TEXT(Настройки!$J2,"ч:мм")&amp;"-"&amp;TEXT(Настройки!$J2+TIME(0,Ноябрь!H13,0),"ч::мм"))</f>
        <v/>
      </c>
      <c r="F14" s="31" t="str">
        <f>IF(TEXT(Настройки!$J2+TIME(0,Ноябрь!I13,0),"ч::мм")=TEXT(Настройки!$J2,"ч:мм"),"",TEXT(Настройки!$J2,"ч:мм")&amp;"-"&amp;TEXT(Настройки!$J2+TIME(0,Ноябрь!I13,0),"ч::мм"))</f>
        <v/>
      </c>
      <c r="G14" s="31" t="str">
        <f>IF(TEXT(Настройки!$J2+TIME(0,Ноябрь!J13,0),"ч::мм")=TEXT(Настройки!$J2,"ч:мм"),"",TEXT(Настройки!$J2,"ч:мм")&amp;"-"&amp;TEXT(Настройки!$J2+TIME(0,Ноябрь!J13,0),"ч::мм"))</f>
        <v/>
      </c>
      <c r="H14" s="31" t="str">
        <f>IF(TEXT(Настройки!$J2+TIME(0,Ноябрь!K13,0),"ч::мм")=TEXT(Настройки!$J2,"ч:мм"),"",TEXT(Настройки!$J2,"ч:мм")&amp;"-"&amp;TEXT(Настройки!$J2+TIME(0,Ноябрь!K13,0),"ч::мм"))</f>
        <v/>
      </c>
      <c r="I14" s="31" t="str">
        <f>IF(TEXT(Настройки!$J2+TIME(0,Ноябрь!L13,0),"ч::мм")=TEXT(Настройки!$J2,"ч:мм"),"",TEXT(Настройки!$J2,"ч:мм")&amp;"-"&amp;TEXT(Настройки!$J2+TIME(0,Ноябрь!L13,0),"ч::мм"))</f>
        <v/>
      </c>
      <c r="J14" s="31" t="str">
        <f>IF(TEXT(Настройки!$J2+TIME(0,Ноябрь!M13,0),"ч::мм")=TEXT(Настройки!$J2,"ч:мм"),"",TEXT(Настройки!$J2,"ч:мм")&amp;"-"&amp;TEXT(Настройки!$J2+TIME(0,Ноябрь!M13,0),"ч::мм"))</f>
        <v/>
      </c>
      <c r="K14" s="31" t="str">
        <f>IF(TEXT(Настройки!$J2+TIME(0,Ноябрь!N13,0),"ч::мм")=TEXT(Настройки!$J2,"ч:мм"),"",TEXT(Настройки!$J2,"ч:мм")&amp;"-"&amp;TEXT(Настройки!$J2+TIME(0,Ноябрь!N13,0),"ч::мм"))</f>
        <v/>
      </c>
      <c r="L14" s="31" t="str">
        <f>IF(TEXT(Настройки!$J2+TIME(0,Ноябрь!O13,0),"ч::мм")=TEXT(Настройки!$J2,"ч:мм"),"",TEXT(Настройки!$J2,"ч:мм")&amp;"-"&amp;TEXT(Настройки!$J2+TIME(0,Ноябрь!O13,0),"ч::мм"))</f>
        <v/>
      </c>
      <c r="M14" s="31" t="str">
        <f>IF(TEXT(Настройки!$J2+TIME(0,Ноябрь!P13,0),"ч::мм")=TEXT(Настройки!$J2,"ч:мм"),"",TEXT(Настройки!$J2,"ч:мм")&amp;"-"&amp;TEXT(Настройки!$J2+TIME(0,Ноябрь!P13,0),"ч::мм"))</f>
        <v/>
      </c>
      <c r="N14" s="31" t="str">
        <f>IF(TEXT(Настройки!$J2+TIME(0,Ноябрь!Q13,0),"ч::мм")=TEXT(Настройки!$J2,"ч:мм"),"",TEXT(Настройки!$J2,"ч:мм")&amp;"-"&amp;TEXT(Настройки!$J2+TIME(0,Ноябрь!Q13,0),"ч::мм"))</f>
        <v/>
      </c>
      <c r="O14" s="31" t="str">
        <f>IF(TEXT(Настройки!$J2+TIME(0,Ноябрь!R13,0),"ч::мм")=TEXT(Настройки!$J2,"ч:мм"),"",TEXT(Настройки!$J2,"ч:мм")&amp;"-"&amp;TEXT(Настройки!$J2+TIME(0,Ноябрь!R13,0),"ч::мм"))</f>
        <v/>
      </c>
      <c r="P14" s="31" t="str">
        <f>IF(TEXT(Настройки!$J2+TIME(0,Ноябрь!S13,0),"ч::мм")=TEXT(Настройки!$J2,"ч:мм"),"",TEXT(Настройки!$J2,"ч:мм")&amp;"-"&amp;TEXT(Настройки!$J2+TIME(0,Ноябрь!S13,0),"ч::мм"))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IF(Настройки!J3&lt;&gt;"",TEXT(Настройки!J3,"ч:мм")&amp;"-"&amp;TEXT(Настройки!J3+TIME(0,MAX(Ноябрь!E14:AH14),0),"ч:мм"),"")</f>
        <v>13:00-13:00</v>
      </c>
      <c r="B15" s="31" t="str">
        <f ca="1">IF(TEXT(Настройки!$J3+TIME(0,Ноябрь!E14,0),"ч::мм")=TEXT(Настройки!$J3,"ч:мм"),"",TEXT(Настройки!$J3,"ч:мм")&amp;"-"&amp;TEXT(Настройки!$J3+TIME(0,Ноябрь!E14,0),"ч::мм"))</f>
        <v/>
      </c>
      <c r="C15" s="31" t="str">
        <f ca="1">IF(TEXT(Настройки!$J3+TIME(0,Ноябрь!F14,0),"ч::мм")=TEXT(Настройки!$J3,"ч:мм"),"",TEXT(Настройки!$J3,"ч:мм")&amp;"-"&amp;TEXT(Настройки!$J3+TIME(0,Ноябрь!F14,0),"ч::мм"))</f>
        <v/>
      </c>
      <c r="D15" s="31" t="str">
        <f ca="1">IF(TEXT(Настройки!$J3+TIME(0,Ноябрь!G14,0),"ч::мм")=TEXT(Настройки!$J3,"ч:мм"),"",TEXT(Настройки!$J3,"ч:мм")&amp;"-"&amp;TEXT(Настройки!$J3+TIME(0,Ноябрь!G14,0),"ч::мм"))</f>
        <v/>
      </c>
      <c r="E15" s="31" t="str">
        <f ca="1">IF(TEXT(Настройки!$J3+TIME(0,Ноябрь!H14,0),"ч::мм")=TEXT(Настройки!$J3,"ч:мм"),"",TEXT(Настройки!$J3,"ч:мм")&amp;"-"&amp;TEXT(Настройки!$J3+TIME(0,Ноябрь!H14,0),"ч::мм"))</f>
        <v/>
      </c>
      <c r="F15" s="31" t="str">
        <f ca="1">IF(TEXT(Настройки!$J3+TIME(0,Ноябрь!I14,0),"ч::мм")=TEXT(Настройки!$J3,"ч:мм"),"",TEXT(Настройки!$J3,"ч:мм")&amp;"-"&amp;TEXT(Настройки!$J3+TIME(0,Ноябрь!I14,0),"ч::мм"))</f>
        <v/>
      </c>
      <c r="G15" s="31" t="str">
        <f ca="1">IF(TEXT(Настройки!$J3+TIME(0,Ноябрь!J14,0),"ч::мм")=TEXT(Настройки!$J3,"ч:мм"),"",TEXT(Настройки!$J3,"ч:мм")&amp;"-"&amp;TEXT(Настройки!$J3+TIME(0,Ноябрь!J14,0),"ч::мм"))</f>
        <v/>
      </c>
      <c r="H15" s="31" t="str">
        <f ca="1">IF(TEXT(Настройки!$J3+TIME(0,Ноябрь!K14,0),"ч::мм")=TEXT(Настройки!$J3,"ч:мм"),"",TEXT(Настройки!$J3,"ч:мм")&amp;"-"&amp;TEXT(Настройки!$J3+TIME(0,Ноябрь!K14,0),"ч::мм"))</f>
        <v/>
      </c>
      <c r="I15" s="31" t="str">
        <f ca="1">IF(TEXT(Настройки!$J3+TIME(0,Ноябрь!L14,0),"ч::мм")=TEXT(Настройки!$J3,"ч:мм"),"",TEXT(Настройки!$J3,"ч:мм")&amp;"-"&amp;TEXT(Настройки!$J3+TIME(0,Ноябрь!L14,0),"ч::мм"))</f>
        <v/>
      </c>
      <c r="J15" s="31" t="str">
        <f ca="1">IF(TEXT(Настройки!$J3+TIME(0,Ноябрь!M14,0),"ч::мм")=TEXT(Настройки!$J3,"ч:мм"),"",TEXT(Настройки!$J3,"ч:мм")&amp;"-"&amp;TEXT(Настройки!$J3+TIME(0,Ноябрь!M14,0),"ч::мм"))</f>
        <v/>
      </c>
      <c r="K15" s="31" t="str">
        <f ca="1">IF(TEXT(Настройки!$J3+TIME(0,Ноябрь!N14,0),"ч::мм")=TEXT(Настройки!$J3,"ч:мм"),"",TEXT(Настройки!$J3,"ч:мм")&amp;"-"&amp;TEXT(Настройки!$J3+TIME(0,Ноябрь!N14,0),"ч::мм"))</f>
        <v/>
      </c>
      <c r="L15" s="31" t="str">
        <f ca="1">IF(TEXT(Настройки!$J3+TIME(0,Ноябрь!O14,0),"ч::мм")=TEXT(Настройки!$J3,"ч:мм"),"",TEXT(Настройки!$J3,"ч:мм")&amp;"-"&amp;TEXT(Настройки!$J3+TIME(0,Ноябрь!O14,0),"ч::мм"))</f>
        <v/>
      </c>
      <c r="M15" s="31" t="str">
        <f ca="1">IF(TEXT(Настройки!$J3+TIME(0,Ноябрь!P14,0),"ч::мм")=TEXT(Настройки!$J3,"ч:мм"),"",TEXT(Настройки!$J3,"ч:мм")&amp;"-"&amp;TEXT(Настройки!$J3+TIME(0,Ноябрь!P14,0),"ч::мм"))</f>
        <v/>
      </c>
      <c r="N15" s="31" t="str">
        <f ca="1">IF(TEXT(Настройки!$J3+TIME(0,Ноябрь!Q14,0),"ч::мм")=TEXT(Настройки!$J3,"ч:мм"),"",TEXT(Настройки!$J3,"ч:мм")&amp;"-"&amp;TEXT(Настройки!$J3+TIME(0,Ноябрь!Q14,0),"ч::мм"))</f>
        <v/>
      </c>
      <c r="O15" s="31" t="str">
        <f ca="1">IF(TEXT(Настройки!$J3+TIME(0,Ноябрь!R14,0),"ч::мм")=TEXT(Настройки!$J3,"ч:мм"),"",TEXT(Настройки!$J3,"ч:мм")&amp;"-"&amp;TEXT(Настройки!$J3+TIME(0,Ноябрь!R14,0),"ч::мм"))</f>
        <v/>
      </c>
      <c r="P15" s="31" t="str">
        <f ca="1">IF(TEXT(Настройки!$J3+TIME(0,Ноябрь!S14,0),"ч::мм")=TEXT(Настройки!$J3,"ч:мм"),"",TEXT(Настройки!$J3,"ч:мм")&amp;"-"&amp;TEXT(Настройки!$J3+TIME(0,Ноябрь!S14,0),"ч::мм"))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IF(Настройки!J4&lt;&gt;"",TEXT(Настройки!J4,"ч:мм")&amp;"-"&amp;TEXT(Настройки!J4+TIME(0,MAX(Ноябрь!E15:AH15),0),"ч:мм"),"")</f>
        <v>16:00-16:00</v>
      </c>
      <c r="B16" s="31" t="str">
        <f ca="1">IF(TEXT(Настройки!$J4+TIME(0,Ноябрь!E15,0),"ч::мм")=TEXT(Настройки!$J4,"ч:мм"),"",TEXT(Настройки!$J4,"ч:мм")&amp;"-"&amp;TEXT(Настройки!$J4+TIME(0,Ноябрь!E15,0),"ч::мм"))</f>
        <v/>
      </c>
      <c r="C16" s="31" t="str">
        <f ca="1">IF(TEXT(Настройки!$J4+TIME(0,Ноябрь!F15,0),"ч::мм")=TEXT(Настройки!$J4,"ч:мм"),"",TEXT(Настройки!$J4,"ч:мм")&amp;"-"&amp;TEXT(Настройки!$J4+TIME(0,Ноябрь!F15,0),"ч::мм"))</f>
        <v/>
      </c>
      <c r="D16" s="31" t="str">
        <f ca="1">IF(TEXT(Настройки!$J4+TIME(0,Ноябрь!G15,0),"ч::мм")=TEXT(Настройки!$J4,"ч:мм"),"",TEXT(Настройки!$J4,"ч:мм")&amp;"-"&amp;TEXT(Настройки!$J4+TIME(0,Ноябрь!G15,0),"ч::мм"))</f>
        <v/>
      </c>
      <c r="E16" s="31" t="str">
        <f ca="1">IF(TEXT(Настройки!$J4+TIME(0,Ноябрь!H15,0),"ч::мм")=TEXT(Настройки!$J4,"ч:мм"),"",TEXT(Настройки!$J4,"ч:мм")&amp;"-"&amp;TEXT(Настройки!$J4+TIME(0,Ноябрь!H15,0),"ч::мм"))</f>
        <v/>
      </c>
      <c r="F16" s="31" t="str">
        <f ca="1">IF(TEXT(Настройки!$J4+TIME(0,Ноябрь!I15,0),"ч::мм")=TEXT(Настройки!$J4,"ч:мм"),"",TEXT(Настройки!$J4,"ч:мм")&amp;"-"&amp;TEXT(Настройки!$J4+TIME(0,Ноябрь!I15,0),"ч::мм"))</f>
        <v/>
      </c>
      <c r="G16" s="31" t="str">
        <f ca="1">IF(TEXT(Настройки!$J4+TIME(0,Ноябрь!J15,0),"ч::мм")=TEXT(Настройки!$J4,"ч:мм"),"",TEXT(Настройки!$J4,"ч:мм")&amp;"-"&amp;TEXT(Настройки!$J4+TIME(0,Ноябрь!J15,0),"ч::мм"))</f>
        <v/>
      </c>
      <c r="H16" s="31" t="str">
        <f ca="1">IF(TEXT(Настройки!$J4+TIME(0,Ноябрь!K15,0),"ч::мм")=TEXT(Настройки!$J4,"ч:мм"),"",TEXT(Настройки!$J4,"ч:мм")&amp;"-"&amp;TEXT(Настройки!$J4+TIME(0,Ноябрь!K15,0),"ч::мм"))</f>
        <v/>
      </c>
      <c r="I16" s="31" t="str">
        <f ca="1">IF(TEXT(Настройки!$J4+TIME(0,Ноябрь!L15,0),"ч::мм")=TEXT(Настройки!$J4,"ч:мм"),"",TEXT(Настройки!$J4,"ч:мм")&amp;"-"&amp;TEXT(Настройки!$J4+TIME(0,Ноябрь!L15,0),"ч::мм"))</f>
        <v/>
      </c>
      <c r="J16" s="31" t="str">
        <f ca="1">IF(TEXT(Настройки!$J4+TIME(0,Ноябрь!M15,0),"ч::мм")=TEXT(Настройки!$J4,"ч:мм"),"",TEXT(Настройки!$J4,"ч:мм")&amp;"-"&amp;TEXT(Настройки!$J4+TIME(0,Ноябрь!M15,0),"ч::мм"))</f>
        <v/>
      </c>
      <c r="K16" s="31" t="str">
        <f ca="1">IF(TEXT(Настройки!$J4+TIME(0,Ноябрь!N15,0),"ч::мм")=TEXT(Настройки!$J4,"ч:мм"),"",TEXT(Настройки!$J4,"ч:мм")&amp;"-"&amp;TEXT(Настройки!$J4+TIME(0,Ноябрь!N15,0),"ч::мм"))</f>
        <v/>
      </c>
      <c r="L16" s="31" t="str">
        <f ca="1">IF(TEXT(Настройки!$J4+TIME(0,Ноябрь!O15,0),"ч::мм")=TEXT(Настройки!$J4,"ч:мм"),"",TEXT(Настройки!$J4,"ч:мм")&amp;"-"&amp;TEXT(Настройки!$J4+TIME(0,Ноябрь!O15,0),"ч::мм"))</f>
        <v/>
      </c>
      <c r="M16" s="31" t="str">
        <f ca="1">IF(TEXT(Настройки!$J4+TIME(0,Ноябрь!P15,0),"ч::мм")=TEXT(Настройки!$J4,"ч:мм"),"",TEXT(Настройки!$J4,"ч:мм")&amp;"-"&amp;TEXT(Настройки!$J4+TIME(0,Ноябрь!P15,0),"ч::мм"))</f>
        <v/>
      </c>
      <c r="N16" s="31" t="str">
        <f ca="1">IF(TEXT(Настройки!$J4+TIME(0,Ноябрь!Q15,0),"ч::мм")=TEXT(Настройки!$J4,"ч:мм"),"",TEXT(Настройки!$J4,"ч:мм")&amp;"-"&amp;TEXT(Настройки!$J4+TIME(0,Ноябрь!Q15,0),"ч::мм"))</f>
        <v/>
      </c>
      <c r="O16" s="31" t="str">
        <f ca="1">IF(TEXT(Настройки!$J4+TIME(0,Ноябрь!R15,0),"ч::мм")=TEXT(Настройки!$J4,"ч:мм"),"",TEXT(Настройки!$J4,"ч:мм")&amp;"-"&amp;TEXT(Настройки!$J4+TIME(0,Ноябрь!R15,0),"ч::мм"))</f>
        <v/>
      </c>
      <c r="P16" s="31" t="str">
        <f ca="1">IF(TEXT(Настройки!$J4+TIME(0,Ноябрь!S15,0),"ч::мм")=TEXT(Настройки!$J4,"ч:мм"),"",TEXT(Настройки!$J4,"ч:мм")&amp;"-"&amp;TEXT(Настройки!$J4+TIME(0,Ноябрь!S15,0),"ч::мм"))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Настройки!V17</f>
        <v>45612</v>
      </c>
      <c r="C20" s="30">
        <f>Настройки!W17</f>
        <v>45613</v>
      </c>
      <c r="D20" s="30">
        <f>Настройки!X17</f>
        <v>45614</v>
      </c>
      <c r="E20" s="30">
        <f>Настройки!Y17</f>
        <v>45615</v>
      </c>
      <c r="F20" s="30">
        <f>Настройки!Z17</f>
        <v>45616</v>
      </c>
      <c r="G20" s="30">
        <f>Настройки!AA17</f>
        <v>45617</v>
      </c>
      <c r="H20" s="30">
        <f>Настройки!AB17</f>
        <v>45618</v>
      </c>
      <c r="I20" s="30">
        <f>Настройки!AC17</f>
        <v>45619</v>
      </c>
      <c r="J20" s="30">
        <f>Настройки!AD17</f>
        <v>45620</v>
      </c>
      <c r="K20" s="30">
        <f>Настройки!AE17</f>
        <v>45621</v>
      </c>
      <c r="L20" s="30">
        <f>Настройки!AF17</f>
        <v>45622</v>
      </c>
      <c r="M20" s="30">
        <f>Настройки!AG17</f>
        <v>45623</v>
      </c>
      <c r="N20" s="30">
        <f>Настройки!AH17</f>
        <v>45624</v>
      </c>
      <c r="O20" s="30">
        <f>Настройки!AI17</f>
        <v>45625</v>
      </c>
      <c r="P20" s="30">
        <f>Настройки!AJ17</f>
        <v>45626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IF(TEXT(Настройки!$J2+TIME(0,Ноябрь!T13,0),"ч::мм")=TEXT(Настройки!$J2,"ч:мм"),"",TEXT(Настройки!$J2,"ч:мм")&amp;"-"&amp;TEXT(Настройки!$J2+TIME(0,Ноябрь!T13,0),"ч::мм"))</f>
        <v/>
      </c>
      <c r="C24" s="3" t="str">
        <f>IF(TEXT(Настройки!$J2+TIME(0,Ноябрь!U13,0),"ч::мм")=TEXT(Настройки!$J2,"ч:мм"),"",TEXT(Настройки!$J2,"ч:мм")&amp;"-"&amp;TEXT(Настройки!$J2+TIME(0,Ноябрь!U13,0),"ч::мм"))</f>
        <v/>
      </c>
      <c r="D24" s="3" t="str">
        <f>IF(TEXT(Настройки!$J2+TIME(0,Ноябрь!V13,0),"ч::мм")=TEXT(Настройки!$J2,"ч:мм"),"",TEXT(Настройки!$J2,"ч:мм")&amp;"-"&amp;TEXT(Настройки!$J2+TIME(0,Ноябрь!V13,0),"ч::мм"))</f>
        <v/>
      </c>
      <c r="E24" s="3" t="str">
        <f>IF(TEXT(Настройки!$J2+TIME(0,Ноябрь!W13,0),"ч::мм")=TEXT(Настройки!$J2,"ч:мм"),"",TEXT(Настройки!$J2,"ч:мм")&amp;"-"&amp;TEXT(Настройки!$J2+TIME(0,Ноябрь!W13,0),"ч::мм"))</f>
        <v/>
      </c>
      <c r="F24" s="3" t="str">
        <f>IF(TEXT(Настройки!$J2+TIME(0,Ноябрь!X13,0),"ч::мм")=TEXT(Настройки!$J2,"ч:мм"),"",TEXT(Настройки!$J2,"ч:мм")&amp;"-"&amp;TEXT(Настройки!$J2+TIME(0,Ноябрь!X13,0),"ч::мм"))</f>
        <v/>
      </c>
      <c r="G24" s="3" t="str">
        <f>IF(TEXT(Настройки!$J2+TIME(0,Ноябрь!Y13,0),"ч::мм")=TEXT(Настройки!$J2,"ч:мм"),"",TEXT(Настройки!$J2,"ч:мм")&amp;"-"&amp;TEXT(Настройки!$J2+TIME(0,Ноябрь!Y13,0),"ч::мм"))</f>
        <v/>
      </c>
      <c r="H24" s="3" t="str">
        <f>IF(TEXT(Настройки!$J2+TIME(0,Ноябрь!Z13,0),"ч::мм")=TEXT(Настройки!$J2,"ч:мм"),"",TEXT(Настройки!$J2,"ч:мм")&amp;"-"&amp;TEXT(Настройки!$J2+TIME(0,Ноябрь!Z13,0),"ч::мм"))</f>
        <v/>
      </c>
      <c r="I24" s="3" t="str">
        <f>IF(TEXT(Настройки!$J2+TIME(0,Ноябрь!AA13,0),"ч::мм")=TEXT(Настройки!$J2,"ч:мм"),"",TEXT(Настройки!$J2,"ч:мм")&amp;"-"&amp;TEXT(Настройки!$J2+TIME(0,Ноябрь!AA13,0),"ч::мм"))</f>
        <v/>
      </c>
      <c r="J24" s="3" t="str">
        <f>IF(TEXT(Настройки!$J2+TIME(0,Ноябрь!AB13,0),"ч::мм")=TEXT(Настройки!$J2,"ч:мм"),"",TEXT(Настройки!$J2,"ч:мм")&amp;"-"&amp;TEXT(Настройки!$J2+TIME(0,Ноябрь!AB13,0),"ч::мм"))</f>
        <v/>
      </c>
      <c r="K24" s="3" t="str">
        <f>IF(TEXT(Настройки!$J2+TIME(0,Ноябрь!AC13,0),"ч::мм")=TEXT(Настройки!$J2,"ч:мм"),"",TEXT(Настройки!$J2,"ч:мм")&amp;"-"&amp;TEXT(Настройки!$J2+TIME(0,Ноябрь!AC13,0),"ч::мм"))</f>
        <v/>
      </c>
      <c r="L24" s="3" t="str">
        <f>IF(TEXT(Настройки!$J2+TIME(0,Ноябрь!AD13,0),"ч::мм")=TEXT(Настройки!$J2,"ч:мм"),"",TEXT(Настройки!$J2,"ч:мм")&amp;"-"&amp;TEXT(Настройки!$J2+TIME(0,Ноябрь!AD13,0),"ч::мм"))</f>
        <v/>
      </c>
      <c r="M24" s="3" t="str">
        <f>IF(TEXT(Настройки!$J2+TIME(0,Ноябрь!AE13,0),"ч::мм")=TEXT(Настройки!$J2,"ч:мм"),"",TEXT(Настройки!$J2,"ч:мм")&amp;"-"&amp;TEXT(Настройки!$J2+TIME(0,Ноябрь!AE13,0),"ч::мм"))</f>
        <v/>
      </c>
      <c r="N24" s="3" t="str">
        <f>IF(TEXT(Настройки!$J2+TIME(0,Ноябрь!AF13,0),"ч::мм")=TEXT(Настройки!$J2,"ч:мм"),"",TEXT(Настройки!$J2,"ч:мм")&amp;"-"&amp;TEXT(Настройки!$J2+TIME(0,Ноябрь!AF13,0),"ч::мм"))</f>
        <v/>
      </c>
      <c r="O24" s="3" t="str">
        <f>IF(TEXT(Настройки!$J2+TIME(0,Ноябрь!AG13,0),"ч::мм")=TEXT(Настройки!$J2,"ч:мм"),"",TEXT(Настройки!$J2,"ч:мм")&amp;"-"&amp;TEXT(Настройки!$J2+TIME(0,Ноябрь!AG13,0),"ч::мм"))</f>
        <v/>
      </c>
      <c r="P24" s="3" t="str">
        <f>IF(TEXT(Настройки!$J2+TIME(0,Ноябрь!AH13,0),"ч::мм")=TEXT(Настройки!$J2,"ч:мм"),"",TEXT(Настройки!$J2,"ч:мм")&amp;"-"&amp;TEXT(Настройки!$J2+TIME(0,Ноябрь!AH13,0),"ч::мм"))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IF(TEXT(Настройки!$J3+TIME(0,Ноябрь!T14,0),"ч::мм")=TEXT(Настройки!$J3,"ч:мм"),"",TEXT(Настройки!$J3,"ч:мм")&amp;"-"&amp;TEXT(Настройки!$J3+TIME(0,Ноябрь!T14,0),"ч::мм"))</f>
        <v/>
      </c>
      <c r="C25" s="3" t="str">
        <f ca="1">IF(TEXT(Настройки!$J3+TIME(0,Ноябрь!U14,0),"ч::мм")=TEXT(Настройки!$J3,"ч:мм"),"",TEXT(Настройки!$J3,"ч:мм")&amp;"-"&amp;TEXT(Настройки!$J3+TIME(0,Ноябрь!U14,0),"ч::мм"))</f>
        <v/>
      </c>
      <c r="D25" s="3" t="str">
        <f ca="1">IF(TEXT(Настройки!$J3+TIME(0,Ноябрь!V14,0),"ч::мм")=TEXT(Настройки!$J3,"ч:мм"),"",TEXT(Настройки!$J3,"ч:мм")&amp;"-"&amp;TEXT(Настройки!$J3+TIME(0,Ноябрь!V14,0),"ч::мм"))</f>
        <v/>
      </c>
      <c r="E25" s="3" t="str">
        <f ca="1">IF(TEXT(Настройки!$J3+TIME(0,Ноябрь!W14,0),"ч::мм")=TEXT(Настройки!$J3,"ч:мм"),"",TEXT(Настройки!$J3,"ч:мм")&amp;"-"&amp;TEXT(Настройки!$J3+TIME(0,Ноябрь!W14,0),"ч::мм"))</f>
        <v/>
      </c>
      <c r="F25" s="3" t="str">
        <f ca="1">IF(TEXT(Настройки!$J3+TIME(0,Ноябрь!X14,0),"ч::мм")=TEXT(Настройки!$J3,"ч:мм"),"",TEXT(Настройки!$J3,"ч:мм")&amp;"-"&amp;TEXT(Настройки!$J3+TIME(0,Ноябрь!X14,0),"ч::мм"))</f>
        <v/>
      </c>
      <c r="G25" s="3" t="str">
        <f ca="1">IF(TEXT(Настройки!$J3+TIME(0,Ноябрь!Y14,0),"ч::мм")=TEXT(Настройки!$J3,"ч:мм"),"",TEXT(Настройки!$J3,"ч:мм")&amp;"-"&amp;TEXT(Настройки!$J3+TIME(0,Ноябрь!Y14,0),"ч::мм"))</f>
        <v/>
      </c>
      <c r="H25" s="3" t="str">
        <f ca="1">IF(TEXT(Настройки!$J3+TIME(0,Ноябрь!Z14,0),"ч::мм")=TEXT(Настройки!$J3,"ч:мм"),"",TEXT(Настройки!$J3,"ч:мм")&amp;"-"&amp;TEXT(Настройки!$J3+TIME(0,Ноябрь!Z14,0),"ч::мм"))</f>
        <v/>
      </c>
      <c r="I25" s="3" t="str">
        <f ca="1">IF(TEXT(Настройки!$J3+TIME(0,Ноябрь!AA14,0),"ч::мм")=TEXT(Настройки!$J3,"ч:мм"),"",TEXT(Настройки!$J3,"ч:мм")&amp;"-"&amp;TEXT(Настройки!$J3+TIME(0,Ноябрь!AA14,0),"ч::мм"))</f>
        <v/>
      </c>
      <c r="J25" s="3" t="str">
        <f ca="1">IF(TEXT(Настройки!$J3+TIME(0,Ноябрь!AB14,0),"ч::мм")=TEXT(Настройки!$J3,"ч:мм"),"",TEXT(Настройки!$J3,"ч:мм")&amp;"-"&amp;TEXT(Настройки!$J3+TIME(0,Ноябрь!AB14,0),"ч::мм"))</f>
        <v/>
      </c>
      <c r="K25" s="3" t="str">
        <f ca="1">IF(TEXT(Настройки!$J3+TIME(0,Ноябрь!AC14,0),"ч::мм")=TEXT(Настройки!$J3,"ч:мм"),"",TEXT(Настройки!$J3,"ч:мм")&amp;"-"&amp;TEXT(Настройки!$J3+TIME(0,Ноябрь!AC14,0),"ч::мм"))</f>
        <v/>
      </c>
      <c r="L25" s="3" t="str">
        <f ca="1">IF(TEXT(Настройки!$J3+TIME(0,Ноябрь!AD14,0),"ч::мм")=TEXT(Настройки!$J3,"ч:мм"),"",TEXT(Настройки!$J3,"ч:мм")&amp;"-"&amp;TEXT(Настройки!$J3+TIME(0,Ноябрь!AD14,0),"ч::мм"))</f>
        <v/>
      </c>
      <c r="M25" s="3" t="str">
        <f ca="1">IF(TEXT(Настройки!$J3+TIME(0,Ноябрь!AE14,0),"ч::мм")=TEXT(Настройки!$J3,"ч:мм"),"",TEXT(Настройки!$J3,"ч:мм")&amp;"-"&amp;TEXT(Настройки!$J3+TIME(0,Ноябрь!AE14,0),"ч::мм"))</f>
        <v/>
      </c>
      <c r="N25" s="3" t="str">
        <f ca="1">IF(TEXT(Настройки!$J3+TIME(0,Ноябрь!AF14,0),"ч::мм")=TEXT(Настройки!$J3,"ч:мм"),"",TEXT(Настройки!$J3,"ч:мм")&amp;"-"&amp;TEXT(Настройки!$J3+TIME(0,Ноябрь!AF14,0),"ч::мм"))</f>
        <v/>
      </c>
      <c r="O25" s="3" t="str">
        <f ca="1">IF(TEXT(Настройки!$J3+TIME(0,Ноябрь!AG14,0),"ч::мм")=TEXT(Настройки!$J3,"ч:мм"),"",TEXT(Настройки!$J3,"ч:мм")&amp;"-"&amp;TEXT(Настройки!$J3+TIME(0,Ноябрь!AG14,0),"ч::мм"))</f>
        <v/>
      </c>
      <c r="P25" s="3" t="str">
        <f ca="1">IF(TEXT(Настройки!$J3+TIME(0,Ноябрь!AH14,0),"ч::мм")=TEXT(Настройки!$J3,"ч:мм"),"",TEXT(Настройки!$J3,"ч:мм")&amp;"-"&amp;TEXT(Настройки!$J3+TIME(0,Ноябрь!AH14,0),"ч::мм"))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IF(TEXT(Настройки!$J4+TIME(0,Ноябрь!T15,0),"ч::мм")=TEXT(Настройки!$J4,"ч:мм"),"",TEXT(Настройки!$J4,"ч:мм")&amp;"-"&amp;TEXT(Настройки!$J4+TIME(0,Ноябрь!T15,0),"ч::мм"))</f>
        <v/>
      </c>
      <c r="C26" s="3" t="str">
        <f ca="1">IF(TEXT(Настройки!$J4+TIME(0,Ноябрь!U15,0),"ч::мм")=TEXT(Настройки!$J4,"ч:мм"),"",TEXT(Настройки!$J4,"ч:мм")&amp;"-"&amp;TEXT(Настройки!$J4+TIME(0,Ноябрь!U15,0),"ч::мм"))</f>
        <v/>
      </c>
      <c r="D26" s="3" t="str">
        <f ca="1">IF(TEXT(Настройки!$J4+TIME(0,Ноябрь!V15,0),"ч::мм")=TEXT(Настройки!$J4,"ч:мм"),"",TEXT(Настройки!$J4,"ч:мм")&amp;"-"&amp;TEXT(Настройки!$J4+TIME(0,Ноябрь!V15,0),"ч::мм"))</f>
        <v/>
      </c>
      <c r="E26" s="3" t="str">
        <f ca="1">IF(TEXT(Настройки!$J4+TIME(0,Ноябрь!W15,0),"ч::мм")=TEXT(Настройки!$J4,"ч:мм"),"",TEXT(Настройки!$J4,"ч:мм")&amp;"-"&amp;TEXT(Настройки!$J4+TIME(0,Ноябрь!W15,0),"ч::мм"))</f>
        <v/>
      </c>
      <c r="F26" s="3" t="str">
        <f ca="1">IF(TEXT(Настройки!$J4+TIME(0,Ноябрь!X15,0),"ч::мм")=TEXT(Настройки!$J4,"ч:мм"),"",TEXT(Настройки!$J4,"ч:мм")&amp;"-"&amp;TEXT(Настройки!$J4+TIME(0,Ноябрь!X15,0),"ч::мм"))</f>
        <v/>
      </c>
      <c r="G26" s="3" t="str">
        <f ca="1">IF(TEXT(Настройки!$J4+TIME(0,Ноябрь!Y15,0),"ч::мм")=TEXT(Настройки!$J4,"ч:мм"),"",TEXT(Настройки!$J4,"ч:мм")&amp;"-"&amp;TEXT(Настройки!$J4+TIME(0,Ноябрь!Y15,0),"ч::мм"))</f>
        <v/>
      </c>
      <c r="H26" s="3" t="str">
        <f ca="1">IF(TEXT(Настройки!$J4+TIME(0,Ноябрь!Z15,0),"ч::мм")=TEXT(Настройки!$J4,"ч:мм"),"",TEXT(Настройки!$J4,"ч:мм")&amp;"-"&amp;TEXT(Настройки!$J4+TIME(0,Ноябрь!Z15,0),"ч::мм"))</f>
        <v/>
      </c>
      <c r="I26" s="3" t="str">
        <f ca="1">IF(TEXT(Настройки!$J4+TIME(0,Ноябрь!AA15,0),"ч::мм")=TEXT(Настройки!$J4,"ч:мм"),"",TEXT(Настройки!$J4,"ч:мм")&amp;"-"&amp;TEXT(Настройки!$J4+TIME(0,Ноябрь!AA15,0),"ч::мм"))</f>
        <v/>
      </c>
      <c r="J26" s="3" t="str">
        <f ca="1">IF(TEXT(Настройки!$J4+TIME(0,Ноябрь!AB15,0),"ч::мм")=TEXT(Настройки!$J4,"ч:мм"),"",TEXT(Настройки!$J4,"ч:мм")&amp;"-"&amp;TEXT(Настройки!$J4+TIME(0,Ноябрь!AB15,0),"ч::мм"))</f>
        <v/>
      </c>
      <c r="K26" s="3" t="str">
        <f ca="1">IF(TEXT(Настройки!$J4+TIME(0,Ноябрь!AC15,0),"ч::мм")=TEXT(Настройки!$J4,"ч:мм"),"",TEXT(Настройки!$J4,"ч:мм")&amp;"-"&amp;TEXT(Настройки!$J4+TIME(0,Ноябрь!AC15,0),"ч::мм"))</f>
        <v/>
      </c>
      <c r="L26" s="3" t="str">
        <f ca="1">IF(TEXT(Настройки!$J4+TIME(0,Ноябрь!AD15,0),"ч::мм")=TEXT(Настройки!$J4,"ч:мм"),"",TEXT(Настройки!$J4,"ч:мм")&amp;"-"&amp;TEXT(Настройки!$J4+TIME(0,Ноябрь!AD15,0),"ч::мм"))</f>
        <v/>
      </c>
      <c r="M26" s="3" t="str">
        <f ca="1">IF(TEXT(Настройки!$J4+TIME(0,Ноябрь!AE15,0),"ч::мм")=TEXT(Настройки!$J4,"ч:мм"),"",TEXT(Настройки!$J4,"ч:мм")&amp;"-"&amp;TEXT(Настройки!$J4+TIME(0,Ноябрь!AE15,0),"ч::мм"))</f>
        <v/>
      </c>
      <c r="N26" s="3" t="str">
        <f ca="1">IF(TEXT(Настройки!$J4+TIME(0,Ноябрь!AF15,0),"ч::мм")=TEXT(Настройки!$J4,"ч:мм"),"",TEXT(Настройки!$J4,"ч:мм")&amp;"-"&amp;TEXT(Настройки!$J4+TIME(0,Ноябрь!AF15,0),"ч::мм"))</f>
        <v/>
      </c>
      <c r="O26" s="3" t="str">
        <f ca="1">IF(TEXT(Настройки!$J4+TIME(0,Ноябрь!AG15,0),"ч::мм")=TEXT(Настройки!$J4,"ч:мм"),"",TEXT(Настройки!$J4,"ч:мм")&amp;"-"&amp;TEXT(Настройки!$J4+TIME(0,Ноябрь!AG15,0),"ч::мм"))</f>
        <v/>
      </c>
      <c r="P26" s="3" t="str">
        <f ca="1">IF(TEXT(Настройки!$J4+TIME(0,Ноябрь!AH15,0),"ч::мм")=TEXT(Настройки!$J4,"ч:мм"),"",TEXT(Настройки!$J4,"ч:мм")&amp;"-"&amp;TEXT(Настройки!$J4+TIME(0,Ноябрь!AH15,0),"ч::мм"))</f>
        <v/>
      </c>
    </row>
    <row r="27" spans="1:18" x14ac:dyDescent="0.25">
      <c r="Q27" s="10"/>
      <c r="R27" s="10"/>
    </row>
  </sheetData>
  <mergeCells count="9">
    <mergeCell ref="A18:A22"/>
    <mergeCell ref="B18:P19"/>
    <mergeCell ref="B21:P22"/>
    <mergeCell ref="A2:P2"/>
    <mergeCell ref="F6:G6"/>
    <mergeCell ref="H6:I6"/>
    <mergeCell ref="A8:A12"/>
    <mergeCell ref="B8:P9"/>
    <mergeCell ref="B11:P12"/>
  </mergeCells>
  <conditionalFormatting sqref="B10:P10">
    <cfRule type="expression" dxfId="149" priority="2">
      <formula>WEEKDAY(B10:P10,2)&gt;5</formula>
    </cfRule>
  </conditionalFormatting>
  <conditionalFormatting sqref="B20:P20">
    <cfRule type="expression" dxfId="148" priority="1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2"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4" tint="0.39997558519241921"/>
    <pageSetUpPr fitToPage="1"/>
  </sheetPr>
  <dimension ref="A2:AL28"/>
  <sheetViews>
    <sheetView zoomScale="60" zoomScaleNormal="6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4.28515625" style="3" customWidth="1"/>
    <col min="3" max="3" width="17.7109375" style="3" customWidth="1"/>
    <col min="4" max="4" width="9.28515625" style="3" customWidth="1"/>
    <col min="5" max="5" width="6.85546875" style="3" customWidth="1"/>
    <col min="6" max="6" width="6.42578125" style="3" customWidth="1"/>
    <col min="7" max="7" width="5.85546875" style="3" customWidth="1"/>
    <col min="8" max="8" width="6.5703125" style="3" customWidth="1"/>
    <col min="9" max="9" width="7.28515625" style="3" customWidth="1"/>
    <col min="10" max="10" width="6.28515625" style="3" customWidth="1"/>
    <col min="11" max="12" width="5.7109375" style="3" customWidth="1"/>
    <col min="13" max="13" width="6.42578125" style="3" customWidth="1"/>
    <col min="14" max="14" width="6.140625" style="3" customWidth="1"/>
    <col min="15" max="15" width="6.5703125" style="3" customWidth="1"/>
    <col min="16" max="16" width="7.7109375" style="3" customWidth="1"/>
    <col min="17" max="17" width="7" style="3" customWidth="1"/>
    <col min="18" max="18" width="6.85546875" style="3" customWidth="1"/>
    <col min="19" max="20" width="6.140625" style="3" customWidth="1"/>
    <col min="21" max="21" width="5.7109375" style="3" customWidth="1"/>
    <col min="22" max="22" width="6.42578125" style="3" customWidth="1"/>
    <col min="23" max="23" width="5.28515625" style="3" customWidth="1"/>
    <col min="24" max="24" width="6.5703125" style="3" customWidth="1"/>
    <col min="25" max="25" width="6" style="3" customWidth="1"/>
    <col min="26" max="26" width="5.140625" style="3" customWidth="1"/>
    <col min="27" max="27" width="6.140625" style="3" customWidth="1"/>
    <col min="28" max="29" width="6.42578125" style="3" customWidth="1"/>
    <col min="30" max="30" width="6.28515625" style="3" customWidth="1"/>
    <col min="31" max="32" width="5.7109375" style="3" customWidth="1"/>
    <col min="33" max="33" width="6" style="3" customWidth="1"/>
    <col min="34" max="34" width="6.140625" style="3" customWidth="1"/>
    <col min="35" max="35" width="9.140625" style="3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8" ht="18.75" x14ac:dyDescent="0.25">
      <c r="A2" s="74" t="s">
        <v>66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</row>
    <row r="3" spans="1:38" ht="18.75" x14ac:dyDescent="0.25">
      <c r="A3" s="74" t="s">
        <v>67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</row>
    <row r="4" spans="1:38" ht="18.75" x14ac:dyDescent="0.25">
      <c r="I4" s="12"/>
      <c r="J4" s="75" t="s">
        <v>68</v>
      </c>
      <c r="K4" s="75"/>
      <c r="L4" s="75"/>
      <c r="M4" s="76" t="str">
        <f>Настройки!N2</f>
        <v>Фамилия И.О.</v>
      </c>
      <c r="N4" s="68"/>
      <c r="O4" s="68"/>
      <c r="P4" s="68"/>
      <c r="Q4" s="68"/>
      <c r="R4" s="68"/>
      <c r="S4" s="68"/>
      <c r="T4" s="68"/>
      <c r="U4" s="68"/>
    </row>
    <row r="5" spans="1:38" ht="18.75" x14ac:dyDescent="0.25">
      <c r="L5" s="11" t="s">
        <v>69</v>
      </c>
      <c r="M5" s="77" t="s">
        <v>131</v>
      </c>
      <c r="N5" s="78"/>
      <c r="O5" s="78"/>
      <c r="P5" s="78"/>
      <c r="Q5" s="78"/>
      <c r="R5" s="27">
        <f>Год[Год]</f>
        <v>2024</v>
      </c>
      <c r="S5" s="28" t="s">
        <v>124</v>
      </c>
      <c r="T5" s="13"/>
      <c r="U5" s="13"/>
    </row>
    <row r="6" spans="1:38" ht="17.25" customHeight="1" x14ac:dyDescent="0.25"/>
    <row r="7" spans="1:38" ht="26.25" customHeight="1" x14ac:dyDescent="0.25">
      <c r="A7" s="63"/>
      <c r="B7" s="71" t="s">
        <v>107</v>
      </c>
      <c r="C7" s="71" t="s">
        <v>106</v>
      </c>
      <c r="D7" s="72" t="s">
        <v>61</v>
      </c>
      <c r="E7" s="57" t="s">
        <v>55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9"/>
      <c r="AJ7" s="53" t="s">
        <v>64</v>
      </c>
      <c r="AK7" s="54" t="s">
        <v>64</v>
      </c>
    </row>
    <row r="8" spans="1:38" x14ac:dyDescent="0.25">
      <c r="A8" s="63"/>
      <c r="B8" s="66"/>
      <c r="C8" s="66"/>
      <c r="D8" s="73"/>
      <c r="E8" s="67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9"/>
      <c r="AJ8" s="53"/>
      <c r="AK8" s="55"/>
    </row>
    <row r="9" spans="1:38" x14ac:dyDescent="0.25">
      <c r="A9" s="63"/>
      <c r="B9" s="66"/>
      <c r="C9" s="66"/>
      <c r="D9" s="73"/>
      <c r="E9" s="18">
        <f>Настройки!G18</f>
        <v>45627</v>
      </c>
      <c r="F9" s="18">
        <f>Настройки!H18</f>
        <v>45628</v>
      </c>
      <c r="G9" s="18">
        <f>Настройки!I18</f>
        <v>45629</v>
      </c>
      <c r="H9" s="18">
        <f>Настройки!J18</f>
        <v>45630</v>
      </c>
      <c r="I9" s="18">
        <f>Настройки!K18</f>
        <v>45631</v>
      </c>
      <c r="J9" s="18">
        <f>Настройки!L18</f>
        <v>45632</v>
      </c>
      <c r="K9" s="18">
        <f>Настройки!M18</f>
        <v>45633</v>
      </c>
      <c r="L9" s="18">
        <f>Настройки!N18</f>
        <v>45634</v>
      </c>
      <c r="M9" s="18">
        <f>Настройки!O18</f>
        <v>45635</v>
      </c>
      <c r="N9" s="18">
        <f>Настройки!P18</f>
        <v>45636</v>
      </c>
      <c r="O9" s="18">
        <f>Настройки!Q18</f>
        <v>45637</v>
      </c>
      <c r="P9" s="18">
        <f>Настройки!R18</f>
        <v>45638</v>
      </c>
      <c r="Q9" s="18">
        <f>Настройки!S18</f>
        <v>45639</v>
      </c>
      <c r="R9" s="18">
        <f>Настройки!T18</f>
        <v>45640</v>
      </c>
      <c r="S9" s="18">
        <f>Настройки!U18</f>
        <v>45641</v>
      </c>
      <c r="T9" s="18">
        <f>Настройки!V18</f>
        <v>45642</v>
      </c>
      <c r="U9" s="18">
        <f>Настройки!W18</f>
        <v>45643</v>
      </c>
      <c r="V9" s="18">
        <f>Настройки!X18</f>
        <v>45644</v>
      </c>
      <c r="W9" s="18">
        <f>Настройки!Y18</f>
        <v>45645</v>
      </c>
      <c r="X9" s="18">
        <f>Настройки!Z18</f>
        <v>45646</v>
      </c>
      <c r="Y9" s="18">
        <f>Настройки!AA18</f>
        <v>45647</v>
      </c>
      <c r="Z9" s="18">
        <f>Настройки!AB18</f>
        <v>45648</v>
      </c>
      <c r="AA9" s="18">
        <f>Настройки!AC18</f>
        <v>45649</v>
      </c>
      <c r="AB9" s="18">
        <f>Настройки!AD18</f>
        <v>45650</v>
      </c>
      <c r="AC9" s="18">
        <f>Настройки!AE18</f>
        <v>45651</v>
      </c>
      <c r="AD9" s="18">
        <f>Настройки!AF18</f>
        <v>45652</v>
      </c>
      <c r="AE9" s="18">
        <f>Настройки!AG18</f>
        <v>45653</v>
      </c>
      <c r="AF9" s="18">
        <f>Настройки!AH18</f>
        <v>45654</v>
      </c>
      <c r="AG9" s="18">
        <f>Настройки!AI18</f>
        <v>45655</v>
      </c>
      <c r="AH9" s="18">
        <f>Настройки!AJ18</f>
        <v>45656</v>
      </c>
      <c r="AI9" s="18">
        <f>Настройки!AK18</f>
        <v>45657</v>
      </c>
      <c r="AJ9" s="53"/>
      <c r="AK9" s="55"/>
    </row>
    <row r="10" spans="1:38" x14ac:dyDescent="0.25">
      <c r="A10" s="63"/>
      <c r="B10" s="66"/>
      <c r="C10" s="66"/>
      <c r="D10" s="73"/>
      <c r="E10" s="57" t="s">
        <v>54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9"/>
      <c r="AJ10" s="53"/>
      <c r="AK10" s="55"/>
    </row>
    <row r="11" spans="1:38" x14ac:dyDescent="0.25">
      <c r="A11" s="71"/>
      <c r="B11" s="66"/>
      <c r="C11" s="66"/>
      <c r="D11" s="73"/>
      <c r="E11" s="60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2"/>
      <c r="AJ11" s="53"/>
      <c r="AK11" s="56"/>
    </row>
    <row r="12" spans="1:38" ht="22.5" customHeight="1" x14ac:dyDescent="0.25">
      <c r="A12" s="3" t="s">
        <v>74</v>
      </c>
      <c r="B12" s="3" t="s">
        <v>73</v>
      </c>
      <c r="C12" s="3" t="s">
        <v>105</v>
      </c>
      <c r="D12" s="9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SUMPRODUCT((Настройки!$G$32:$AK$32=1)*E16:AI16)</f>
        <v>0</v>
      </c>
      <c r="D13" s="5">
        <v>1</v>
      </c>
      <c r="E13" s="24">
        <f>SUMPRODUCT((Декабрь[№]=1)*Декабрь[1],Декабрь[Периодичность])</f>
        <v>0</v>
      </c>
      <c r="F13" s="24">
        <f>SUMPRODUCT((Декабрь[№]=1)*Декабрь[2],Декабрь[Периодичность])</f>
        <v>0</v>
      </c>
      <c r="G13" s="24">
        <f>SUMPRODUCT((Декабрь[№]=1)*Декабрь[3],Декабрь[Периодичность])</f>
        <v>0</v>
      </c>
      <c r="H13" s="24">
        <f>SUMPRODUCT((Декабрь[№]=1)*Декабрь[4],Декабрь[Периодичность])</f>
        <v>0</v>
      </c>
      <c r="I13" s="24">
        <f>SUMPRODUCT((Декабрь[№]=1)*Декабрь[5],Декабрь[Периодичность])</f>
        <v>0</v>
      </c>
      <c r="J13" s="24">
        <f>SUMPRODUCT((Декабрь[№]=1)*Декабрь[6],Декабрь[Периодичность])</f>
        <v>0</v>
      </c>
      <c r="K13" s="24">
        <f>SUMPRODUCT((Декабрь[№]=1)*Декабрь[7],Декабрь[Периодичность])</f>
        <v>0</v>
      </c>
      <c r="L13" s="24">
        <f>SUMPRODUCT((Декабрь[№]=1)*Декабрь[8],Декабрь[Периодичность])</f>
        <v>0</v>
      </c>
      <c r="M13" s="24">
        <f>SUMPRODUCT((Декабрь[№]=1)*Декабрь[9],Декабрь[Периодичность])</f>
        <v>0</v>
      </c>
      <c r="N13" s="24">
        <f>SUMPRODUCT((Декабрь[№]=1)*Декабрь[10],Декабрь[Периодичность])</f>
        <v>0</v>
      </c>
      <c r="O13" s="24">
        <f>SUMPRODUCT((Декабрь[№]=1)*Декабрь[11],Декабрь[Периодичность])</f>
        <v>0</v>
      </c>
      <c r="P13" s="24">
        <f>SUMPRODUCT((Декабрь[№]=1)*Декабрь[12],Декабрь[Периодичность])</f>
        <v>0</v>
      </c>
      <c r="Q13" s="24">
        <f>SUMPRODUCT((Декабрь[№]=1)*Декабрь[13],Декабрь[Периодичность])</f>
        <v>0</v>
      </c>
      <c r="R13" s="24">
        <f>SUMPRODUCT((Декабрь[№]=1)*Декабрь[14],Декабрь[Периодичность])</f>
        <v>0</v>
      </c>
      <c r="S13" s="24">
        <f>SUMPRODUCT((Декабрь[№]=1)*Декабрь[15],Декабрь[Периодичность])</f>
        <v>0</v>
      </c>
      <c r="T13" s="24">
        <f>SUMPRODUCT((Декабрь[№]=1)*Декабрь[16],Декабрь[Периодичность])</f>
        <v>0</v>
      </c>
      <c r="U13" s="24">
        <f>SUMPRODUCT((Декабрь[№]=1)*Декабрь[17],Декабрь[Периодичность])</f>
        <v>0</v>
      </c>
      <c r="V13" s="24">
        <f>SUMPRODUCT((Декабрь[№]=1)*Декабрь[18],Декабрь[Периодичность])</f>
        <v>0</v>
      </c>
      <c r="W13" s="24">
        <f>SUMPRODUCT((Декабрь[№]=1)*Декабрь[19],Декабрь[Периодичность])</f>
        <v>0</v>
      </c>
      <c r="X13" s="24">
        <f>SUMPRODUCT((Декабрь[№]=1)*Декабрь[20],Декабрь[Периодичность])</f>
        <v>0</v>
      </c>
      <c r="Y13" s="24">
        <f>SUMPRODUCT((Декабрь[№]=1)*Декабрь[21],Декабрь[Периодичность])</f>
        <v>0</v>
      </c>
      <c r="Z13" s="24">
        <f>SUMPRODUCT((Декабрь[№]=1)*Декабрь[22],Декабрь[Периодичность])</f>
        <v>0</v>
      </c>
      <c r="AA13" s="24">
        <f>SUMPRODUCT((Декабрь[№]=1)*Декабрь[23],Декабрь[Периодичность])</f>
        <v>0</v>
      </c>
      <c r="AB13" s="24">
        <f>SUMPRODUCT((Декабрь[№]=1)*Декабрь[24],Декабрь[Периодичность])</f>
        <v>0</v>
      </c>
      <c r="AC13" s="24">
        <f>SUMPRODUCT((Декабрь[№]=1)*Декабрь[25],Декабрь[Периодичность])</f>
        <v>0</v>
      </c>
      <c r="AD13" s="24">
        <f>SUMPRODUCT((Декабрь[№]=1)*Декабрь[26],Декабрь[Периодичность])</f>
        <v>0</v>
      </c>
      <c r="AE13" s="24">
        <f>SUMPRODUCT((Декабрь[№]=1)*Декабрь[27],Декабрь[Периодичность])</f>
        <v>0</v>
      </c>
      <c r="AF13" s="24">
        <f>SUMPRODUCT((Декабрь[№]=1)*Декабрь[28],Декабрь[Периодичность])</f>
        <v>0</v>
      </c>
      <c r="AG13" s="24">
        <f>SUMPRODUCT((Декабрь[№]=1)*Декабрь[29],Декабрь[Периодичность])</f>
        <v>0</v>
      </c>
      <c r="AH13" s="24">
        <f>SUMPRODUCT((Декабрь[№]=1)*Декабрь[30],Декабрь[Периодичность])</f>
        <v>0</v>
      </c>
      <c r="AI13" s="24">
        <f>SUMPRODUCT((Декабрь[№]=1)*Декабрь[31],Декабрь[Периодичность])</f>
        <v>0</v>
      </c>
      <c r="AL13" s="4"/>
    </row>
    <row r="14" spans="1:38" x14ac:dyDescent="0.25">
      <c r="B14" s="3">
        <f ca="1">SUMPRODUCT((Настройки!$G$32:$AK$32=2)*E16:AI16)</f>
        <v>0</v>
      </c>
      <c r="D14" s="5">
        <v>2</v>
      </c>
      <c r="E14" s="24">
        <f ca="1">SUMPRODUCT((Декабрь[№]=2)*Декабрь[1],OFFSET(Декабрь[Периодичность],-1,0))</f>
        <v>0</v>
      </c>
      <c r="F14" s="24">
        <f ca="1">SUMPRODUCT((Декабрь[№]=2)*Декабрь[2],OFFSET(Декабрь[Периодичность],-1,0))</f>
        <v>0</v>
      </c>
      <c r="G14" s="24">
        <f ca="1">SUMPRODUCT((Декабрь[№]=2)*Декабрь[3],OFFSET(Декабрь[Периодичность],-1,0))</f>
        <v>0</v>
      </c>
      <c r="H14" s="24">
        <f ca="1">SUMPRODUCT((Декабрь[№]=2)*Декабрь[4],OFFSET(Декабрь[Периодичность],-1,0))</f>
        <v>0</v>
      </c>
      <c r="I14" s="24">
        <f ca="1">SUMPRODUCT((Декабрь[№]=2)*Декабрь[5],OFFSET(Декабрь[Периодичность],-1,0))</f>
        <v>0</v>
      </c>
      <c r="J14" s="24">
        <f ca="1">SUMPRODUCT((Декабрь[№]=2)*Декабрь[6],OFFSET(Декабрь[Периодичность],-1,0))</f>
        <v>0</v>
      </c>
      <c r="K14" s="24">
        <f ca="1">SUMPRODUCT((Декабрь[№]=2)*Декабрь[7],OFFSET(Декабрь[Периодичность],-1,0))</f>
        <v>0</v>
      </c>
      <c r="L14" s="24">
        <f ca="1">SUMPRODUCT((Декабрь[№]=2)*Декабрь[8],OFFSET(Декабрь[Периодичность],-1,0))</f>
        <v>0</v>
      </c>
      <c r="M14" s="24">
        <f ca="1">SUMPRODUCT((Декабрь[№]=2)*Декабрь[9],OFFSET(Декабрь[Периодичность],-1,0))</f>
        <v>0</v>
      </c>
      <c r="N14" s="24">
        <f ca="1">SUMPRODUCT((Декабрь[№]=2)*Декабрь[10],OFFSET(Декабрь[Периодичность],-1,0))</f>
        <v>0</v>
      </c>
      <c r="O14" s="24">
        <f ca="1">SUMPRODUCT((Декабрь[№]=2)*Декабрь[11],OFFSET(Декабрь[Периодичность],-1,0))</f>
        <v>0</v>
      </c>
      <c r="P14" s="24">
        <f ca="1">SUMPRODUCT((Декабрь[№]=2)*Декабрь[12],OFFSET(Декабрь[Периодичность],-1,0))</f>
        <v>0</v>
      </c>
      <c r="Q14" s="24">
        <f ca="1">SUMPRODUCT((Декабрь[№]=2)*Декабрь[13],OFFSET(Декабрь[Периодичность],-1,0))</f>
        <v>0</v>
      </c>
      <c r="R14" s="24">
        <f ca="1">SUMPRODUCT((Декабрь[№]=2)*Декабрь[14],OFFSET(Декабрь[Периодичность],-1,0))</f>
        <v>0</v>
      </c>
      <c r="S14" s="24">
        <f ca="1">SUMPRODUCT((Декабрь[№]=2)*Декабрь[15],OFFSET(Декабрь[Периодичность],-1,0))</f>
        <v>0</v>
      </c>
      <c r="T14" s="24">
        <f ca="1">SUMPRODUCT((Декабрь[№]=2)*Декабрь[16],OFFSET(Декабрь[Периодичность],-1,0))</f>
        <v>0</v>
      </c>
      <c r="U14" s="24">
        <f ca="1">SUMPRODUCT((Декабрь[№]=2)*Декабрь[17],OFFSET(Декабрь[Периодичность],-1,0))</f>
        <v>0</v>
      </c>
      <c r="V14" s="24">
        <f ca="1">SUMPRODUCT((Декабрь[№]=2)*Декабрь[18],OFFSET(Декабрь[Периодичность],-1,0))</f>
        <v>0</v>
      </c>
      <c r="W14" s="24">
        <f ca="1">SUMPRODUCT((Декабрь[№]=2)*Декабрь[19],OFFSET(Декабрь[Периодичность],-1,0))</f>
        <v>0</v>
      </c>
      <c r="X14" s="24">
        <f ca="1">SUMPRODUCT((Декабрь[№]=2)*Декабрь[20],OFFSET(Декабрь[Периодичность],-1,0))</f>
        <v>0</v>
      </c>
      <c r="Y14" s="24">
        <f ca="1">SUMPRODUCT((Декабрь[№]=2)*Декабрь[21],OFFSET(Декабрь[Периодичность],-1,0))</f>
        <v>0</v>
      </c>
      <c r="Z14" s="24">
        <f ca="1">SUMPRODUCT((Декабрь[№]=2)*Декабрь[22],OFFSET(Декабрь[Периодичность],-1,0))</f>
        <v>0</v>
      </c>
      <c r="AA14" s="24">
        <f ca="1">SUMPRODUCT((Декабрь[№]=2)*Декабрь[23],OFFSET(Декабрь[Периодичность],-1,0))</f>
        <v>0</v>
      </c>
      <c r="AB14" s="24">
        <f ca="1">SUMPRODUCT((Декабрь[№]=2)*Декабрь[24],OFFSET(Декабрь[Периодичность],-1,0))</f>
        <v>0</v>
      </c>
      <c r="AC14" s="24">
        <f ca="1">SUMPRODUCT((Декабрь[№]=2)*Декабрь[25],OFFSET(Декабрь[Периодичность],-1,0))</f>
        <v>0</v>
      </c>
      <c r="AD14" s="24">
        <f ca="1">SUMPRODUCT((Декабрь[№]=2)*Декабрь[26],OFFSET(Декабрь[Периодичность],-1,0))</f>
        <v>0</v>
      </c>
      <c r="AE14" s="24">
        <f ca="1">SUMPRODUCT((Декабрь[№]=2)*Декабрь[27],OFFSET(Декабрь[Периодичность],-1,0))</f>
        <v>0</v>
      </c>
      <c r="AF14" s="24">
        <f ca="1">SUMPRODUCT((Декабрь[№]=2)*Декабрь[28],OFFSET(Декабрь[Периодичность],-1,0))</f>
        <v>0</v>
      </c>
      <c r="AG14" s="24">
        <f ca="1">SUMPRODUCT((Декабрь[№]=2)*Декабрь[29],OFFSET(Декабрь[Периодичность],-1,0))</f>
        <v>0</v>
      </c>
      <c r="AH14" s="24">
        <f ca="1">SUMPRODUCT((Декабрь[№]=2)*Декабрь[30],OFFSET(Декабрь[Периодичность],-1,0))</f>
        <v>0</v>
      </c>
      <c r="AI14" s="24">
        <f ca="1">SUMPRODUCT((Декабрь[№]=2)*Декабрь[31],OFFSET(Декабрь[Периодичность],-1,0))</f>
        <v>0</v>
      </c>
      <c r="AL14" s="4"/>
    </row>
    <row r="15" spans="1:38" x14ac:dyDescent="0.25">
      <c r="B15" s="3">
        <f ca="1">SUMPRODUCT((Настройки!$G$32:$AK$32=3)*E16:AI16)</f>
        <v>0</v>
      </c>
      <c r="D15" s="5">
        <v>3</v>
      </c>
      <c r="E15" s="24">
        <f ca="1">SUMPRODUCT((Декабрь[№]=3)*Декабрь[1],OFFSET(Декабрь[Периодичность],-2,0))</f>
        <v>0</v>
      </c>
      <c r="F15" s="24">
        <f ca="1">SUMPRODUCT((Декабрь[№]=3)*Декабрь[2],OFFSET(Декабрь[Периодичность],-2,0))</f>
        <v>0</v>
      </c>
      <c r="G15" s="24">
        <f ca="1">SUMPRODUCT((Декабрь[№]=3)*Декабрь[3],OFFSET(Декабрь[Периодичность],-2,0))</f>
        <v>0</v>
      </c>
      <c r="H15" s="24">
        <f ca="1">SUMPRODUCT((Декабрь[№]=3)*Декабрь[4],OFFSET(Декабрь[Периодичность],-2,0))</f>
        <v>0</v>
      </c>
      <c r="I15" s="24">
        <f ca="1">SUMPRODUCT((Декабрь[№]=3)*Декабрь[5],OFFSET(Декабрь[Периодичность],-2,0))</f>
        <v>0</v>
      </c>
      <c r="J15" s="24">
        <f ca="1">SUMPRODUCT((Декабрь[№]=3)*Декабрь[6],OFFSET(Декабрь[Периодичность],-2,0))</f>
        <v>0</v>
      </c>
      <c r="K15" s="24">
        <f ca="1">SUMPRODUCT((Декабрь[№]=3)*Декабрь[7],OFFSET(Декабрь[Периодичность],-2,0))</f>
        <v>0</v>
      </c>
      <c r="L15" s="24">
        <f ca="1">SUMPRODUCT((Декабрь[№]=3)*Декабрь[8],OFFSET(Декабрь[Периодичность],-2,0))</f>
        <v>0</v>
      </c>
      <c r="M15" s="24">
        <f ca="1">SUMPRODUCT((Декабрь[№]=3)*Декабрь[9],OFFSET(Декабрь[Периодичность],-2,0))</f>
        <v>0</v>
      </c>
      <c r="N15" s="24">
        <f ca="1">SUMPRODUCT((Декабрь[№]=3)*Декабрь[10],OFFSET(Декабрь[Периодичность],-2,0))</f>
        <v>0</v>
      </c>
      <c r="O15" s="24">
        <f ca="1">SUMPRODUCT((Декабрь[№]=3)*Декабрь[11],OFFSET(Декабрь[Периодичность],-2,0))</f>
        <v>0</v>
      </c>
      <c r="P15" s="24">
        <f ca="1">SUMPRODUCT((Декабрь[№]=3)*Декабрь[12],OFFSET(Декабрь[Периодичность],-2,0))</f>
        <v>0</v>
      </c>
      <c r="Q15" s="24">
        <f ca="1">SUMPRODUCT((Декабрь[№]=3)*Декабрь[13],OFFSET(Декабрь[Периодичность],-2,0))</f>
        <v>0</v>
      </c>
      <c r="R15" s="24">
        <f ca="1">SUMPRODUCT((Декабрь[№]=3)*Декабрь[14],OFFSET(Декабрь[Периодичность],-2,0))</f>
        <v>0</v>
      </c>
      <c r="S15" s="24">
        <f ca="1">SUMPRODUCT((Декабрь[№]=3)*Декабрь[15],OFFSET(Декабрь[Периодичность],-2,0))</f>
        <v>0</v>
      </c>
      <c r="T15" s="24">
        <f ca="1">SUMPRODUCT((Декабрь[№]=3)*Декабрь[16],OFFSET(Декабрь[Периодичность],-2,0))</f>
        <v>0</v>
      </c>
      <c r="U15" s="24">
        <f ca="1">SUMPRODUCT((Декабрь[№]=3)*Декабрь[17],OFFSET(Декабрь[Периодичность],-2,0))</f>
        <v>0</v>
      </c>
      <c r="V15" s="24">
        <f ca="1">SUMPRODUCT((Декабрь[№]=3)*Декабрь[18],OFFSET(Декабрь[Периодичность],-2,0))</f>
        <v>0</v>
      </c>
      <c r="W15" s="24">
        <f ca="1">SUMPRODUCT((Декабрь[№]=3)*Декабрь[19],OFFSET(Декабрь[Периодичность],-2,0))</f>
        <v>0</v>
      </c>
      <c r="X15" s="24">
        <f ca="1">SUMPRODUCT((Декабрь[№]=3)*Декабрь[20],OFFSET(Декабрь[Периодичность],-2,0))</f>
        <v>0</v>
      </c>
      <c r="Y15" s="24">
        <f ca="1">SUMPRODUCT((Декабрь[№]=3)*Декабрь[21],OFFSET(Декабрь[Периодичность],-2,0))</f>
        <v>0</v>
      </c>
      <c r="Z15" s="24">
        <f ca="1">SUMPRODUCT((Декабрь[№]=3)*Декабрь[22],OFFSET(Декабрь[Периодичность],-2,0))</f>
        <v>0</v>
      </c>
      <c r="AA15" s="24">
        <f ca="1">SUMPRODUCT((Декабрь[№]=3)*Декабрь[23],OFFSET(Декабрь[Периодичность],-2,0))</f>
        <v>0</v>
      </c>
      <c r="AB15" s="24">
        <f ca="1">SUMPRODUCT((Декабрь[№]=3)*Декабрь[24],OFFSET(Декабрь[Периодичность],-2,0))</f>
        <v>0</v>
      </c>
      <c r="AC15" s="24">
        <f ca="1">SUMPRODUCT((Декабрь[№]=3)*Декабрь[25],OFFSET(Декабрь[Периодичность],-2,0))</f>
        <v>0</v>
      </c>
      <c r="AD15" s="24">
        <f ca="1">SUMPRODUCT((Декабрь[№]=3)*Декабрь[26],OFFSET(Декабрь[Периодичность],-2,0))</f>
        <v>0</v>
      </c>
      <c r="AE15" s="24">
        <f ca="1">SUMPRODUCT((Декабрь[№]=3)*Декабрь[27],OFFSET(Декабрь[Периодичность],-2,0))</f>
        <v>0</v>
      </c>
      <c r="AF15" s="24">
        <f ca="1">SUMPRODUCT((Декабрь[№]=3)*Декабрь[28],OFFSET(Декабрь[Периодичность],-2,0))</f>
        <v>0</v>
      </c>
      <c r="AG15" s="24">
        <f ca="1">SUMPRODUCT((Декабрь[№]=3)*Декабрь[29],OFFSET(Декабрь[Периодичность],-2,0))</f>
        <v>0</v>
      </c>
      <c r="AH15" s="24">
        <f ca="1">SUMPRODUCT((Декабрь[№]=3)*Декабрь[30],OFFSET(Декабрь[Периодичность],-2,0))</f>
        <v>0</v>
      </c>
      <c r="AI15" s="24">
        <f ca="1">SUMPRODUCT((Декабрь[№]=3)*Декабрь[31],OFFSET(Декабрь[Периодичность],-2,0))</f>
        <v>0</v>
      </c>
      <c r="AK15" s="10"/>
    </row>
    <row r="16" spans="1:38" ht="22.5" customHeight="1" x14ac:dyDescent="0.25">
      <c r="B16" s="3">
        <f ca="1">SUMPRODUCT((Настройки!$G$32:$AK$32=4)*E16:AI16)</f>
        <v>0</v>
      </c>
      <c r="D16" s="5"/>
      <c r="E16" s="24">
        <f t="shared" ref="E16:AH16" ca="1" si="0">SUM(E13:E15)</f>
        <v>0</v>
      </c>
      <c r="F16" s="24">
        <f t="shared" ca="1" si="0"/>
        <v>0</v>
      </c>
      <c r="G16" s="24">
        <f t="shared" ca="1" si="0"/>
        <v>0</v>
      </c>
      <c r="H16" s="24">
        <f t="shared" ca="1" si="0"/>
        <v>0</v>
      </c>
      <c r="I16" s="24">
        <f t="shared" ca="1" si="0"/>
        <v>0</v>
      </c>
      <c r="J16" s="24">
        <f t="shared" ca="1" si="0"/>
        <v>0</v>
      </c>
      <c r="K16" s="24">
        <f t="shared" ca="1" si="0"/>
        <v>0</v>
      </c>
      <c r="L16" s="24">
        <f t="shared" ca="1" si="0"/>
        <v>0</v>
      </c>
      <c r="M16" s="24">
        <f t="shared" ca="1" si="0"/>
        <v>0</v>
      </c>
      <c r="N16" s="24">
        <f t="shared" ca="1" si="0"/>
        <v>0</v>
      </c>
      <c r="O16" s="24">
        <f t="shared" ca="1" si="0"/>
        <v>0</v>
      </c>
      <c r="P16" s="24">
        <f t="shared" ca="1" si="0"/>
        <v>0</v>
      </c>
      <c r="Q16" s="24">
        <f t="shared" ca="1" si="0"/>
        <v>0</v>
      </c>
      <c r="R16" s="24">
        <f t="shared" ca="1" si="0"/>
        <v>0</v>
      </c>
      <c r="S16" s="24">
        <f t="shared" ca="1" si="0"/>
        <v>0</v>
      </c>
      <c r="T16" s="24">
        <f t="shared" ca="1" si="0"/>
        <v>0</v>
      </c>
      <c r="U16" s="24">
        <f t="shared" ca="1" si="0"/>
        <v>0</v>
      </c>
      <c r="V16" s="24">
        <f t="shared" ca="1" si="0"/>
        <v>0</v>
      </c>
      <c r="W16" s="24">
        <f t="shared" ca="1" si="0"/>
        <v>0</v>
      </c>
      <c r="X16" s="24">
        <f t="shared" ca="1" si="0"/>
        <v>0</v>
      </c>
      <c r="Y16" s="24">
        <f t="shared" ca="1" si="0"/>
        <v>0</v>
      </c>
      <c r="Z16" s="24">
        <f t="shared" ca="1" si="0"/>
        <v>0</v>
      </c>
      <c r="AA16" s="24">
        <f t="shared" ca="1" si="0"/>
        <v>0</v>
      </c>
      <c r="AB16" s="24">
        <f t="shared" ca="1" si="0"/>
        <v>0</v>
      </c>
      <c r="AC16" s="24">
        <f t="shared" ca="1" si="0"/>
        <v>0</v>
      </c>
      <c r="AD16" s="24">
        <f t="shared" ca="1" si="0"/>
        <v>0</v>
      </c>
      <c r="AE16" s="24">
        <f t="shared" ca="1" si="0"/>
        <v>0</v>
      </c>
      <c r="AF16" s="24">
        <f t="shared" ca="1" si="0"/>
        <v>0</v>
      </c>
      <c r="AG16" s="24">
        <f t="shared" ca="1" si="0"/>
        <v>0</v>
      </c>
      <c r="AH16" s="24">
        <f t="shared" ca="1" si="0"/>
        <v>0</v>
      </c>
      <c r="AI16" s="24">
        <f ca="1">SUM(AI13:AI15)</f>
        <v>0</v>
      </c>
      <c r="AK16" s="10"/>
    </row>
    <row r="17" spans="1:37" ht="22.5" customHeight="1" x14ac:dyDescent="0.25">
      <c r="B17" s="3">
        <f ca="1">SUMPRODUCT((Настройки!$G$32:$AK$32=5)*E16:AI16)</f>
        <v>0</v>
      </c>
      <c r="C17" s="5">
        <f ca="1">ДекабрьИтоги[[#This Row],[№]]*60</f>
        <v>0</v>
      </c>
      <c r="D17" s="7">
        <f ca="1">SUM(ДекабрьИтоги[[#This Row],[1]:[31]])</f>
        <v>0</v>
      </c>
      <c r="E17" s="25">
        <f ca="1">E16/60</f>
        <v>0</v>
      </c>
      <c r="F17" s="25">
        <f t="shared" ref="F17:AH17" ca="1" si="1">F16/60</f>
        <v>0</v>
      </c>
      <c r="G17" s="25">
        <f t="shared" ca="1" si="1"/>
        <v>0</v>
      </c>
      <c r="H17" s="25">
        <f t="shared" ca="1" si="1"/>
        <v>0</v>
      </c>
      <c r="I17" s="25">
        <f t="shared" ca="1" si="1"/>
        <v>0</v>
      </c>
      <c r="J17" s="25">
        <f t="shared" ca="1" si="1"/>
        <v>0</v>
      </c>
      <c r="K17" s="25">
        <f t="shared" ca="1" si="1"/>
        <v>0</v>
      </c>
      <c r="L17" s="25">
        <f t="shared" ca="1" si="1"/>
        <v>0</v>
      </c>
      <c r="M17" s="25">
        <f t="shared" ca="1" si="1"/>
        <v>0</v>
      </c>
      <c r="N17" s="25">
        <f t="shared" ca="1" si="1"/>
        <v>0</v>
      </c>
      <c r="O17" s="25">
        <f t="shared" ca="1" si="1"/>
        <v>0</v>
      </c>
      <c r="P17" s="25">
        <f t="shared" ca="1" si="1"/>
        <v>0</v>
      </c>
      <c r="Q17" s="25">
        <f t="shared" ca="1" si="1"/>
        <v>0</v>
      </c>
      <c r="R17" s="25">
        <f t="shared" ca="1" si="1"/>
        <v>0</v>
      </c>
      <c r="S17" s="25">
        <f t="shared" ca="1" si="1"/>
        <v>0</v>
      </c>
      <c r="T17" s="25">
        <f t="shared" ca="1" si="1"/>
        <v>0</v>
      </c>
      <c r="U17" s="25">
        <f t="shared" ca="1" si="1"/>
        <v>0</v>
      </c>
      <c r="V17" s="25">
        <f t="shared" ca="1" si="1"/>
        <v>0</v>
      </c>
      <c r="W17" s="25">
        <f t="shared" ca="1" si="1"/>
        <v>0</v>
      </c>
      <c r="X17" s="25">
        <f t="shared" ca="1" si="1"/>
        <v>0</v>
      </c>
      <c r="Y17" s="25">
        <f t="shared" ca="1" si="1"/>
        <v>0</v>
      </c>
      <c r="Z17" s="25">
        <f t="shared" ca="1" si="1"/>
        <v>0</v>
      </c>
      <c r="AA17" s="25">
        <f t="shared" ca="1" si="1"/>
        <v>0</v>
      </c>
      <c r="AB17" s="25">
        <f t="shared" ca="1" si="1"/>
        <v>0</v>
      </c>
      <c r="AC17" s="25">
        <f t="shared" ca="1" si="1"/>
        <v>0</v>
      </c>
      <c r="AD17" s="25">
        <f t="shared" ca="1" si="1"/>
        <v>0</v>
      </c>
      <c r="AE17" s="25">
        <f t="shared" ca="1" si="1"/>
        <v>0</v>
      </c>
      <c r="AF17" s="25">
        <f t="shared" ca="1" si="1"/>
        <v>0</v>
      </c>
      <c r="AG17" s="25">
        <f t="shared" ca="1" si="1"/>
        <v>0</v>
      </c>
      <c r="AH17" s="25">
        <f t="shared" ca="1" si="1"/>
        <v>0</v>
      </c>
      <c r="AI17" s="25">
        <f ca="1">AI16/60</f>
        <v>0</v>
      </c>
      <c r="AJ17" s="5">
        <f ca="1">SUM(Декабрь[УСЛУГ])</f>
        <v>0</v>
      </c>
      <c r="AK17" s="16">
        <f ca="1">SUM(Декабрь[МИНУТ])</f>
        <v>0</v>
      </c>
    </row>
    <row r="18" spans="1:37" ht="22.5" customHeight="1" x14ac:dyDescent="0.25">
      <c r="B18" s="14">
        <f ca="1">SUMPRODUCT((Настройки!$G$32:$AK$32=6)*E16:AI16)</f>
        <v>0</v>
      </c>
      <c r="C18" s="14"/>
      <c r="D18" s="7"/>
      <c r="E18" s="47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47"/>
      <c r="AJ18" s="14"/>
      <c r="AK18" s="46"/>
    </row>
    <row r="19" spans="1:37" ht="20.25" customHeight="1" x14ac:dyDescent="0.25"/>
    <row r="20" spans="1:37" ht="22.5" customHeight="1" x14ac:dyDescent="0.25">
      <c r="A20" s="63" t="s">
        <v>52</v>
      </c>
      <c r="B20" s="63" t="s">
        <v>53</v>
      </c>
      <c r="C20" s="64"/>
      <c r="D20" s="65" t="s">
        <v>61</v>
      </c>
      <c r="E20" s="57" t="s">
        <v>55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9"/>
      <c r="AJ20" s="53" t="s">
        <v>64</v>
      </c>
      <c r="AK20" s="54" t="s">
        <v>64</v>
      </c>
    </row>
    <row r="21" spans="1:37" ht="18" customHeight="1" x14ac:dyDescent="0.25">
      <c r="A21" s="63"/>
      <c r="B21" s="63"/>
      <c r="C21" s="64"/>
      <c r="D21" s="66"/>
      <c r="E21" s="67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9"/>
      <c r="AJ21" s="53"/>
      <c r="AK21" s="55"/>
    </row>
    <row r="22" spans="1:37" ht="21.75" customHeight="1" x14ac:dyDescent="0.25">
      <c r="A22" s="63"/>
      <c r="B22" s="63"/>
      <c r="C22" s="64"/>
      <c r="D22" s="66"/>
      <c r="E22" s="21">
        <f>Настройки!G18</f>
        <v>45627</v>
      </c>
      <c r="F22" s="21">
        <f>Настройки!H18</f>
        <v>45628</v>
      </c>
      <c r="G22" s="21">
        <f>Настройки!I18</f>
        <v>45629</v>
      </c>
      <c r="H22" s="21">
        <f>Настройки!J18</f>
        <v>45630</v>
      </c>
      <c r="I22" s="21">
        <f>Настройки!K18</f>
        <v>45631</v>
      </c>
      <c r="J22" s="21">
        <f>Настройки!L18</f>
        <v>45632</v>
      </c>
      <c r="K22" s="21">
        <f>Настройки!M18</f>
        <v>45633</v>
      </c>
      <c r="L22" s="21">
        <f>Настройки!N18</f>
        <v>45634</v>
      </c>
      <c r="M22" s="21">
        <f>Настройки!O18</f>
        <v>45635</v>
      </c>
      <c r="N22" s="21">
        <f>Настройки!P18</f>
        <v>45636</v>
      </c>
      <c r="O22" s="21">
        <f>Настройки!Q18</f>
        <v>45637</v>
      </c>
      <c r="P22" s="21">
        <f>Настройки!R18</f>
        <v>45638</v>
      </c>
      <c r="Q22" s="21">
        <f>Настройки!S18</f>
        <v>45639</v>
      </c>
      <c r="R22" s="21">
        <f>Настройки!T18</f>
        <v>45640</v>
      </c>
      <c r="S22" s="21">
        <f>Настройки!U18</f>
        <v>45641</v>
      </c>
      <c r="T22" s="21">
        <f>Настройки!V18</f>
        <v>45642</v>
      </c>
      <c r="U22" s="21">
        <f>Настройки!W18</f>
        <v>45643</v>
      </c>
      <c r="V22" s="21">
        <f>Настройки!X18</f>
        <v>45644</v>
      </c>
      <c r="W22" s="21">
        <f>Настройки!Y18</f>
        <v>45645</v>
      </c>
      <c r="X22" s="21">
        <f>Настройки!Z18</f>
        <v>45646</v>
      </c>
      <c r="Y22" s="21">
        <f>Настройки!AA18</f>
        <v>45647</v>
      </c>
      <c r="Z22" s="21">
        <f>Настройки!AB18</f>
        <v>45648</v>
      </c>
      <c r="AA22" s="21">
        <f>Настройки!AC18</f>
        <v>45649</v>
      </c>
      <c r="AB22" s="21">
        <f>Настройки!AD18</f>
        <v>45650</v>
      </c>
      <c r="AC22" s="21">
        <f>Настройки!AE18</f>
        <v>45651</v>
      </c>
      <c r="AD22" s="21">
        <f>Настройки!AF18</f>
        <v>45652</v>
      </c>
      <c r="AE22" s="21">
        <f>Настройки!AG18</f>
        <v>45653</v>
      </c>
      <c r="AF22" s="21">
        <f>Настройки!AH18</f>
        <v>45654</v>
      </c>
      <c r="AG22" s="21">
        <f>Настройки!AI18</f>
        <v>45655</v>
      </c>
      <c r="AH22" s="21">
        <f>Настройки!AJ18</f>
        <v>45656</v>
      </c>
      <c r="AI22" s="21">
        <f>Настройки!AK18</f>
        <v>45657</v>
      </c>
      <c r="AJ22" s="53"/>
      <c r="AK22" s="55"/>
    </row>
    <row r="23" spans="1:37" x14ac:dyDescent="0.25">
      <c r="A23" s="63"/>
      <c r="B23" s="63"/>
      <c r="C23" s="64"/>
      <c r="D23" s="66"/>
      <c r="E23" s="63" t="s">
        <v>54</v>
      </c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70"/>
      <c r="AJ23" s="53"/>
      <c r="AK23" s="55"/>
    </row>
    <row r="24" spans="1:37" x14ac:dyDescent="0.25">
      <c r="A24" s="63"/>
      <c r="B24" s="63"/>
      <c r="C24" s="64"/>
      <c r="D24" s="66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70"/>
      <c r="AJ24" s="53"/>
      <c r="AK24" s="56"/>
    </row>
    <row r="25" spans="1:37" ht="23.25" customHeight="1" x14ac:dyDescent="0.25">
      <c r="A25" s="3" t="s">
        <v>59</v>
      </c>
      <c r="B25" s="2" t="s">
        <v>57</v>
      </c>
      <c r="C25" s="3" t="s">
        <v>58</v>
      </c>
      <c r="D25" s="9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50" t="s">
        <v>1</v>
      </c>
      <c r="B26" s="2">
        <f>IF(Январь[[#This Row],[Объем]]&lt;&gt;"",Январь[[#This Row],[Объем]],"")</f>
        <v>0</v>
      </c>
      <c r="C26" s="8">
        <f>IF(Январь[[#This Row],[Периодичность]]&lt;&gt;"",Январь[[#This Row],[Периодичность]],"")</f>
        <v>0</v>
      </c>
      <c r="D26" s="10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IF(Декабрь[[#This Row],[№]]=1,SUM(Декабрь[[#This Row],[1]:[31]])+SUM(OFFSET(Декабрь[[#This Row],[1]:[31]],1,0))+SUM(OFFSET(Декабрь[[#This Row],[1]:[31]],2,0)),"")</f>
        <v>0</v>
      </c>
      <c r="AK26" s="5">
        <f ca="1">IF(Декабрь[[#This Row],[УСЛУГ]]&lt;&gt;"",Декабрь[[#This Row],[УСЛУГ]]*Декабрь[[#This Row],[Периодичность]],"")</f>
        <v>0</v>
      </c>
    </row>
    <row r="27" spans="1:37" x14ac:dyDescent="0.25">
      <c r="A27" s="50"/>
      <c r="B27" s="2" t="str">
        <f>IF(Январь[[#This Row],[Объем]]&lt;&gt;"",Январь[[#This Row],[Объем]],"")</f>
        <v/>
      </c>
      <c r="C27" s="8" t="str">
        <f>IF(Январь[[#This Row],[Периодичность]]&lt;&gt;"",Январь[[#This Row],[Периодичность]],"")</f>
        <v/>
      </c>
      <c r="D27" s="10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IF(Декабрь[[#This Row],[№]]=1,SUM(Декабрь[[#This Row],[1]:[31]])+SUM(OFFSET(Декабрь[[#This Row],[1]:[31]],1,0))+SUM(OFFSET(Декабрь[[#This Row],[1]:[31]],2,0)),"")</f>
        <v/>
      </c>
      <c r="AK27" s="5" t="str">
        <f ca="1">IF(Декабрь[[#This Row],[УСЛУГ]]&lt;&gt;"",Декабрь[[#This Row],[УСЛУГ]]*Декабрь[[#This Row],[Периодичность]],"")</f>
        <v/>
      </c>
    </row>
    <row r="28" spans="1:37" x14ac:dyDescent="0.25">
      <c r="A28" s="50"/>
      <c r="B28" s="2" t="str">
        <f>IF(Январь[[#This Row],[Объем]]&lt;&gt;"",Январь[[#This Row],[Объем]],"")</f>
        <v/>
      </c>
      <c r="C28" s="8" t="str">
        <f>IF(Январь[[#This Row],[Периодичность]]&lt;&gt;"",Январь[[#This Row],[Периодичность]],"")</f>
        <v/>
      </c>
      <c r="D28" s="10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IF(Декабрь[[#This Row],[№]]=1,SUM(Декабрь[[#This Row],[1]:[31]])+SUM(OFFSET(Декабрь[[#This Row],[1]:[31]],1,0))+SUM(OFFSET(Декабрь[[#This Row],[1]:[31]],2,0)),"")</f>
        <v/>
      </c>
      <c r="AK28" s="5" t="str">
        <f ca="1">IF(Декабрь[[#This Row],[УСЛУГ]]&lt;&gt;"",Декабрь[[#This Row],[УСЛУГ]]*Декабрь[[#This Row],[Периодичность]],"")</f>
        <v/>
      </c>
    </row>
  </sheetData>
  <mergeCells count="20">
    <mergeCell ref="A2:AJ2"/>
    <mergeCell ref="A3:AJ3"/>
    <mergeCell ref="J4:L4"/>
    <mergeCell ref="M4:U4"/>
    <mergeCell ref="M5:Q5"/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</mergeCells>
  <conditionalFormatting sqref="E9:AI9">
    <cfRule type="expression" dxfId="111" priority="2">
      <formula>WEEKDAY(E9:AI9,2)&gt;5</formula>
    </cfRule>
  </conditionalFormatting>
  <conditionalFormatting sqref="E22:AI22">
    <cfRule type="expression" dxfId="110" priority="1">
      <formula>WEEKDAY(E22:AI22,2)&gt;5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B13:B18 AI13:AK13 E16:E17 AI16:AK17 AJ14:AK14 AJ15:AK15 E14:AI15" calculatedColumn="1"/>
  </ignoredErrors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theme="7" tint="0.39997558519241921"/>
    <pageSetUpPr fitToPage="1"/>
  </sheetPr>
  <dimension ref="A2:AF36"/>
  <sheetViews>
    <sheetView zoomScale="90" zoomScaleNormal="90" workbookViewId="0"/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9" t="s">
        <v>135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4" spans="1:32" x14ac:dyDescent="0.25">
      <c r="G4" s="12" t="s">
        <v>69</v>
      </c>
      <c r="H4" s="35" t="s">
        <v>131</v>
      </c>
      <c r="I4" s="38" t="str">
        <f>Год[Год]&amp;" г."</f>
        <v>2024 г.</v>
      </c>
      <c r="J4" s="36"/>
    </row>
    <row r="6" spans="1:32" ht="15.75" customHeight="1" x14ac:dyDescent="0.25">
      <c r="B6" s="31"/>
      <c r="F6" s="91" t="s">
        <v>136</v>
      </c>
      <c r="G6" s="92"/>
      <c r="H6" s="76" t="str">
        <f>Настройки!P2</f>
        <v>Фамилия И.О.</v>
      </c>
      <c r="I6" s="84"/>
      <c r="J6" s="34"/>
    </row>
    <row r="8" spans="1:32" ht="15.75" customHeight="1" x14ac:dyDescent="0.25">
      <c r="A8" s="72"/>
      <c r="B8" s="57" t="s">
        <v>55</v>
      </c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86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6"/>
    </row>
    <row r="9" spans="1:32" x14ac:dyDescent="0.25">
      <c r="A9" s="79"/>
      <c r="B9" s="87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88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1:32" x14ac:dyDescent="0.25">
      <c r="A10" s="79"/>
      <c r="B10" s="30">
        <f>Настройки!G18</f>
        <v>45627</v>
      </c>
      <c r="C10" s="30">
        <f>Настройки!H18</f>
        <v>45628</v>
      </c>
      <c r="D10" s="30">
        <f>Настройки!I18</f>
        <v>45629</v>
      </c>
      <c r="E10" s="30">
        <f>Настройки!J18</f>
        <v>45630</v>
      </c>
      <c r="F10" s="30">
        <f>Настройки!K18</f>
        <v>45631</v>
      </c>
      <c r="G10" s="30">
        <f>Настройки!L18</f>
        <v>45632</v>
      </c>
      <c r="H10" s="30">
        <f>Настройки!M18</f>
        <v>45633</v>
      </c>
      <c r="I10" s="30">
        <f>Настройки!N18</f>
        <v>45634</v>
      </c>
      <c r="J10" s="30">
        <f>Настройки!O18</f>
        <v>45635</v>
      </c>
      <c r="K10" s="30">
        <f>Настройки!P18</f>
        <v>45636</v>
      </c>
      <c r="L10" s="30">
        <f>Настройки!Q18</f>
        <v>45637</v>
      </c>
      <c r="M10" s="30">
        <f>Настройки!R18</f>
        <v>45638</v>
      </c>
      <c r="N10" s="30">
        <f>Настройки!S18</f>
        <v>45639</v>
      </c>
      <c r="O10" s="30">
        <f>Настройки!T18</f>
        <v>45640</v>
      </c>
      <c r="P10" s="30">
        <f>Настройки!U18</f>
        <v>45641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 ht="15.75" customHeight="1" x14ac:dyDescent="0.25">
      <c r="A11" s="79"/>
      <c r="B11" s="57" t="s">
        <v>54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86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6"/>
    </row>
    <row r="12" spans="1:32" x14ac:dyDescent="0.25">
      <c r="A12" s="80"/>
      <c r="B12" s="87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88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3" t="str">
        <f>IF(Настройки!J2&lt;&gt;"",TEXT(Настройки!J2,"ч:мм")&amp;"-"&amp;TEXT(Настройки!J2+TIME(0,MAX(Декабрь!E13:AI13),0),"ч:мм"),"")</f>
        <v>9:00-9:00</v>
      </c>
      <c r="B14" s="31" t="str">
        <f>IF(TEXT(Настройки!$J2+TIME(0,Декабрь!E13,0),"ч::мм")=TEXT(Настройки!$J2,"ч:мм"),"",TEXT(Настройки!$J2,"ч:мм")&amp;"-"&amp;TEXT(Настройки!$J2+TIME(0,Декабрь!E13,0),"ч::мм"))</f>
        <v/>
      </c>
      <c r="C14" s="31" t="str">
        <f>IF(TEXT(Настройки!$J2+TIME(0,Декабрь!F13,0),"ч::мм")=TEXT(Настройки!$J2,"ч:мм"),"",TEXT(Настройки!$J2,"ч:мм")&amp;"-"&amp;TEXT(Настройки!$J2+TIME(0,Декабрь!F13,0),"ч::мм"))</f>
        <v/>
      </c>
      <c r="D14" s="31" t="str">
        <f>IF(TEXT(Настройки!$J2+TIME(0,Декабрь!G13,0),"ч::мм")=TEXT(Настройки!$J2,"ч:мм"),"",TEXT(Настройки!$J2,"ч:мм")&amp;"-"&amp;TEXT(Настройки!$J2+TIME(0,Декабрь!G13,0),"ч::мм"))</f>
        <v/>
      </c>
      <c r="E14" s="31" t="str">
        <f>IF(TEXT(Настройки!$J2+TIME(0,Декабрь!H13,0),"ч::мм")=TEXT(Настройки!$J2,"ч:мм"),"",TEXT(Настройки!$J2,"ч:мм")&amp;"-"&amp;TEXT(Настройки!$J2+TIME(0,Декабрь!H13,0),"ч::мм"))</f>
        <v/>
      </c>
      <c r="F14" s="31" t="str">
        <f>IF(TEXT(Настройки!$J2+TIME(0,Декабрь!I13,0),"ч::мм")=TEXT(Настройки!$J2,"ч:мм"),"",TEXT(Настройки!$J2,"ч:мм")&amp;"-"&amp;TEXT(Настройки!$J2+TIME(0,Декабрь!I13,0),"ч::мм"))</f>
        <v/>
      </c>
      <c r="G14" s="31" t="str">
        <f>IF(TEXT(Настройки!$J2+TIME(0,Декабрь!J13,0),"ч::мм")=TEXT(Настройки!$J2,"ч:мм"),"",TEXT(Настройки!$J2,"ч:мм")&amp;"-"&amp;TEXT(Настройки!$J2+TIME(0,Декабрь!J13,0),"ч::мм"))</f>
        <v/>
      </c>
      <c r="H14" s="31" t="str">
        <f>IF(TEXT(Настройки!$J2+TIME(0,Декабрь!K13,0),"ч::мм")=TEXT(Настройки!$J2,"ч:мм"),"",TEXT(Настройки!$J2,"ч:мм")&amp;"-"&amp;TEXT(Настройки!$J2+TIME(0,Декабрь!K13,0),"ч::мм"))</f>
        <v/>
      </c>
      <c r="I14" s="31" t="str">
        <f>IF(TEXT(Настройки!$J2+TIME(0,Декабрь!L13,0),"ч::мм")=TEXT(Настройки!$J2,"ч:мм"),"",TEXT(Настройки!$J2,"ч:мм")&amp;"-"&amp;TEXT(Настройки!$J2+TIME(0,Декабрь!L13,0),"ч::мм"))</f>
        <v/>
      </c>
      <c r="J14" s="31" t="str">
        <f>IF(TEXT(Настройки!$J2+TIME(0,Декабрь!M13,0),"ч::мм")=TEXT(Настройки!$J2,"ч:мм"),"",TEXT(Настройки!$J2,"ч:мм")&amp;"-"&amp;TEXT(Настройки!$J2+TIME(0,Декабрь!M13,0),"ч::мм"))</f>
        <v/>
      </c>
      <c r="K14" s="31" t="str">
        <f>IF(TEXT(Настройки!$J2+TIME(0,Декабрь!N13,0),"ч::мм")=TEXT(Настройки!$J2,"ч:мм"),"",TEXT(Настройки!$J2,"ч:мм")&amp;"-"&amp;TEXT(Настройки!$J2+TIME(0,Декабрь!N13,0),"ч::мм"))</f>
        <v/>
      </c>
      <c r="L14" s="31" t="str">
        <f>IF(TEXT(Настройки!$J2+TIME(0,Декабрь!O13,0),"ч::мм")=TEXT(Настройки!$J2,"ч:мм"),"",TEXT(Настройки!$J2,"ч:мм")&amp;"-"&amp;TEXT(Настройки!$J2+TIME(0,Декабрь!O13,0),"ч::мм"))</f>
        <v/>
      </c>
      <c r="M14" s="31" t="str">
        <f>IF(TEXT(Настройки!$J2+TIME(0,Декабрь!P13,0),"ч::мм")=TEXT(Настройки!$J2,"ч:мм"),"",TEXT(Настройки!$J2,"ч:мм")&amp;"-"&amp;TEXT(Настройки!$J2+TIME(0,Декабрь!P13,0),"ч::мм"))</f>
        <v/>
      </c>
      <c r="N14" s="31" t="str">
        <f>IF(TEXT(Настройки!$J2+TIME(0,Декабрь!Q13,0),"ч::мм")=TEXT(Настройки!$J2,"ч:мм"),"",TEXT(Настройки!$J2,"ч:мм")&amp;"-"&amp;TEXT(Настройки!$J2+TIME(0,Декабрь!Q13,0),"ч::мм"))</f>
        <v/>
      </c>
      <c r="O14" s="31" t="str">
        <f>IF(TEXT(Настройки!$J2+TIME(0,Декабрь!R13,0),"ч::мм")=TEXT(Настройки!$J2,"ч:мм"),"",TEXT(Настройки!$J2,"ч:мм")&amp;"-"&amp;TEXT(Настройки!$J2+TIME(0,Декабрь!R13,0),"ч::мм"))</f>
        <v/>
      </c>
      <c r="P14" s="31" t="str">
        <f>IF(TEXT(Настройки!$J2+TIME(0,Декабрь!S13,0),"ч::мм")=TEXT(Настройки!$J2,"ч:мм"),"",TEXT(Настройки!$J2,"ч:мм")&amp;"-"&amp;TEXT(Настройки!$J2+TIME(0,Декабрь!S13,0),"ч::мм"))</f>
        <v/>
      </c>
      <c r="R14" s="31"/>
    </row>
    <row r="15" spans="1:32" x14ac:dyDescent="0.25">
      <c r="A15" s="33" t="str">
        <f ca="1">IF(Настройки!J3&lt;&gt;"",TEXT(Настройки!J3,"ч:мм")&amp;"-"&amp;TEXT(Настройки!J3+TIME(0,MAX(Декабрь!E14:AI14),0),"ч:мм"),"")</f>
        <v>13:00-13:00</v>
      </c>
      <c r="B15" s="31" t="str">
        <f ca="1">IF(TEXT(Настройки!$J3+TIME(0,Декабрь!E14,0),"ч::мм")=TEXT(Настройки!$J3,"ч:мм"),"",TEXT(Настройки!$J3,"ч:мм")&amp;"-"&amp;TEXT(Настройки!$J3+TIME(0,Декабрь!E14,0),"ч::мм"))</f>
        <v/>
      </c>
      <c r="C15" s="31" t="str">
        <f ca="1">IF(TEXT(Настройки!$J3+TIME(0,Декабрь!F14,0),"ч::мм")=TEXT(Настройки!$J3,"ч:мм"),"",TEXT(Настройки!$J3,"ч:мм")&amp;"-"&amp;TEXT(Настройки!$J3+TIME(0,Декабрь!F14,0),"ч::мм"))</f>
        <v/>
      </c>
      <c r="D15" s="31" t="str">
        <f ca="1">IF(TEXT(Настройки!$J3+TIME(0,Декабрь!G14,0),"ч::мм")=TEXT(Настройки!$J3,"ч:мм"),"",TEXT(Настройки!$J3,"ч:мм")&amp;"-"&amp;TEXT(Настройки!$J3+TIME(0,Декабрь!G14,0),"ч::мм"))</f>
        <v/>
      </c>
      <c r="E15" s="31" t="str">
        <f ca="1">IF(TEXT(Настройки!$J3+TIME(0,Декабрь!H14,0),"ч::мм")=TEXT(Настройки!$J3,"ч:мм"),"",TEXT(Настройки!$J3,"ч:мм")&amp;"-"&amp;TEXT(Настройки!$J3+TIME(0,Декабрь!H14,0),"ч::мм"))</f>
        <v/>
      </c>
      <c r="F15" s="31" t="str">
        <f ca="1">IF(TEXT(Настройки!$J3+TIME(0,Декабрь!I14,0),"ч::мм")=TEXT(Настройки!$J3,"ч:мм"),"",TEXT(Настройки!$J3,"ч:мм")&amp;"-"&amp;TEXT(Настройки!$J3+TIME(0,Декабрь!I14,0),"ч::мм"))</f>
        <v/>
      </c>
      <c r="G15" s="31" t="str">
        <f ca="1">IF(TEXT(Настройки!$J3+TIME(0,Декабрь!J14,0),"ч::мм")=TEXT(Настройки!$J3,"ч:мм"),"",TEXT(Настройки!$J3,"ч:мм")&amp;"-"&amp;TEXT(Настройки!$J3+TIME(0,Декабрь!J14,0),"ч::мм"))</f>
        <v/>
      </c>
      <c r="H15" s="31" t="str">
        <f ca="1">IF(TEXT(Настройки!$J3+TIME(0,Декабрь!K14,0),"ч::мм")=TEXT(Настройки!$J3,"ч:мм"),"",TEXT(Настройки!$J3,"ч:мм")&amp;"-"&amp;TEXT(Настройки!$J3+TIME(0,Декабрь!K14,0),"ч::мм"))</f>
        <v/>
      </c>
      <c r="I15" s="31" t="str">
        <f ca="1">IF(TEXT(Настройки!$J3+TIME(0,Декабрь!L14,0),"ч::мм")=TEXT(Настройки!$J3,"ч:мм"),"",TEXT(Настройки!$J3,"ч:мм")&amp;"-"&amp;TEXT(Настройки!$J3+TIME(0,Декабрь!L14,0),"ч::мм"))</f>
        <v/>
      </c>
      <c r="J15" s="31" t="str">
        <f ca="1">IF(TEXT(Настройки!$J3+TIME(0,Декабрь!M14,0),"ч::мм")=TEXT(Настройки!$J3,"ч:мм"),"",TEXT(Настройки!$J3,"ч:мм")&amp;"-"&amp;TEXT(Настройки!$J3+TIME(0,Декабрь!M14,0),"ч::мм"))</f>
        <v/>
      </c>
      <c r="K15" s="31" t="str">
        <f ca="1">IF(TEXT(Настройки!$J3+TIME(0,Декабрь!N14,0),"ч::мм")=TEXT(Настройки!$J3,"ч:мм"),"",TEXT(Настройки!$J3,"ч:мм")&amp;"-"&amp;TEXT(Настройки!$J3+TIME(0,Декабрь!N14,0),"ч::мм"))</f>
        <v/>
      </c>
      <c r="L15" s="31" t="str">
        <f ca="1">IF(TEXT(Настройки!$J3+TIME(0,Декабрь!O14,0),"ч::мм")=TEXT(Настройки!$J3,"ч:мм"),"",TEXT(Настройки!$J3,"ч:мм")&amp;"-"&amp;TEXT(Настройки!$J3+TIME(0,Декабрь!O14,0),"ч::мм"))</f>
        <v/>
      </c>
      <c r="M15" s="31" t="str">
        <f ca="1">IF(TEXT(Настройки!$J3+TIME(0,Декабрь!P14,0),"ч::мм")=TEXT(Настройки!$J3,"ч:мм"),"",TEXT(Настройки!$J3,"ч:мм")&amp;"-"&amp;TEXT(Настройки!$J3+TIME(0,Декабрь!P14,0),"ч::мм"))</f>
        <v/>
      </c>
      <c r="N15" s="31" t="str">
        <f ca="1">IF(TEXT(Настройки!$J3+TIME(0,Декабрь!Q14,0),"ч::мм")=TEXT(Настройки!$J3,"ч:мм"),"",TEXT(Настройки!$J3,"ч:мм")&amp;"-"&amp;TEXT(Настройки!$J3+TIME(0,Декабрь!Q14,0),"ч::мм"))</f>
        <v/>
      </c>
      <c r="O15" s="31" t="str">
        <f ca="1">IF(TEXT(Настройки!$J3+TIME(0,Декабрь!R14,0),"ч::мм")=TEXT(Настройки!$J3,"ч:мм"),"",TEXT(Настройки!$J3,"ч:мм")&amp;"-"&amp;TEXT(Настройки!$J3+TIME(0,Декабрь!R14,0),"ч::мм"))</f>
        <v/>
      </c>
      <c r="P15" s="31" t="str">
        <f ca="1">IF(TEXT(Настройки!$J3+TIME(0,Декабрь!S14,0),"ч::мм")=TEXT(Настройки!$J3,"ч:мм"),"",TEXT(Настройки!$J3,"ч:мм")&amp;"-"&amp;TEXT(Настройки!$J3+TIME(0,Декабрь!S14,0),"ч::мм"))</f>
        <v/>
      </c>
      <c r="S15" s="31"/>
    </row>
    <row r="16" spans="1:32" x14ac:dyDescent="0.25">
      <c r="A16" s="33" t="str">
        <f ca="1">IF(Настройки!J4&lt;&gt;"",TEXT(Настройки!J4,"ч:мм")&amp;"-"&amp;TEXT(Настройки!J4+TIME(0,MAX(Декабрь!E15:AI15),0),"ч:мм"),"")</f>
        <v>16:00-16:00</v>
      </c>
      <c r="B16" s="31" t="str">
        <f ca="1">IF(TEXT(Настройки!$J4+TIME(0,Декабрь!E15,0),"ч::мм")=TEXT(Настройки!$J4,"ч:мм"),"",TEXT(Настройки!$J4,"ч:мм")&amp;"-"&amp;TEXT(Настройки!$J4+TIME(0,Декабрь!E15,0),"ч::мм"))</f>
        <v/>
      </c>
      <c r="C16" s="31" t="str">
        <f ca="1">IF(TEXT(Настройки!$J4+TIME(0,Декабрь!F15,0),"ч::мм")=TEXT(Настройки!$J4,"ч:мм"),"",TEXT(Настройки!$J4,"ч:мм")&amp;"-"&amp;TEXT(Настройки!$J4+TIME(0,Декабрь!F15,0),"ч::мм"))</f>
        <v/>
      </c>
      <c r="D16" s="31" t="str">
        <f ca="1">IF(TEXT(Настройки!$J4+TIME(0,Декабрь!G15,0),"ч::мм")=TEXT(Настройки!$J4,"ч:мм"),"",TEXT(Настройки!$J4,"ч:мм")&amp;"-"&amp;TEXT(Настройки!$J4+TIME(0,Декабрь!G15,0),"ч::мм"))</f>
        <v/>
      </c>
      <c r="E16" s="31" t="str">
        <f ca="1">IF(TEXT(Настройки!$J4+TIME(0,Декабрь!H15,0),"ч::мм")=TEXT(Настройки!$J4,"ч:мм"),"",TEXT(Настройки!$J4,"ч:мм")&amp;"-"&amp;TEXT(Настройки!$J4+TIME(0,Декабрь!H15,0),"ч::мм"))</f>
        <v/>
      </c>
      <c r="F16" s="31" t="str">
        <f ca="1">IF(TEXT(Настройки!$J4+TIME(0,Декабрь!I15,0),"ч::мм")=TEXT(Настройки!$J4,"ч:мм"),"",TEXT(Настройки!$J4,"ч:мм")&amp;"-"&amp;TEXT(Настройки!$J4+TIME(0,Декабрь!I15,0),"ч::мм"))</f>
        <v/>
      </c>
      <c r="G16" s="31" t="str">
        <f ca="1">IF(TEXT(Настройки!$J4+TIME(0,Декабрь!J15,0),"ч::мм")=TEXT(Настройки!$J4,"ч:мм"),"",TEXT(Настройки!$J4,"ч:мм")&amp;"-"&amp;TEXT(Настройки!$J4+TIME(0,Декабрь!J15,0),"ч::мм"))</f>
        <v/>
      </c>
      <c r="H16" s="31" t="str">
        <f ca="1">IF(TEXT(Настройки!$J4+TIME(0,Декабрь!K15,0),"ч::мм")=TEXT(Настройки!$J4,"ч:мм"),"",TEXT(Настройки!$J4,"ч:мм")&amp;"-"&amp;TEXT(Настройки!$J4+TIME(0,Декабрь!K15,0),"ч::мм"))</f>
        <v/>
      </c>
      <c r="I16" s="31" t="str">
        <f ca="1">IF(TEXT(Настройки!$J4+TIME(0,Декабрь!L15,0),"ч::мм")=TEXT(Настройки!$J4,"ч:мм"),"",TEXT(Настройки!$J4,"ч:мм")&amp;"-"&amp;TEXT(Настройки!$J4+TIME(0,Декабрь!L15,0),"ч::мм"))</f>
        <v/>
      </c>
      <c r="J16" s="31" t="str">
        <f ca="1">IF(TEXT(Настройки!$J4+TIME(0,Декабрь!M15,0),"ч::мм")=TEXT(Настройки!$J4,"ч:мм"),"",TEXT(Настройки!$J4,"ч:мм")&amp;"-"&amp;TEXT(Настройки!$J4+TIME(0,Декабрь!M15,0),"ч::мм"))</f>
        <v/>
      </c>
      <c r="K16" s="31" t="str">
        <f ca="1">IF(TEXT(Настройки!$J4+TIME(0,Декабрь!N15,0),"ч::мм")=TEXT(Настройки!$J4,"ч:мм"),"",TEXT(Настройки!$J4,"ч:мм")&amp;"-"&amp;TEXT(Настройки!$J4+TIME(0,Декабрь!N15,0),"ч::мм"))</f>
        <v/>
      </c>
      <c r="L16" s="31" t="str">
        <f ca="1">IF(TEXT(Настройки!$J4+TIME(0,Декабрь!O15,0),"ч::мм")=TEXT(Настройки!$J4,"ч:мм"),"",TEXT(Настройки!$J4,"ч:мм")&amp;"-"&amp;TEXT(Настройки!$J4+TIME(0,Декабрь!O15,0),"ч::мм"))</f>
        <v/>
      </c>
      <c r="M16" s="31" t="str">
        <f ca="1">IF(TEXT(Настройки!$J4+TIME(0,Декабрь!P15,0),"ч::мм")=TEXT(Настройки!$J4,"ч:мм"),"",TEXT(Настройки!$J4,"ч:мм")&amp;"-"&amp;TEXT(Настройки!$J4+TIME(0,Декабрь!P15,0),"ч::мм"))</f>
        <v/>
      </c>
      <c r="N16" s="31" t="str">
        <f ca="1">IF(TEXT(Настройки!$J4+TIME(0,Декабрь!Q15,0),"ч::мм")=TEXT(Настройки!$J4,"ч:мм"),"",TEXT(Настройки!$J4,"ч:мм")&amp;"-"&amp;TEXT(Настройки!$J4+TIME(0,Декабрь!Q15,0),"ч::мм"))</f>
        <v/>
      </c>
      <c r="O16" s="31" t="str">
        <f ca="1">IF(TEXT(Настройки!$J4+TIME(0,Декабрь!R15,0),"ч::мм")=TEXT(Настройки!$J4,"ч:мм"),"",TEXT(Настройки!$J4,"ч:мм")&amp;"-"&amp;TEXT(Настройки!$J4+TIME(0,Декабрь!R15,0),"ч::мм"))</f>
        <v/>
      </c>
      <c r="P16" s="31" t="str">
        <f ca="1">IF(TEXT(Настройки!$J4+TIME(0,Декабрь!S15,0),"ч::мм")=TEXT(Настройки!$J4,"ч:мм"),"",TEXT(Настройки!$J4,"ч:мм")&amp;"-"&amp;TEXT(Настройки!$J4+TIME(0,Декабрь!S15,0),"ч::мм"))</f>
        <v/>
      </c>
      <c r="S16" s="31"/>
    </row>
    <row r="18" spans="1:18" x14ac:dyDescent="0.25">
      <c r="A18" s="72"/>
      <c r="B18" s="57" t="s">
        <v>55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2"/>
      <c r="Q18" s="34"/>
    </row>
    <row r="19" spans="1:18" x14ac:dyDescent="0.25">
      <c r="A19" s="79"/>
      <c r="B19" s="83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5"/>
      <c r="Q19" s="34"/>
    </row>
    <row r="20" spans="1:18" x14ac:dyDescent="0.25">
      <c r="A20" s="79"/>
      <c r="B20" s="30">
        <f>Настройки!V18</f>
        <v>45642</v>
      </c>
      <c r="C20" s="30">
        <f>Настройки!W18</f>
        <v>45643</v>
      </c>
      <c r="D20" s="30">
        <f>Настройки!X18</f>
        <v>45644</v>
      </c>
      <c r="E20" s="30">
        <f>Настройки!Y18</f>
        <v>45645</v>
      </c>
      <c r="F20" s="30">
        <f>Настройки!Z18</f>
        <v>45646</v>
      </c>
      <c r="G20" s="30">
        <f>Настройки!AA18</f>
        <v>45647</v>
      </c>
      <c r="H20" s="30">
        <f>Настройки!AB18</f>
        <v>45648</v>
      </c>
      <c r="I20" s="30">
        <f>Настройки!AC18</f>
        <v>45649</v>
      </c>
      <c r="J20" s="30">
        <f>Настройки!AD18</f>
        <v>45650</v>
      </c>
      <c r="K20" s="30">
        <f>Настройки!AE18</f>
        <v>45651</v>
      </c>
      <c r="L20" s="30">
        <f>Настройки!AF18</f>
        <v>45652</v>
      </c>
      <c r="M20" s="30">
        <f>Настройки!AG18</f>
        <v>45653</v>
      </c>
      <c r="N20" s="30">
        <f>Настройки!AH18</f>
        <v>45654</v>
      </c>
      <c r="O20" s="30">
        <f>Настройки!AI18</f>
        <v>45655</v>
      </c>
      <c r="P20" s="30">
        <f>Настройки!AJ18</f>
        <v>45656</v>
      </c>
      <c r="Q20" s="32"/>
    </row>
    <row r="21" spans="1:18" x14ac:dyDescent="0.25">
      <c r="A21" s="79"/>
      <c r="B21" s="57" t="s">
        <v>54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2"/>
      <c r="Q21" s="34"/>
    </row>
    <row r="22" spans="1:18" x14ac:dyDescent="0.25">
      <c r="A22" s="80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5"/>
      <c r="Q22" s="34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10"/>
    </row>
    <row r="24" spans="1:18" x14ac:dyDescent="0.25">
      <c r="A24" s="33" t="str">
        <f t="shared" ref="A24:A26" si="0">A14</f>
        <v>9:00-9:00</v>
      </c>
      <c r="B24" s="3" t="str">
        <f>IF(TEXT(Настройки!$J2+TIME(0,Декабрь!T13,0),"ч::мм")=TEXT(Настройки!$J2,"ч:мм"),"",TEXT(Настройки!$J2,"ч:мм")&amp;"-"&amp;TEXT(Настройки!$J2+TIME(0,Декабрь!T13,0),"ч::мм"))</f>
        <v/>
      </c>
      <c r="C24" s="3" t="str">
        <f>IF(TEXT(Настройки!$J2+TIME(0,Декабрь!U13,0),"ч::мм")=TEXT(Настройки!$J2,"ч:мм"),"",TEXT(Настройки!$J2,"ч:мм")&amp;"-"&amp;TEXT(Настройки!$J2+TIME(0,Декабрь!U13,0),"ч::мм"))</f>
        <v/>
      </c>
      <c r="D24" s="3" t="str">
        <f>IF(TEXT(Настройки!$J2+TIME(0,Декабрь!V13,0),"ч::мм")=TEXT(Настройки!$J2,"ч:мм"),"",TEXT(Настройки!$J2,"ч:мм")&amp;"-"&amp;TEXT(Настройки!$J2+TIME(0,Декабрь!V13,0),"ч::мм"))</f>
        <v/>
      </c>
      <c r="E24" s="3" t="str">
        <f>IF(TEXT(Настройки!$J2+TIME(0,Декабрь!W13,0),"ч::мм")=TEXT(Настройки!$J2,"ч:мм"),"",TEXT(Настройки!$J2,"ч:мм")&amp;"-"&amp;TEXT(Настройки!$J2+TIME(0,Декабрь!W13,0),"ч::мм"))</f>
        <v/>
      </c>
      <c r="F24" s="3" t="str">
        <f>IF(TEXT(Настройки!$J2+TIME(0,Декабрь!X13,0),"ч::мм")=TEXT(Настройки!$J2,"ч:мм"),"",TEXT(Настройки!$J2,"ч:мм")&amp;"-"&amp;TEXT(Настройки!$J2+TIME(0,Декабрь!X13,0),"ч::мм"))</f>
        <v/>
      </c>
      <c r="G24" s="3" t="str">
        <f>IF(TEXT(Настройки!$J2+TIME(0,Декабрь!Y13,0),"ч::мм")=TEXT(Настройки!$J2,"ч:мм"),"",TEXT(Настройки!$J2,"ч:мм")&amp;"-"&amp;TEXT(Настройки!$J2+TIME(0,Декабрь!Y13,0),"ч::мм"))</f>
        <v/>
      </c>
      <c r="H24" s="3" t="str">
        <f>IF(TEXT(Настройки!$J2+TIME(0,Декабрь!Z13,0),"ч::мм")=TEXT(Настройки!$J2,"ч:мм"),"",TEXT(Настройки!$J2,"ч:мм")&amp;"-"&amp;TEXT(Настройки!$J2+TIME(0,Декабрь!Z13,0),"ч::мм"))</f>
        <v/>
      </c>
      <c r="I24" s="3" t="str">
        <f>IF(TEXT(Настройки!$J2+TIME(0,Декабрь!AA13,0),"ч::мм")=TEXT(Настройки!$J2,"ч:мм"),"",TEXT(Настройки!$J2,"ч:мм")&amp;"-"&amp;TEXT(Настройки!$J2+TIME(0,Декабрь!AA13,0),"ч::мм"))</f>
        <v/>
      </c>
      <c r="J24" s="3" t="str">
        <f>IF(TEXT(Настройки!$J2+TIME(0,Декабрь!AB13,0),"ч::мм")=TEXT(Настройки!$J2,"ч:мм"),"",TEXT(Настройки!$J2,"ч:мм")&amp;"-"&amp;TEXT(Настройки!$J2+TIME(0,Декабрь!AB13,0),"ч::мм"))</f>
        <v/>
      </c>
      <c r="K24" s="3" t="str">
        <f>IF(TEXT(Настройки!$J2+TIME(0,Декабрь!AC13,0),"ч::мм")=TEXT(Настройки!$J2,"ч:мм"),"",TEXT(Настройки!$J2,"ч:мм")&amp;"-"&amp;TEXT(Настройки!$J2+TIME(0,Декабрь!AC13,0),"ч::мм"))</f>
        <v/>
      </c>
      <c r="L24" s="3" t="str">
        <f>IF(TEXT(Настройки!$J2+TIME(0,Декабрь!AD13,0),"ч::мм")=TEXT(Настройки!$J2,"ч:мм"),"",TEXT(Настройки!$J2,"ч:мм")&amp;"-"&amp;TEXT(Настройки!$J2+TIME(0,Декабрь!AD13,0),"ч::мм"))</f>
        <v/>
      </c>
      <c r="M24" s="3" t="str">
        <f>IF(TEXT(Настройки!$J2+TIME(0,Декабрь!AE13,0),"ч::мм")=TEXT(Настройки!$J2,"ч:мм"),"",TEXT(Настройки!$J2,"ч:мм")&amp;"-"&amp;TEXT(Настройки!$J2+TIME(0,Декабрь!AE13,0),"ч::мм"))</f>
        <v/>
      </c>
      <c r="N24" s="3" t="str">
        <f>IF(TEXT(Настройки!$J2+TIME(0,Декабрь!AF13,0),"ч::мм")=TEXT(Настройки!$J2,"ч:мм"),"",TEXT(Настройки!$J2,"ч:мм")&amp;"-"&amp;TEXT(Настройки!$J2+TIME(0,Декабрь!AF13,0),"ч::мм"))</f>
        <v/>
      </c>
      <c r="O24" s="3" t="str">
        <f>IF(TEXT(Настройки!$J2+TIME(0,Декабрь!AG13,0),"ч::мм")=TEXT(Настройки!$J2,"ч:мм"),"",TEXT(Настройки!$J2,"ч:мм")&amp;"-"&amp;TEXT(Настройки!$J2+TIME(0,Декабрь!AG13,0),"ч::мм"))</f>
        <v/>
      </c>
      <c r="P24" s="3" t="str">
        <f>IF(TEXT(Настройки!$J2+TIME(0,Декабрь!AH13,0),"ч::мм")=TEXT(Настройки!$J2,"ч:мм"),"",TEXT(Настройки!$J2,"ч:мм")&amp;"-"&amp;TEXT(Настройки!$J2+TIME(0,Декабрь!AH13,0),"ч::мм"))</f>
        <v/>
      </c>
    </row>
    <row r="25" spans="1:18" x14ac:dyDescent="0.25">
      <c r="A25" s="33" t="str">
        <f t="shared" ca="1" si="0"/>
        <v>13:00-13:00</v>
      </c>
      <c r="B25" s="3" t="str">
        <f ca="1">IF(TEXT(Настройки!$J3+TIME(0,Декабрь!T14,0),"ч::мм")=TEXT(Настройки!$J3,"ч:мм"),"",TEXT(Настройки!$J3,"ч:мм")&amp;"-"&amp;TEXT(Настройки!$J3+TIME(0,Декабрь!T14,0),"ч::мм"))</f>
        <v/>
      </c>
      <c r="C25" s="3" t="str">
        <f ca="1">IF(TEXT(Настройки!$J3+TIME(0,Декабрь!U14,0),"ч::мм")=TEXT(Настройки!$J3,"ч:мм"),"",TEXT(Настройки!$J3,"ч:мм")&amp;"-"&amp;TEXT(Настройки!$J3+TIME(0,Декабрь!U14,0),"ч::мм"))</f>
        <v/>
      </c>
      <c r="D25" s="3" t="str">
        <f ca="1">IF(TEXT(Настройки!$J3+TIME(0,Декабрь!V14,0),"ч::мм")=TEXT(Настройки!$J3,"ч:мм"),"",TEXT(Настройки!$J3,"ч:мм")&amp;"-"&amp;TEXT(Настройки!$J3+TIME(0,Декабрь!V14,0),"ч::мм"))</f>
        <v/>
      </c>
      <c r="E25" s="3" t="str">
        <f ca="1">IF(TEXT(Настройки!$J3+TIME(0,Декабрь!W14,0),"ч::мм")=TEXT(Настройки!$J3,"ч:мм"),"",TEXT(Настройки!$J3,"ч:мм")&amp;"-"&amp;TEXT(Настройки!$J3+TIME(0,Декабрь!W14,0),"ч::мм"))</f>
        <v/>
      </c>
      <c r="F25" s="3" t="str">
        <f ca="1">IF(TEXT(Настройки!$J3+TIME(0,Декабрь!X14,0),"ч::мм")=TEXT(Настройки!$J3,"ч:мм"),"",TEXT(Настройки!$J3,"ч:мм")&amp;"-"&amp;TEXT(Настройки!$J3+TIME(0,Декабрь!X14,0),"ч::мм"))</f>
        <v/>
      </c>
      <c r="G25" s="3" t="str">
        <f ca="1">IF(TEXT(Настройки!$J3+TIME(0,Декабрь!Y14,0),"ч::мм")=TEXT(Настройки!$J3,"ч:мм"),"",TEXT(Настройки!$J3,"ч:мм")&amp;"-"&amp;TEXT(Настройки!$J3+TIME(0,Декабрь!Y14,0),"ч::мм"))</f>
        <v/>
      </c>
      <c r="H25" s="3" t="str">
        <f ca="1">IF(TEXT(Настройки!$J3+TIME(0,Декабрь!Z14,0),"ч::мм")=TEXT(Настройки!$J3,"ч:мм"),"",TEXT(Настройки!$J3,"ч:мм")&amp;"-"&amp;TEXT(Настройки!$J3+TIME(0,Декабрь!Z14,0),"ч::мм"))</f>
        <v/>
      </c>
      <c r="I25" s="3" t="str">
        <f ca="1">IF(TEXT(Настройки!$J3+TIME(0,Декабрь!AA14,0),"ч::мм")=TEXT(Настройки!$J3,"ч:мм"),"",TEXT(Настройки!$J3,"ч:мм")&amp;"-"&amp;TEXT(Настройки!$J3+TIME(0,Декабрь!AA14,0),"ч::мм"))</f>
        <v/>
      </c>
      <c r="J25" s="3" t="str">
        <f ca="1">IF(TEXT(Настройки!$J3+TIME(0,Декабрь!AB14,0),"ч::мм")=TEXT(Настройки!$J3,"ч:мм"),"",TEXT(Настройки!$J3,"ч:мм")&amp;"-"&amp;TEXT(Настройки!$J3+TIME(0,Декабрь!AB14,0),"ч::мм"))</f>
        <v/>
      </c>
      <c r="K25" s="3" t="str">
        <f ca="1">IF(TEXT(Настройки!$J3+TIME(0,Декабрь!AC14,0),"ч::мм")=TEXT(Настройки!$J3,"ч:мм"),"",TEXT(Настройки!$J3,"ч:мм")&amp;"-"&amp;TEXT(Настройки!$J3+TIME(0,Декабрь!AC14,0),"ч::мм"))</f>
        <v/>
      </c>
      <c r="L25" s="3" t="str">
        <f ca="1">IF(TEXT(Настройки!$J3+TIME(0,Декабрь!AD14,0),"ч::мм")=TEXT(Настройки!$J3,"ч:мм"),"",TEXT(Настройки!$J3,"ч:мм")&amp;"-"&amp;TEXT(Настройки!$J3+TIME(0,Декабрь!AD14,0),"ч::мм"))</f>
        <v/>
      </c>
      <c r="M25" s="3" t="str">
        <f ca="1">IF(TEXT(Настройки!$J3+TIME(0,Декабрь!AE14,0),"ч::мм")=TEXT(Настройки!$J3,"ч:мм"),"",TEXT(Настройки!$J3,"ч:мм")&amp;"-"&amp;TEXT(Настройки!$J3+TIME(0,Декабрь!AE14,0),"ч::мм"))</f>
        <v/>
      </c>
      <c r="N25" s="3" t="str">
        <f ca="1">IF(TEXT(Настройки!$J3+TIME(0,Декабрь!AF14,0),"ч::мм")=TEXT(Настройки!$J3,"ч:мм"),"",TEXT(Настройки!$J3,"ч:мм")&amp;"-"&amp;TEXT(Настройки!$J3+TIME(0,Декабрь!AF14,0),"ч::мм"))</f>
        <v/>
      </c>
      <c r="O25" s="3" t="str">
        <f ca="1">IF(TEXT(Настройки!$J3+TIME(0,Декабрь!AG14,0),"ч::мм")=TEXT(Настройки!$J3,"ч:мм"),"",TEXT(Настройки!$J3,"ч:мм")&amp;"-"&amp;TEXT(Настройки!$J3+TIME(0,Декабрь!AG14,0),"ч::мм"))</f>
        <v/>
      </c>
      <c r="P25" s="3" t="str">
        <f ca="1">IF(TEXT(Настройки!$J3+TIME(0,Декабрь!AH14,0),"ч::мм")=TEXT(Настройки!$J3,"ч:мм"),"",TEXT(Настройки!$J3,"ч:мм")&amp;"-"&amp;TEXT(Настройки!$J3+TIME(0,Декабрь!AH14,0),"ч::мм"))</f>
        <v/>
      </c>
    </row>
    <row r="26" spans="1:18" x14ac:dyDescent="0.25">
      <c r="A26" s="33" t="str">
        <f t="shared" ca="1" si="0"/>
        <v>16:00-16:00</v>
      </c>
      <c r="B26" s="3" t="str">
        <f ca="1">IF(TEXT(Настройки!$J4+TIME(0,Декабрь!T15,0),"ч::мм")=TEXT(Настройки!$J4,"ч:мм"),"",TEXT(Настройки!$J4,"ч:мм")&amp;"-"&amp;TEXT(Настройки!$J4+TIME(0,Декабрь!T15,0),"ч::мм"))</f>
        <v/>
      </c>
      <c r="C26" s="3" t="str">
        <f ca="1">IF(TEXT(Настройки!$J4+TIME(0,Декабрь!U15,0),"ч::мм")=TEXT(Настройки!$J4,"ч:мм"),"",TEXT(Настройки!$J4,"ч:мм")&amp;"-"&amp;TEXT(Настройки!$J4+TIME(0,Декабрь!U15,0),"ч::мм"))</f>
        <v/>
      </c>
      <c r="D26" s="3" t="str">
        <f ca="1">IF(TEXT(Настройки!$J4+TIME(0,Декабрь!V15,0),"ч::мм")=TEXT(Настройки!$J4,"ч:мм"),"",TEXT(Настройки!$J4,"ч:мм")&amp;"-"&amp;TEXT(Настройки!$J4+TIME(0,Декабрь!V15,0),"ч::мм"))</f>
        <v/>
      </c>
      <c r="E26" s="3" t="str">
        <f ca="1">IF(TEXT(Настройки!$J4+TIME(0,Декабрь!W15,0),"ч::мм")=TEXT(Настройки!$J4,"ч:мм"),"",TEXT(Настройки!$J4,"ч:мм")&amp;"-"&amp;TEXT(Настройки!$J4+TIME(0,Декабрь!W15,0),"ч::мм"))</f>
        <v/>
      </c>
      <c r="F26" s="3" t="str">
        <f ca="1">IF(TEXT(Настройки!$J4+TIME(0,Декабрь!X15,0),"ч::мм")=TEXT(Настройки!$J4,"ч:мм"),"",TEXT(Настройки!$J4,"ч:мм")&amp;"-"&amp;TEXT(Настройки!$J4+TIME(0,Декабрь!X15,0),"ч::мм"))</f>
        <v/>
      </c>
      <c r="G26" s="3" t="str">
        <f ca="1">IF(TEXT(Настройки!$J4+TIME(0,Декабрь!Y15,0),"ч::мм")=TEXT(Настройки!$J4,"ч:мм"),"",TEXT(Настройки!$J4,"ч:мм")&amp;"-"&amp;TEXT(Настройки!$J4+TIME(0,Декабрь!Y15,0),"ч::мм"))</f>
        <v/>
      </c>
      <c r="H26" s="3" t="str">
        <f ca="1">IF(TEXT(Настройки!$J4+TIME(0,Декабрь!Z15,0),"ч::мм")=TEXT(Настройки!$J4,"ч:мм"),"",TEXT(Настройки!$J4,"ч:мм")&amp;"-"&amp;TEXT(Настройки!$J4+TIME(0,Декабрь!Z15,0),"ч::мм"))</f>
        <v/>
      </c>
      <c r="I26" s="3" t="str">
        <f ca="1">IF(TEXT(Настройки!$J4+TIME(0,Декабрь!AA15,0),"ч::мм")=TEXT(Настройки!$J4,"ч:мм"),"",TEXT(Настройки!$J4,"ч:мм")&amp;"-"&amp;TEXT(Настройки!$J4+TIME(0,Декабрь!AA15,0),"ч::мм"))</f>
        <v/>
      </c>
      <c r="J26" s="3" t="str">
        <f ca="1">IF(TEXT(Настройки!$J4+TIME(0,Декабрь!AB15,0),"ч::мм")=TEXT(Настройки!$J4,"ч:мм"),"",TEXT(Настройки!$J4,"ч:мм")&amp;"-"&amp;TEXT(Настройки!$J4+TIME(0,Декабрь!AB15,0),"ч::мм"))</f>
        <v/>
      </c>
      <c r="K26" s="3" t="str">
        <f ca="1">IF(TEXT(Настройки!$J4+TIME(0,Декабрь!AC15,0),"ч::мм")=TEXT(Настройки!$J4,"ч:мм"),"",TEXT(Настройки!$J4,"ч:мм")&amp;"-"&amp;TEXT(Настройки!$J4+TIME(0,Декабрь!AC15,0),"ч::мм"))</f>
        <v/>
      </c>
      <c r="L26" s="3" t="str">
        <f ca="1">IF(TEXT(Настройки!$J4+TIME(0,Декабрь!AD15,0),"ч::мм")=TEXT(Настройки!$J4,"ч:мм"),"",TEXT(Настройки!$J4,"ч:мм")&amp;"-"&amp;TEXT(Настройки!$J4+TIME(0,Декабрь!AD15,0),"ч::мм"))</f>
        <v/>
      </c>
      <c r="M26" s="3" t="str">
        <f ca="1">IF(TEXT(Настройки!$J4+TIME(0,Декабрь!AE15,0),"ч::мм")=TEXT(Настройки!$J4,"ч:мм"),"",TEXT(Настройки!$J4,"ч:мм")&amp;"-"&amp;TEXT(Настройки!$J4+TIME(0,Декабрь!AE15,0),"ч::мм"))</f>
        <v/>
      </c>
      <c r="N26" s="3" t="str">
        <f ca="1">IF(TEXT(Настройки!$J4+TIME(0,Декабрь!AF15,0),"ч::мм")=TEXT(Настройки!$J4,"ч:мм"),"",TEXT(Настройки!$J4,"ч:мм")&amp;"-"&amp;TEXT(Настройки!$J4+TIME(0,Декабрь!AF15,0),"ч::мм"))</f>
        <v/>
      </c>
      <c r="O26" s="3" t="str">
        <f ca="1">IF(TEXT(Настройки!$J4+TIME(0,Декабрь!AG15,0),"ч::мм")=TEXT(Настройки!$J4,"ч:мм"),"",TEXT(Настройки!$J4,"ч:мм")&amp;"-"&amp;TEXT(Настройки!$J4+TIME(0,Декабрь!AG15,0),"ч::мм"))</f>
        <v/>
      </c>
      <c r="P26" s="3" t="str">
        <f ca="1">IF(TEXT(Настройки!$J4+TIME(0,Декабрь!AH15,0),"ч::мм")=TEXT(Настройки!$J4,"ч:мм"),"",TEXT(Настройки!$J4,"ч:мм")&amp;"-"&amp;TEXT(Настройки!$J4+TIME(0,Декабрь!AH15,0),"ч::мм"))</f>
        <v/>
      </c>
    </row>
    <row r="27" spans="1:18" x14ac:dyDescent="0.25">
      <c r="Q27" s="10"/>
      <c r="R27" s="10"/>
    </row>
    <row r="28" spans="1:18" x14ac:dyDescent="0.25">
      <c r="A28" s="72"/>
      <c r="B28" s="57" t="s">
        <v>55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2"/>
      <c r="Q28" s="34"/>
      <c r="R28" s="10"/>
    </row>
    <row r="29" spans="1:18" x14ac:dyDescent="0.25">
      <c r="A29" s="79"/>
      <c r="B29" s="83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5"/>
      <c r="Q29" s="34"/>
      <c r="R29" s="10"/>
    </row>
    <row r="30" spans="1:18" x14ac:dyDescent="0.25">
      <c r="A30" s="79"/>
      <c r="B30" s="30">
        <f>Настройки!AK18</f>
        <v>45657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2"/>
      <c r="R30" s="10"/>
    </row>
    <row r="31" spans="1:18" x14ac:dyDescent="0.25">
      <c r="A31" s="79"/>
      <c r="B31" s="57" t="s">
        <v>54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2"/>
      <c r="Q31" s="34"/>
      <c r="R31" s="10"/>
    </row>
    <row r="32" spans="1:18" x14ac:dyDescent="0.25">
      <c r="A32" s="80"/>
      <c r="B32" s="83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5"/>
      <c r="Q32" s="34"/>
      <c r="R32" s="10"/>
    </row>
    <row r="33" spans="1:16" x14ac:dyDescent="0.25">
      <c r="A33" s="3" t="s">
        <v>138</v>
      </c>
      <c r="B33" s="3" t="s">
        <v>113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3" t="str">
        <f t="shared" ref="A34:A36" si="1">A14</f>
        <v>9:00-9:00</v>
      </c>
      <c r="B34" s="3" t="str">
        <f>IF(TEXT(Настройки!$J2+TIME(0,Декабрь!AI13,0),"ч::мм")=TEXT(Настройки!$J2,"ч:мм"),"",TEXT(Настройки!$J2,"ч:мм")&amp;"-"&amp;TEXT(Настройки!$J2+TIME(0,Декабрь!AI13,0),"ч::мм"))</f>
        <v/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</row>
    <row r="35" spans="1:16" x14ac:dyDescent="0.25">
      <c r="A35" s="33" t="str">
        <f t="shared" ca="1" si="1"/>
        <v>13:00-13:00</v>
      </c>
      <c r="B35" s="3" t="str">
        <f ca="1">IF(TEXT(Настройки!$J3+TIME(0,Декабрь!AI14,0),"ч::мм")=TEXT(Настройки!$J3,"ч:мм"),"",TEXT(Настройки!$J3,"ч:мм")&amp;"-"&amp;TEXT(Настройки!$J3+TIME(0,Декабрь!AI14,0),"ч::мм"))</f>
        <v/>
      </c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1:16" x14ac:dyDescent="0.25">
      <c r="A36" s="33" t="str">
        <f t="shared" ca="1" si="1"/>
        <v>16:00-16:00</v>
      </c>
      <c r="B36" s="3" t="str">
        <f ca="1">IF(TEXT(Настройки!$J4+TIME(0,Декабрь!AI15,0),"ч::мм")=TEXT(Настройки!$J4,"ч:мм"),"",TEXT(Настройки!$J4,"ч:мм")&amp;"-"&amp;TEXT(Настройки!$J4+TIME(0,Декабрь!AI15,0),"ч::мм"))</f>
        <v/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</sheetData>
  <mergeCells count="12">
    <mergeCell ref="A2:P2"/>
    <mergeCell ref="F6:G6"/>
    <mergeCell ref="H6:I6"/>
    <mergeCell ref="A8:A12"/>
    <mergeCell ref="B8:P9"/>
    <mergeCell ref="B11:P12"/>
    <mergeCell ref="A18:A22"/>
    <mergeCell ref="B18:P19"/>
    <mergeCell ref="B21:P22"/>
    <mergeCell ref="A28:A32"/>
    <mergeCell ref="B28:P29"/>
    <mergeCell ref="B31:P32"/>
  </mergeCells>
  <conditionalFormatting sqref="B10:P10">
    <cfRule type="expression" dxfId="43" priority="3">
      <formula>WEEKDAY(B10:P10,2)&gt;5</formula>
    </cfRule>
  </conditionalFormatting>
  <conditionalFormatting sqref="B20:P20">
    <cfRule type="expression" dxfId="42" priority="2">
      <formula>WEEKDAY(B20:P20,2)&gt;5</formula>
    </cfRule>
  </conditionalFormatting>
  <conditionalFormatting sqref="B30">
    <cfRule type="expression" dxfId="41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tableParts count="3">
    <tablePart r:id="rId2"/>
    <tablePart r:id="rId3"/>
    <tablePart r:id="rId4"/>
  </tableParts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month" Type="http://schemas.openxmlformats.org/officeDocument/2006/relationships/image" Target="images/btn-month.png"/><Relationship Id="btn-collapse" Type="http://schemas.openxmlformats.org/officeDocument/2006/relationships/image" Target="images/btn-collapse.png"/><Relationship Id="select-list" Type="http://schemas.openxmlformats.org/officeDocument/2006/relationships/image" Target="images/select-list.png"/><Relationship Id="services" Type="http://schemas.openxmlformats.org/officeDocument/2006/relationships/image" Target="images/services.png"/><Relationship Id="btn-ok" Type="http://schemas.openxmlformats.org/officeDocument/2006/relationships/image" Target="images/btn-ok.png"/><Relationship Id="clear-errors" Type="http://schemas.openxmlformats.org/officeDocument/2006/relationships/image" Target="images/clear-errors.png"/><Relationship Id="btn-list" Type="http://schemas.openxmlformats.org/officeDocument/2006/relationships/image" Target="images/btn-list.png"/><Relationship Id="graph-icon" Type="http://schemas.openxmlformats.org/officeDocument/2006/relationships/image" Target="images/graph-icon.png"/><Relationship Id="Main" Type="http://schemas.openxmlformats.org/officeDocument/2006/relationships/image" Target="images/Main.png"/><Relationship Id="btn-prev" Type="http://schemas.openxmlformats.org/officeDocument/2006/relationships/image" Target="images/btn-prev.png"/><Relationship Id="btn-exit" Type="http://schemas.openxmlformats.org/officeDocument/2006/relationships/image" Target="images/btn-exit.png"/><Relationship Id="btn-resize" Type="http://schemas.openxmlformats.org/officeDocument/2006/relationships/image" Target="images/btn-resize.png"/><Relationship Id="config-icon" Type="http://schemas.openxmlformats.org/officeDocument/2006/relationships/image" Target="images/config-icon.png"/><Relationship Id="btn-config" Type="http://schemas.openxmlformats.org/officeDocument/2006/relationships/image" Target="images/btn-config.png"/><Relationship Id="btn-up" Type="http://schemas.openxmlformats.org/officeDocument/2006/relationships/image" Target="images/btn-up.png"/><Relationship Id="btn-expand" Type="http://schemas.openxmlformats.org/officeDocument/2006/relationships/image" Target="images/btn-expand.png"/><Relationship Id="btn-next" Type="http://schemas.openxmlformats.org/officeDocument/2006/relationships/image" Target="images/btn-next.png"/></Relationships>
</file>

<file path=customUI/customUI14.xml><?xml version="1.0" encoding="utf-8"?>
<customUI xmlns="http://schemas.microsoft.com/office/2009/07/customui" onLoad="RibbonOnLoad">
  <ribbon startFromScratch="false">
    <tabs>
      <tab id="ServicesID" label="Управление" getVisible="GetVisible" tag="Services">
        <group id="BaseID" label="Перемещения по страницам" getVisible="GetterVisible" tag="Base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menu id="MonthID" label="Месяцы" image="btn-month">
              <button id="onJanID" label="Январь Месяц" image="btn-list" onAction="JanuaryClick"/>
              <button id="onFebID" label="Февраль Месяц" image="btn-list" onAction="FebruaryClick"/>
              <button id="onMarID" label="Март Месяц" image="btn-list" onAction="MarchClick"/>
              <button id="onAprID" label="Апрель Месяц" image="btn-list" onAction="AprilClick"/>
              <button id="onMayID" label="Май Месяц" image="btn-list" onAction="MayClick"/>
              <button id="onJuneID" label="Июнь Месяц" image="btn-list" onAction="JuneClick"/>
              <button id="onJulyID" label="Июль Месяц" image="btn-list" onAction="JulyClick"/>
              <button id="onAugID" label="Август Месяц" image="btn-list" onAction="AugustClick"/>
              <button id="onSeptID" label="Сентябрь Месяц" image="btn-list" onAction="SeptemberClick"/>
              <button id="onOctID" label="Октябрь Месяц" image="btn-list" onAction="OctoberClick"/>
              <button id="onNovID" label="Ноябрь Месяц" image="btn-list" onAction="NovemberClick"/>
              <button id="onDecID" label="Декабрь Месяц" image="btn-list" onAction="DecemberClick"/>
            </menu>
            <menu id="GraphID" label="Графики" image="graph-icon">
              <button id="onGraphJanID" label="Январь График" image="btn-list" onAction="JanuaryGraph"/>
              <button id="onGraphFebID" label="Февраль График" image="btn-list" onAction="FebruaryGraph"/>
              <button id="onGraphMarID" label="Март График" image="btn-list" onAction="MarchGraph"/>
              <button id="onGraphAprID" label="Апрель График" image="btn-list" onAction="AprilGraph"/>
              <button id="onGraphMayID" label="Май График" image="btn-list" onAction="MayGraph"/>
              <button id="onGraphJuneID" label="Июнь График" image="btn-list" onAction="JuneGraph"/>
              <button id="onGraphJulyID" label="Июль График" image="btn-list" onAction="JulyGraph"/>
              <button id="onGraphAugID" label="Август График" image="btn-list" onAction="AugustGraph"/>
              <button id="onGraphSeptID" label="Сентябрь График" image="btn-list" onAction="SeptemberGraph"/>
              <button id="onGraphOctID" label="Октябрь График" image="btn-list" onAction="OctoberGraph"/>
              <button id="onGraphNovID" label="Ноябрь График" image="btn-list" onAction="NovemberGraph"/>
              <button id="onGraphDecID" label="Декабрь График" image="btn-list" onAction="DecemberGraph"/>
            </menu>
          </menu>
          <button id="PrevID" label="Предыдущая" image="btn-prev" size="large" onAction="PrevClick"/>
          <button id="NextID" label="Следующая" image="btn-next" size="large" onAction="NextClick"/>
        </group>
        <group id="ConfigID" label="Параметры" getVisible="GetterVisible" tag="BaseConfig">
          <menu id="ParamID" label="Настройки" image="btn-config" size="large">
            <button id="TableConfigID" label="Настройки таблиц" image="config-icon" onAction="TableConfigClick"/>
            <button id="ListSocialID" label="Настройка списка услуг" image="services" onAction="ListSocialClick"/>
          </menu>
        </group>
        <group id="MonthsID" label="Перемещения по страницам" getVisible="GetterVisible" tag="Month">
          <button id="MonthMainID" label="Домой" image="Main" size="large" onAction="MainClick"/>
          <menu id="MonthSelectListID" label="Выбрать страницу" image="select-list" size="large">
            <button id="MonthOnMainID" label="Домой" image="Main" onAction="MainClick"/>
            <menu id="MonthMonthID" label="Месяцы" image="btn-month">
              <button id="MonthOnJanID" label="Январь Месяц" image="btn-list" onAction="JanuaryClick"/>
              <button id="MonthOnFebID" label="Февраль Месяц" image="btn-list" onAction="FebruaryClick"/>
              <button id="MonthOnMarID" label="Март Месяц" image="btn-list" onAction="MarchClick"/>
              <button id="MonthOnAprID" label="Апрель Месяц" image="btn-list" onAction="AprilClick"/>
              <button id="MonthOnMayID" label="Май Месяц" image="btn-list" onAction="MayClick"/>
              <button id="MonthOnJuneID" label="Июнь Месяц" image="btn-list" onAction="JuneClick"/>
              <button id="MonthOnJulyID" label="Июль Месяц" image="btn-list" onAction="JulyClick"/>
              <button id="MonthOnAugID" label="Август Месяц" image="btn-list" onAction="AugustClick"/>
              <button id="MonthOnSeptID" label="Сентябрь Месяц" image="btn-list" onAction="SeptemberClick"/>
              <button id="MonthOnOctID" label="Октябрь Месяц" image="btn-list" onAction="OctoberClick"/>
              <button id="MonthOnNovID" label="Ноябрь Месяц" image="btn-list" onAction="NovemberClick"/>
              <button id="MonthOnDecID" label="Декабрь Месяц" image="btn-list" onAction="DecemberClick"/>
            </menu>
            <menu id="MonthGraphID" label="Графики" image="graph-icon">
              <button id="MonthOnGraphJanID" label="Январь График" image="btn-list" onAction="JanuaryGraph"/>
              <button id="MonthOnGraphFebID" label="Февраль График" image="btn-list" onAction="FebruaryGraph"/>
              <button id="MonthOnGraphMarID" label="Март График" image="btn-list" onAction="MarchGraph"/>
              <button id="MonthOnGraphAprID" label="Апрель График" image="btn-list" onAction="AprilGraph"/>
              <button id="MonthOnGraphMayID" label="Май График" image="btn-list" onAction="MayGraph"/>
              <button id="MonthOnGraphJuneID" label="Июнь График" image="btn-list" onAction="JuneGraph"/>
              <button id="MonthOnGraphJulyID" label="Июль График" image="btn-list" onAction="JulyGraph"/>
              <button id="MonthOnGraphAugID" label="Август График" image="btn-list" onAction="AugustGraph"/>
              <button id="MonthOnGraphSeptID" label="Сентябрь График" image="btn-list" onAction="SeptemberGraph"/>
              <button id="MonthOnGraphOctID" label="Октябрь График" image="btn-list" onAction="OctoberGraph"/>
              <button id="MonthOnGraphNovID" label="Ноябрь График" image="btn-list" onAction="NovemberGraph"/>
              <button id="MonthOnGraphDecID" label="Декабрь График" image="btn-list" onAction="DecemberGraph"/>
            </menu>
          </menu>
          <button id="MonthDownID" label="Вниз" image="btn-down" size="large" onAction="DownClick"/>
          <button id="MonthUpID" label="Вверх" image="btn-up" size="large" onAction="UpClick"/>
          <button id="MonthPrevID" label="Предыдущая" image="btn-prev" size="large" onAction="PrevClick"/>
          <button id="MonthNextID" label="Следующая" image="btn-next" size="large" onAction="NextClick"/>
        </group>
        <group id="MonthConfigID" label="Параметры" getVisible="GetterVisible" tag="MonthConfig">
          <button id="MonthResizeID" label="Подогнать размеры" image="btn-resize" size="large" onAction="MonthResizeClick"/>
          <menu id="MonthParamID" label="Настройки" image="btn-config" size="large">
            <button id="MonthTableConfigID" label="Настройки таблиц" image="config-icon" onAction="TableConfigClick"/>
            <button id="MonthListSocialID" label="Настройка списка услуг" image="services" onAction="ListSocialClick"/>
          </menu>
        </group>
      </tab>
      <tab id="EditorID" label="Изменения" getVisible="GetVisible" tag="Editor">
        <group id="EditionID" label="Редактирование списка" getVisible="GetterVisible" tag="EditionList">
          <dropDown id="DroDownID" label="Выбор услуги" imageMso="SelectRow" getItemCount="getItemCount" getItemImage="getItemImage" getItemLabel="getItemLabel" onAction="dropDownClick"/>
          <button id="AddID" label="Добавить услугу" image="btn-expand" size="large" onAction="AddClick"/>
          <button id="AllAddID" label="Добавить все" imageMso="SelectColumn" size="large" onAction="AllAddClick"/>
          <separator id="sepEditID"/>
          <button id="DelID" label="Удалить выделенную" image="btn-collapse" size="large" onAction="DellClick"/>
          <button id="AllDelID" label="Очистить список" image="clear-errors" size="large" onAction="AllDellClick"/>
        </group>
        <group id="EditionFineID" label="Завершение" getVisible="GetterVisible" tag="EditionFine">
          <button id="OkID" label="Применить список" image="btn-ok" size="large" onAction="UsesClick"/>
          <button id="FinishID" label="Завершить редиктирование" image="btn-exit" size="large" onAction="FinishClick"/>
        </group>
        <group id="EndID" label="Завершение" getVisible="GetterVisible" tag="End">
          <button id="EndResizeID" label="Подогнать размеры" image="btn-resize" size="large" onAction="ConfigResizeClick"/>
          <button id="EndFinishID" label="Завершить редиктирование" image="btn-exit" size="large" onAction="Finish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12</vt:i4>
      </vt:variant>
    </vt:vector>
  </HeadingPairs>
  <TitlesOfParts>
    <vt:vector size="38" baseType="lpstr">
      <vt:lpstr>Настройки</vt:lpstr>
      <vt:lpstr>СписокУслуг</vt:lpstr>
      <vt:lpstr>Январь</vt:lpstr>
      <vt:lpstr>ГрЯнварь</vt:lpstr>
      <vt:lpstr>Февраль</vt:lpstr>
      <vt:lpstr>ГрФевраль</vt:lpstr>
      <vt:lpstr>Март</vt:lpstr>
      <vt:lpstr>ГрМарт</vt:lpstr>
      <vt:lpstr>Апрель</vt:lpstr>
      <vt:lpstr>ГрАпрель</vt:lpstr>
      <vt:lpstr>Май</vt:lpstr>
      <vt:lpstr>ГрМай</vt:lpstr>
      <vt:lpstr>Июнь</vt:lpstr>
      <vt:lpstr>ГрИюнь</vt:lpstr>
      <vt:lpstr>Июль</vt:lpstr>
      <vt:lpstr>ГрИюль</vt:lpstr>
      <vt:lpstr>Август</vt:lpstr>
      <vt:lpstr>ГрАвгуст</vt:lpstr>
      <vt:lpstr>Сентябрь</vt:lpstr>
      <vt:lpstr>ГрСентябрь</vt:lpstr>
      <vt:lpstr>Октябрь</vt:lpstr>
      <vt:lpstr>ГрОктябрь</vt:lpstr>
      <vt:lpstr>Ноябрь</vt:lpstr>
      <vt:lpstr>ГрНоябрь</vt:lpstr>
      <vt:lpstr>Декабрь</vt:lpstr>
      <vt:lpstr>ГрДекабрь</vt:lpstr>
      <vt:lpstr>Август!Заголовки_для_печати</vt:lpstr>
      <vt:lpstr>Апрель!Заголовки_для_печати</vt:lpstr>
      <vt:lpstr>Декабрь!Заголовки_для_печати</vt:lpstr>
      <vt:lpstr>Июль!Заголовки_для_печати</vt:lpstr>
      <vt:lpstr>Июнь!Заголовки_для_печати</vt:lpstr>
      <vt:lpstr>Май!Заголовки_для_печати</vt:lpstr>
      <vt:lpstr>Март!Заголовки_для_печати</vt:lpstr>
      <vt:lpstr>Ноябрь!Заголовки_для_печати</vt:lpstr>
      <vt:lpstr>Октябрь!Заголовки_для_печати</vt:lpstr>
      <vt:lpstr>Сентябрь!Заголовки_для_печати</vt:lpstr>
      <vt:lpstr>Февраль!Заголовки_для_печати</vt:lpstr>
      <vt:lpstr>Январь!Заголовки_для_печати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utv2</cp:lastModifiedBy>
  <dcterms:created xsi:type="dcterms:W3CDTF">2006-09-16T00:00:00Z</dcterms:created>
  <dcterms:modified xsi:type="dcterms:W3CDTF">2024-03-26T13:07:44Z</dcterms:modified>
</cp:coreProperties>
</file>